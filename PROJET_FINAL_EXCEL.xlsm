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CEGEP\THIRD SESSION\OUTILS DE GESTION ET DE SOUTIEN\PROJECTS\"/>
    </mc:Choice>
  </mc:AlternateContent>
  <xr:revisionPtr revIDLastSave="0" documentId="13_ncr:1_{A3C65785-D373-4EC6-AA89-4540D6DDC29E}" xr6:coauthVersionLast="47" xr6:coauthVersionMax="47" xr10:uidLastSave="{00000000-0000-0000-0000-000000000000}"/>
  <bookViews>
    <workbookView xWindow="-120" yWindow="-120" windowWidth="20730" windowHeight="11040" xr2:uid="{89ED0B57-17B3-4FFB-AA15-3A2528F4DF67}"/>
  </bookViews>
  <sheets>
    <sheet name="Tableau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F4" i="2" l="1"/>
  <c r="BH14" i="2" s="1" a="1"/>
  <c r="BH14" i="2" s="1"/>
  <c r="AR5" i="2"/>
  <c r="AS5" i="2"/>
  <c r="AQ5" i="2"/>
  <c r="AP5" i="2"/>
  <c r="AO5" i="2" a="1"/>
  <c r="AO5" i="2" s="1"/>
  <c r="AC32" i="2"/>
  <c r="AC33" i="2" s="1"/>
  <c r="AF34" i="2" s="1" a="1"/>
  <c r="AF34" i="2" s="1"/>
  <c r="AH34" i="2" s="1" a="1"/>
  <c r="AH34" i="2" s="1"/>
  <c r="K39" i="2"/>
  <c r="K31" i="2"/>
  <c r="K23" i="2"/>
  <c r="K37" i="2"/>
  <c r="K38" i="2" s="1"/>
  <c r="K29" i="2"/>
  <c r="K30" i="2" s="1"/>
  <c r="K21" i="2"/>
  <c r="K22" i="2" s="1"/>
  <c r="BG14" i="2" l="1" a="1"/>
  <c r="BG14" i="2" s="1"/>
  <c r="AG34" i="2" a="1"/>
  <c r="AG34" i="2" s="1"/>
  <c r="AL35" i="2"/>
  <c r="BC5" i="2"/>
  <c r="AY5" i="2" s="1"/>
  <c r="BB5" i="2"/>
  <c r="AW5" i="2" s="1"/>
  <c r="BD5" i="2"/>
  <c r="AZ5" i="2" s="1"/>
  <c r="AB5" i="2" a="1"/>
  <c r="AJ5" i="2" a="1"/>
  <c r="AF5" i="2" a="1"/>
  <c r="AG28" i="2" s="1"/>
  <c r="AV5" i="2" l="1"/>
  <c r="AX5" i="2"/>
  <c r="AF769" i="2" a="1"/>
  <c r="AF769" i="2" s="1"/>
  <c r="AF365" i="2" a="1"/>
  <c r="AF365" i="2" s="1"/>
  <c r="AF668" i="2" a="1"/>
  <c r="AF668" i="2" s="1"/>
  <c r="AF264" i="2" a="1"/>
  <c r="AF264" i="2" s="1"/>
  <c r="AF971" i="2" a="1"/>
  <c r="AF971" i="2" s="1"/>
  <c r="AF567" i="2" a="1"/>
  <c r="AF567" i="2" s="1"/>
  <c r="AF163" i="2" a="1"/>
  <c r="AF163" i="2" s="1"/>
  <c r="AF870" i="2" a="1"/>
  <c r="AF870" i="2" s="1"/>
  <c r="AF466" i="2" a="1"/>
  <c r="AF466" i="2" s="1"/>
  <c r="AF62" i="2" a="1"/>
  <c r="BA5" i="2"/>
  <c r="AU5" i="2" s="1"/>
  <c r="AT5" i="2"/>
  <c r="AP6" i="2" s="1"/>
  <c r="AF5" i="2"/>
  <c r="AG15" i="2"/>
  <c r="AG27" i="2"/>
  <c r="AH13" i="2"/>
  <c r="AH25" i="2"/>
  <c r="AG16" i="2"/>
  <c r="AH14" i="2"/>
  <c r="AH26" i="2"/>
  <c r="AG7" i="2"/>
  <c r="AG18" i="2"/>
  <c r="AH16" i="2"/>
  <c r="AH28" i="2"/>
  <c r="AG14" i="2"/>
  <c r="AG26" i="2"/>
  <c r="AH24" i="2"/>
  <c r="AG17" i="2"/>
  <c r="AG29" i="2"/>
  <c r="AH15" i="2"/>
  <c r="AH27" i="2"/>
  <c r="AG30" i="2"/>
  <c r="AH12" i="2"/>
  <c r="AG6" i="2"/>
  <c r="AG19" i="2"/>
  <c r="AH17" i="2"/>
  <c r="AH29" i="2"/>
  <c r="AG8" i="2"/>
  <c r="AG20" i="2"/>
  <c r="AH6" i="2"/>
  <c r="AH18" i="2"/>
  <c r="AH30" i="2"/>
  <c r="AG9" i="2"/>
  <c r="AG21" i="2"/>
  <c r="AH7" i="2"/>
  <c r="AH19" i="2"/>
  <c r="AG11" i="2"/>
  <c r="AG23" i="2"/>
  <c r="AH9" i="2"/>
  <c r="AH21" i="2"/>
  <c r="AG12" i="2"/>
  <c r="AG24" i="2"/>
  <c r="AH10" i="2"/>
  <c r="AH22" i="2"/>
  <c r="AG10" i="2"/>
  <c r="AG22" i="2"/>
  <c r="AH8" i="2"/>
  <c r="AH20" i="2"/>
  <c r="AG13" i="2"/>
  <c r="AG25" i="2"/>
  <c r="AH11" i="2"/>
  <c r="AH23" i="2"/>
  <c r="AJ5" i="2"/>
  <c r="AL8" i="2"/>
  <c r="AL20" i="2"/>
  <c r="AK6" i="2"/>
  <c r="AK18" i="2"/>
  <c r="AK30" i="2"/>
  <c r="AL9" i="2"/>
  <c r="AL21" i="2"/>
  <c r="AK7" i="2"/>
  <c r="AK19" i="2"/>
  <c r="AL11" i="2"/>
  <c r="AL23" i="2"/>
  <c r="AK9" i="2"/>
  <c r="AK21" i="2"/>
  <c r="AL7" i="2"/>
  <c r="AK17" i="2"/>
  <c r="AL10" i="2"/>
  <c r="AL22" i="2"/>
  <c r="AK8" i="2"/>
  <c r="AK20" i="2"/>
  <c r="AL19" i="2"/>
  <c r="AK29" i="2"/>
  <c r="AL12" i="2"/>
  <c r="AL24" i="2"/>
  <c r="AK10" i="2"/>
  <c r="AK22" i="2"/>
  <c r="AL13" i="2"/>
  <c r="AL25" i="2"/>
  <c r="AK11" i="2"/>
  <c r="AK23" i="2"/>
  <c r="AL14" i="2"/>
  <c r="AL26" i="2"/>
  <c r="AK12" i="2"/>
  <c r="AK24" i="2"/>
  <c r="AL16" i="2"/>
  <c r="AL28" i="2"/>
  <c r="AK14" i="2"/>
  <c r="AK26" i="2"/>
  <c r="AL17" i="2"/>
  <c r="AK15" i="2"/>
  <c r="AK27" i="2"/>
  <c r="AL15" i="2"/>
  <c r="AL27" i="2"/>
  <c r="AK13" i="2"/>
  <c r="AK25" i="2"/>
  <c r="AL29" i="2"/>
  <c r="AL6" i="2"/>
  <c r="AL18" i="2"/>
  <c r="AL30" i="2"/>
  <c r="AK16" i="2"/>
  <c r="AK28" i="2"/>
  <c r="AB5" i="2"/>
  <c r="AD10" i="2"/>
  <c r="AD22" i="2"/>
  <c r="AC8" i="2"/>
  <c r="AC20" i="2"/>
  <c r="AD11" i="2"/>
  <c r="AD23" i="2"/>
  <c r="AC9" i="2"/>
  <c r="AC21" i="2"/>
  <c r="AD13" i="2"/>
  <c r="AD25" i="2"/>
  <c r="AC11" i="2"/>
  <c r="AC23" i="2"/>
  <c r="AC18" i="2"/>
  <c r="AD21" i="2"/>
  <c r="AC19" i="2"/>
  <c r="AD12" i="2"/>
  <c r="AD24" i="2"/>
  <c r="AC10" i="2"/>
  <c r="AC22" i="2"/>
  <c r="AD9" i="2"/>
  <c r="AC7" i="2"/>
  <c r="AD14" i="2"/>
  <c r="AD26" i="2"/>
  <c r="AC12" i="2"/>
  <c r="AC24" i="2"/>
  <c r="AD15" i="2"/>
  <c r="AD27" i="2"/>
  <c r="AC13" i="2"/>
  <c r="AC25" i="2"/>
  <c r="AD16" i="2"/>
  <c r="AD28" i="2"/>
  <c r="AC14" i="2"/>
  <c r="AC26" i="2"/>
  <c r="AD17" i="2"/>
  <c r="AD29" i="2"/>
  <c r="AC15" i="2"/>
  <c r="AC27" i="2"/>
  <c r="AD6" i="2"/>
  <c r="AD18" i="2"/>
  <c r="AD30" i="2"/>
  <c r="AC28" i="2"/>
  <c r="AD19" i="2"/>
  <c r="AC16" i="2"/>
  <c r="AD7" i="2"/>
  <c r="AC17" i="2"/>
  <c r="AC29" i="2"/>
  <c r="AD8" i="2"/>
  <c r="AD20" i="2"/>
  <c r="AC6" i="2"/>
  <c r="AC30" i="2"/>
  <c r="AH763" i="2" l="1" a="1"/>
  <c r="AH763" i="2" s="1"/>
  <c r="AH363" i="2" a="1"/>
  <c r="AH363" i="2" s="1"/>
  <c r="AG963" i="2" a="1"/>
  <c r="AG563" i="2" a="1"/>
  <c r="AG563" i="2" s="1"/>
  <c r="AG463" i="2" a="1"/>
  <c r="AG463" i="2" s="1"/>
  <c r="AG763" i="2" a="1"/>
  <c r="AG763" i="2" s="1"/>
  <c r="AH863" i="2" a="1"/>
  <c r="AH863" i="2" s="1"/>
  <c r="AG363" i="2" a="1"/>
  <c r="AG363" i="2" s="1"/>
  <c r="AH663" i="2" a="1"/>
  <c r="AH663" i="2" s="1"/>
  <c r="AH263" i="2" a="1"/>
  <c r="AH263" i="2" s="1"/>
  <c r="AG863" i="2" a="1"/>
  <c r="AG863" i="2" s="1"/>
  <c r="AG163" i="2" a="1"/>
  <c r="AG163" i="2" s="1"/>
  <c r="AH963" i="2" a="1"/>
  <c r="AH563" i="2" a="1"/>
  <c r="AH563" i="2" s="1"/>
  <c r="AH163" i="2" a="1"/>
  <c r="AH163" i="2" s="1"/>
  <c r="AG263" i="2" a="1"/>
  <c r="AG263" i="2" s="1"/>
  <c r="AH463" i="2" a="1"/>
  <c r="AH463" i="2" s="1"/>
  <c r="AG663" i="2" a="1"/>
  <c r="AG663" i="2" s="1"/>
  <c r="AF62" i="2"/>
  <c r="AS6" i="2"/>
  <c r="AQ6" i="2"/>
  <c r="BD6" i="2" s="1"/>
  <c r="AZ6" i="2" s="1"/>
  <c r="AR6" i="2"/>
  <c r="AG5" i="2"/>
  <c r="AH5" i="2"/>
  <c r="AK5" i="2"/>
  <c r="AL5" i="2"/>
  <c r="AC5" i="2"/>
  <c r="AD5" i="2"/>
  <c r="AG963" i="2" l="1"/>
  <c r="BK9" i="2" a="1"/>
  <c r="BK9" i="2" s="1"/>
  <c r="BG19" i="2" s="1" a="1"/>
  <c r="BG19" i="2" s="1"/>
  <c r="AH62" i="2" a="1"/>
  <c r="AH62" i="2" s="1"/>
  <c r="AG62" i="2" a="1"/>
  <c r="AG62" i="2" s="1"/>
  <c r="AH963" i="2"/>
  <c r="BK10" i="2" a="1"/>
  <c r="BK10" i="2" s="1"/>
  <c r="BH19" i="2" s="1" a="1"/>
  <c r="BH19" i="2" s="1"/>
  <c r="BB6" i="2"/>
  <c r="AV6" i="2" s="1"/>
  <c r="AT6" i="2" s="1"/>
  <c r="BC6" i="2"/>
  <c r="AX6" i="2" s="1"/>
  <c r="BA6" i="2"/>
  <c r="AW6" i="2"/>
  <c r="AY6" i="2" l="1"/>
  <c r="AU6" i="2"/>
  <c r="AS7" i="2" s="1"/>
  <c r="AP7" i="2"/>
  <c r="AR7" i="2"/>
  <c r="AQ7" i="2" l="1"/>
  <c r="BB7" i="2" s="1"/>
  <c r="AW7" i="2" s="1"/>
  <c r="BC7" i="2"/>
  <c r="AY7" i="2" s="1"/>
  <c r="BD7" i="2"/>
  <c r="AX7" i="2" l="1"/>
  <c r="AZ7" i="2"/>
  <c r="BA7" i="2"/>
  <c r="AU7" i="2" s="1"/>
  <c r="AV7" i="2"/>
  <c r="AT7" i="2" l="1"/>
  <c r="AR8" i="2" s="1"/>
  <c r="AS8" i="2"/>
  <c r="AQ8" i="2"/>
  <c r="AP8" i="2" l="1"/>
  <c r="BD8" i="2" s="1"/>
  <c r="BA8" i="2" s="1"/>
  <c r="BC8" i="2" l="1"/>
  <c r="AX8" i="2" s="1"/>
  <c r="BB8" i="2"/>
  <c r="AW8" i="2" s="1"/>
  <c r="AZ8" i="2"/>
  <c r="AY8" i="2" l="1"/>
  <c r="AU8" i="2" s="1"/>
  <c r="AV8" i="2"/>
  <c r="AT8" i="2" s="1"/>
  <c r="AP9" i="2" s="1"/>
  <c r="AR9" i="2" l="1"/>
  <c r="AS9" i="2"/>
  <c r="AQ9" i="2"/>
  <c r="BD9" i="2" l="1"/>
  <c r="AZ9" i="2" s="1"/>
  <c r="BC9" i="2"/>
  <c r="AX9" i="2" s="1"/>
  <c r="BB9" i="2"/>
  <c r="AW9" i="2" s="1"/>
  <c r="BA9" i="2" l="1"/>
  <c r="AY9" i="2"/>
  <c r="AV9" i="2"/>
  <c r="AT9" i="2" s="1"/>
  <c r="AR10" i="2" l="1"/>
  <c r="AP10" i="2"/>
  <c r="AU9" i="2"/>
  <c r="AS10" i="2" s="1"/>
  <c r="AQ10" i="2" l="1"/>
  <c r="BB10" i="2" s="1"/>
  <c r="AV10" i="2" s="1"/>
  <c r="BD10" i="2" l="1"/>
  <c r="AZ10" i="2" s="1"/>
  <c r="BC10" i="2"/>
  <c r="AX10" i="2" s="1"/>
  <c r="AW10" i="2"/>
  <c r="AT10" i="2" l="1"/>
  <c r="AR11" i="2" s="1"/>
  <c r="BA10" i="2"/>
  <c r="AY10" i="2"/>
  <c r="AU10" i="2" l="1"/>
  <c r="AQ11" i="2" s="1"/>
  <c r="AP11" i="2"/>
  <c r="AS11" i="2" l="1"/>
  <c r="BB11" i="2"/>
  <c r="AW11" i="2" s="1"/>
  <c r="BC11" i="2"/>
  <c r="AX11" i="2" s="1"/>
  <c r="BD11" i="2"/>
  <c r="BA11" i="2" s="1"/>
  <c r="AZ11" i="2" l="1"/>
  <c r="AY11" i="2"/>
  <c r="AU11" i="2" s="1"/>
  <c r="AV11" i="2"/>
  <c r="AT11" i="2" l="1"/>
  <c r="AR12" i="2" s="1"/>
  <c r="AS12" i="2"/>
  <c r="AQ12" i="2"/>
  <c r="AP12" i="2"/>
  <c r="BD12" i="2" l="1"/>
  <c r="BA12" i="2" s="1"/>
  <c r="BC12" i="2"/>
  <c r="AY12" i="2" s="1"/>
  <c r="BB12" i="2"/>
  <c r="AW12" i="2" s="1"/>
  <c r="AZ12" i="2" l="1"/>
  <c r="AX12" i="2"/>
  <c r="AV12" i="2"/>
  <c r="AU12" i="2"/>
  <c r="AS13" i="2" s="1"/>
  <c r="AT12" i="2" l="1"/>
  <c r="AQ13" i="2"/>
  <c r="AP13" i="2" l="1"/>
  <c r="AR13" i="2"/>
  <c r="BD13" i="2" l="1"/>
  <c r="BA13" i="2" s="1"/>
  <c r="BC13" i="2"/>
  <c r="AY13" i="2" s="1"/>
  <c r="BB13" i="2"/>
  <c r="AW13" i="2" s="1"/>
  <c r="AZ13" i="2" l="1"/>
  <c r="AX13" i="2"/>
  <c r="AV13" i="2"/>
  <c r="AU13" i="2"/>
  <c r="AT13" i="2" l="1"/>
  <c r="AP14" i="2" s="1"/>
  <c r="AS14" i="2"/>
  <c r="AQ14" i="2"/>
  <c r="AR14" i="2" l="1"/>
  <c r="BD14" i="2"/>
  <c r="BA14" i="2" s="1"/>
  <c r="BC14" i="2"/>
  <c r="AX14" i="2" s="1"/>
  <c r="BB14" i="2"/>
  <c r="AV14" i="2" s="1"/>
  <c r="AZ14" i="2" l="1"/>
  <c r="AT14" i="2" s="1"/>
  <c r="AY14" i="2"/>
  <c r="AW14" i="2"/>
  <c r="AP15" i="2" l="1"/>
  <c r="AR15" i="2"/>
  <c r="AU14" i="2"/>
  <c r="AQ15" i="2" l="1"/>
  <c r="BB15" i="2" s="1"/>
  <c r="AV15" i="2" s="1"/>
  <c r="AS15" i="2"/>
  <c r="BD15" i="2" l="1"/>
  <c r="AZ15" i="2" s="1"/>
  <c r="BC15" i="2"/>
  <c r="AX15" i="2" s="1"/>
  <c r="AW15" i="2"/>
  <c r="AY15" i="2" l="1"/>
  <c r="BA15" i="2"/>
  <c r="AT15" i="2"/>
  <c r="AP16" i="2" s="1"/>
  <c r="AR16" i="2" l="1"/>
  <c r="AU15" i="2"/>
  <c r="AQ16" i="2"/>
  <c r="AS16" i="2"/>
  <c r="BD16" i="2" l="1"/>
  <c r="AZ16" i="2" s="1"/>
  <c r="BC16" i="2"/>
  <c r="AX16" i="2" s="1"/>
  <c r="BB16" i="2"/>
  <c r="AV16" i="2" s="1"/>
  <c r="AT16" i="2" l="1"/>
  <c r="AR17" i="2" s="1"/>
  <c r="BA16" i="2"/>
  <c r="AY16" i="2"/>
  <c r="AW16" i="2"/>
  <c r="AP17" i="2" l="1"/>
  <c r="AU16" i="2"/>
  <c r="AS17" i="2" l="1"/>
  <c r="AQ17" i="2"/>
  <c r="BD17" i="2" l="1"/>
  <c r="AZ17" i="2" s="1"/>
  <c r="BB17" i="2"/>
  <c r="AV17" i="2" s="1"/>
  <c r="BC17" i="2"/>
  <c r="AX17" i="2" s="1"/>
  <c r="AT17" i="2" l="1"/>
  <c r="BA17" i="2"/>
  <c r="AY17" i="2"/>
  <c r="AW17" i="2"/>
  <c r="AU17" i="2" l="1"/>
  <c r="AP18" i="2"/>
  <c r="AR18" i="2"/>
  <c r="AS18" i="2" l="1"/>
  <c r="AQ18" i="2"/>
  <c r="BD18" i="2" l="1"/>
  <c r="AZ18" i="2" s="1"/>
  <c r="BC18" i="2"/>
  <c r="AX18" i="2" s="1"/>
  <c r="BB18" i="2"/>
  <c r="AV18" i="2" s="1"/>
  <c r="AT18" i="2" l="1"/>
  <c r="BA18" i="2"/>
  <c r="AY18" i="2"/>
  <c r="AW18" i="2"/>
  <c r="AR19" i="2"/>
  <c r="AP19" i="2" l="1"/>
  <c r="AU18" i="2"/>
  <c r="AS19" i="2" s="1"/>
  <c r="AQ19" i="2" l="1"/>
  <c r="BC19" i="2"/>
  <c r="AX19" i="2" s="1"/>
  <c r="BB19" i="2"/>
  <c r="AV19" i="2" s="1"/>
  <c r="AY19" i="2"/>
  <c r="BD19" i="2"/>
  <c r="BA19" i="2" s="1"/>
  <c r="AW19" i="2" l="1"/>
  <c r="AU19" i="2" s="1"/>
  <c r="AZ19" i="2"/>
  <c r="AT19" i="2" s="1"/>
  <c r="AR20" i="2" l="1"/>
  <c r="AP20" i="2"/>
  <c r="AQ20" i="2"/>
  <c r="AS20" i="2"/>
  <c r="BC20" i="2" l="1"/>
  <c r="AX20" i="2" s="1"/>
  <c r="BB20" i="2"/>
  <c r="AV20" i="2" s="1"/>
  <c r="BD20" i="2"/>
  <c r="BA20" i="2" s="1"/>
  <c r="AY20" i="2" l="1"/>
  <c r="AW20" i="2"/>
  <c r="AU20" i="2" s="1"/>
  <c r="AS21" i="2" s="1"/>
  <c r="AZ20" i="2"/>
  <c r="AT20" i="2" s="1"/>
  <c r="AQ21" i="2" l="1"/>
  <c r="AR21" i="2"/>
  <c r="AP21" i="2"/>
  <c r="BB21" i="2" s="1"/>
  <c r="AV21" i="2" s="1"/>
  <c r="BD21" i="2" l="1"/>
  <c r="BA21" i="2" s="1"/>
  <c r="BC21" i="2"/>
  <c r="AX21" i="2" s="1"/>
  <c r="AZ21" i="2"/>
  <c r="AW21" i="2"/>
  <c r="AY21" i="2" l="1"/>
  <c r="AU21" i="2" s="1"/>
  <c r="AT21" i="2"/>
  <c r="AP22" i="2" s="1"/>
  <c r="AQ22" i="2" l="1"/>
  <c r="AS22" i="2"/>
  <c r="BB22" i="2"/>
  <c r="AV22" i="2" s="1"/>
  <c r="AR22" i="2"/>
  <c r="BC22" i="2"/>
  <c r="AX22" i="2" s="1"/>
  <c r="BD22" i="2"/>
  <c r="AZ22" i="2" s="1"/>
  <c r="AY22" i="2"/>
  <c r="AW22" i="2" l="1"/>
  <c r="AT22" i="2"/>
  <c r="BA22" i="2"/>
  <c r="AU22" i="2" s="1"/>
  <c r="AR23" i="2"/>
  <c r="AP23" i="2"/>
  <c r="AS23" i="2" l="1"/>
  <c r="AQ23" i="2"/>
  <c r="BD23" i="2" l="1"/>
  <c r="AZ23" i="2" s="1"/>
  <c r="BB23" i="2"/>
  <c r="AV23" i="2" s="1"/>
  <c r="BC23" i="2"/>
  <c r="AX23" i="2" s="1"/>
  <c r="AT23" i="2" l="1"/>
  <c r="BA23" i="2"/>
  <c r="AY23" i="2"/>
  <c r="AW23" i="2"/>
  <c r="AU23" i="2" l="1"/>
  <c r="AR24" i="2"/>
  <c r="AP24" i="2"/>
  <c r="AS24" i="2" l="1"/>
  <c r="AQ24" i="2"/>
  <c r="BB24" i="2" l="1"/>
  <c r="AV24" i="2" s="1"/>
  <c r="BD24" i="2"/>
  <c r="AZ24" i="2" s="1"/>
  <c r="BC24" i="2"/>
  <c r="AX24" i="2" s="1"/>
  <c r="AT24" i="2" l="1"/>
  <c r="BA24" i="2"/>
  <c r="AY24" i="2"/>
  <c r="AW24" i="2"/>
  <c r="AP25" i="2"/>
  <c r="AR25" i="2" l="1"/>
  <c r="AU24" i="2"/>
  <c r="AQ25" i="2" l="1"/>
  <c r="AS25" i="2"/>
  <c r="BB25" i="2" l="1"/>
  <c r="AV25" i="2" s="1"/>
  <c r="BD25" i="2"/>
  <c r="AZ25" i="2" s="1"/>
  <c r="BC25" i="2"/>
  <c r="AX25" i="2" s="1"/>
  <c r="AT25" i="2" l="1"/>
  <c r="BA25" i="2"/>
  <c r="AY25" i="2"/>
  <c r="AW25" i="2"/>
  <c r="AU25" i="2" l="1"/>
  <c r="AR26" i="2"/>
  <c r="AP26" i="2"/>
  <c r="AS26" i="2" l="1"/>
  <c r="AQ26" i="2"/>
  <c r="BC26" i="2" l="1"/>
  <c r="AX26" i="2" s="1"/>
  <c r="BB26" i="2"/>
  <c r="AV26" i="2" s="1"/>
  <c r="BD26" i="2"/>
  <c r="AZ26" i="2" s="1"/>
  <c r="AT26" i="2" l="1"/>
  <c r="BA26" i="2"/>
  <c r="AY26" i="2"/>
  <c r="AW26" i="2"/>
  <c r="AR27" i="2" l="1"/>
  <c r="AP27" i="2"/>
  <c r="AU26" i="2"/>
  <c r="AS27" i="2" l="1"/>
  <c r="AQ27" i="2"/>
  <c r="BB27" i="2" l="1"/>
  <c r="AV27" i="2" s="1"/>
  <c r="BD27" i="2"/>
  <c r="AZ27" i="2" s="1"/>
  <c r="BC27" i="2"/>
  <c r="AX27" i="2" s="1"/>
  <c r="AW27" i="2" l="1"/>
  <c r="AT27" i="2"/>
  <c r="BA27" i="2"/>
  <c r="AP28" i="2"/>
  <c r="AY27" i="2"/>
  <c r="AR28" i="2"/>
  <c r="AU27" i="2" l="1"/>
  <c r="AQ28" i="2"/>
  <c r="AS28" i="2"/>
  <c r="BB28" i="2" l="1"/>
  <c r="AV28" i="2" s="1"/>
  <c r="BD28" i="2"/>
  <c r="AZ28" i="2" s="1"/>
  <c r="BC28" i="2"/>
  <c r="AX28" i="2" s="1"/>
  <c r="AT28" i="2" l="1"/>
  <c r="BA28" i="2"/>
  <c r="AY28" i="2"/>
  <c r="AW28" i="2"/>
  <c r="AR29" i="2" l="1"/>
  <c r="AP29" i="2"/>
  <c r="AU28" i="2"/>
  <c r="AS29" i="2" l="1"/>
  <c r="AQ29" i="2"/>
  <c r="BD29" i="2" l="1"/>
  <c r="AZ29" i="2" s="1"/>
  <c r="BB29" i="2"/>
  <c r="AV29" i="2" s="1"/>
  <c r="BC29" i="2"/>
  <c r="AY29" i="2" s="1"/>
  <c r="BA29" i="2" l="1"/>
  <c r="AW29" i="2"/>
  <c r="AU29" i="2" s="1"/>
  <c r="AX29" i="2"/>
  <c r="AT29" i="2" s="1"/>
  <c r="AS30" i="2" l="1"/>
  <c r="AQ30" i="2"/>
  <c r="AP30" i="2"/>
  <c r="BC30" i="2" s="1"/>
  <c r="AY30" i="2" s="1"/>
  <c r="AR30" i="2"/>
  <c r="BD30" i="2" l="1"/>
  <c r="BA30" i="2" s="1"/>
  <c r="BB30" i="2"/>
  <c r="AW30" i="2" s="1"/>
  <c r="AU30" i="2" s="1"/>
  <c r="AX30" i="2"/>
  <c r="AZ30" i="2" l="1"/>
  <c r="AV30" i="2"/>
  <c r="AT30" i="2" s="1"/>
  <c r="AS31" i="2"/>
  <c r="AQ31" i="2"/>
  <c r="AR31" i="2" l="1"/>
  <c r="AP31" i="2"/>
  <c r="BC31" i="2" l="1"/>
  <c r="AY31" i="2" s="1"/>
  <c r="BD31" i="2"/>
  <c r="BA31" i="2" s="1"/>
  <c r="BB31" i="2"/>
  <c r="AW31" i="2" s="1"/>
  <c r="AZ31" i="2" l="1"/>
  <c r="AX31" i="2"/>
  <c r="AV31" i="2"/>
  <c r="AU31" i="2"/>
  <c r="AQ32" i="2" s="1"/>
  <c r="AT31" i="2" l="1"/>
  <c r="AS32" i="2"/>
  <c r="AP32" i="2" l="1"/>
  <c r="AR32" i="2"/>
  <c r="BD32" i="2" l="1"/>
  <c r="BA32" i="2" s="1"/>
  <c r="BC32" i="2"/>
  <c r="AY32" i="2" s="1"/>
  <c r="BB32" i="2"/>
  <c r="AZ32" i="2" l="1"/>
  <c r="AX32" i="2"/>
  <c r="AW32" i="2"/>
  <c r="AU32" i="2" s="1"/>
  <c r="AV32" i="2"/>
  <c r="AT32" i="2" l="1"/>
  <c r="AQ33" i="2"/>
  <c r="AS33" i="2"/>
  <c r="AR33" i="2" l="1"/>
  <c r="AP33" i="2"/>
  <c r="BD33" i="2" l="1"/>
  <c r="BA33" i="2" s="1"/>
  <c r="BC33" i="2"/>
  <c r="AY33" i="2" s="1"/>
  <c r="BB33" i="2"/>
  <c r="AW33" i="2" s="1"/>
  <c r="AZ33" i="2" l="1"/>
  <c r="AX33" i="2"/>
  <c r="AV33" i="2"/>
  <c r="AU33" i="2"/>
  <c r="AS34" i="2" s="1"/>
  <c r="AT33" i="2" l="1"/>
  <c r="AR34" i="2" s="1"/>
  <c r="AQ34" i="2"/>
  <c r="AP34" i="2" l="1"/>
  <c r="BB34" i="2" s="1"/>
  <c r="AW34" i="2" s="1"/>
  <c r="BC34" i="2" l="1"/>
  <c r="AY34" i="2" s="1"/>
  <c r="AU34" i="2" s="1"/>
  <c r="BD34" i="2"/>
  <c r="BA34" i="2" s="1"/>
  <c r="AV34" i="2"/>
  <c r="AX34" i="2" l="1"/>
  <c r="AZ34" i="2"/>
  <c r="AT34" i="2" s="1"/>
  <c r="AS35" i="2"/>
  <c r="AQ35" i="2"/>
  <c r="AR35" i="2" l="1"/>
  <c r="AP35" i="2"/>
  <c r="BC35" i="2" s="1"/>
  <c r="AY35" i="2" s="1"/>
  <c r="BD35" i="2" l="1"/>
  <c r="BA35" i="2" s="1"/>
  <c r="BB35" i="2"/>
  <c r="AW35" i="2" s="1"/>
  <c r="AU35" i="2" s="1"/>
  <c r="AX35" i="2"/>
  <c r="AV35" i="2"/>
  <c r="AZ35" i="2" l="1"/>
  <c r="AT35" i="2" s="1"/>
  <c r="AQ36" i="2"/>
  <c r="AS36" i="2"/>
  <c r="AR36" i="2" l="1"/>
  <c r="AP36" i="2"/>
  <c r="BC36" i="2" s="1"/>
  <c r="AY36" i="2" s="1"/>
  <c r="BB36" i="2"/>
  <c r="AW36" i="2" s="1"/>
  <c r="BD36" i="2"/>
  <c r="BA36" i="2" s="1"/>
  <c r="AZ36" i="2" l="1"/>
  <c r="AX36" i="2"/>
  <c r="AV36" i="2"/>
  <c r="AU36" i="2"/>
  <c r="AS37" i="2" s="1"/>
  <c r="AQ37" i="2" l="1"/>
  <c r="AT36" i="2"/>
  <c r="AP37" i="2"/>
  <c r="AR37" i="2"/>
  <c r="BD37" i="2" l="1"/>
  <c r="BA37" i="2" s="1"/>
  <c r="BC37" i="2"/>
  <c r="AY37" i="2" s="1"/>
  <c r="BB37" i="2"/>
  <c r="AZ37" i="2" l="1"/>
  <c r="AX37" i="2"/>
  <c r="AV37" i="2"/>
  <c r="AW37" i="2"/>
  <c r="AU37" i="2" s="1"/>
  <c r="AT37" i="2" l="1"/>
  <c r="AQ38" i="2"/>
  <c r="AS38" i="2"/>
  <c r="AR38" i="2"/>
  <c r="AP38" i="2"/>
  <c r="BD38" i="2" l="1"/>
  <c r="AZ38" i="2" s="1"/>
  <c r="BB38" i="2"/>
  <c r="AV38" i="2" s="1"/>
  <c r="BC38" i="2"/>
  <c r="AX38" i="2" s="1"/>
  <c r="AT38" i="2" l="1"/>
  <c r="BA38" i="2"/>
  <c r="AY38" i="2"/>
  <c r="AW38" i="2"/>
  <c r="AU38" i="2" l="1"/>
  <c r="AS39" i="2"/>
  <c r="AQ39" i="2"/>
  <c r="AR39" i="2"/>
  <c r="AP39" i="2"/>
  <c r="BD39" i="2" l="1"/>
  <c r="AZ39" i="2" s="1"/>
  <c r="BB39" i="2"/>
  <c r="AV39" i="2" s="1"/>
  <c r="BC39" i="2"/>
  <c r="AX39" i="2" s="1"/>
  <c r="AT39" i="2" l="1"/>
  <c r="BA39" i="2"/>
  <c r="AY39" i="2"/>
  <c r="AW39" i="2"/>
  <c r="AU39" i="2" l="1"/>
  <c r="AS40" i="2"/>
  <c r="AQ40" i="2"/>
  <c r="AP40" i="2" l="1"/>
  <c r="AR40" i="2"/>
  <c r="BB40" i="2" l="1"/>
  <c r="BD40" i="2"/>
  <c r="BC40" i="2"/>
  <c r="AZ40" i="2" l="1"/>
  <c r="BA40" i="2"/>
  <c r="AX40" i="2"/>
  <c r="AY40" i="2"/>
  <c r="AV40" i="2"/>
  <c r="AW40" i="2"/>
  <c r="AT40" i="2" l="1"/>
  <c r="AU40" i="2"/>
  <c r="AR41" i="2"/>
  <c r="AP41" i="2"/>
  <c r="AQ41" i="2" l="1"/>
  <c r="AS41" i="2"/>
  <c r="BB41" i="2" l="1"/>
  <c r="AV41" i="2" s="1"/>
  <c r="BC41" i="2"/>
  <c r="AX41" i="2" s="1"/>
  <c r="BD41" i="2"/>
  <c r="AZ41" i="2" s="1"/>
  <c r="AT41" i="2" l="1"/>
  <c r="BA41" i="2"/>
  <c r="AY41" i="2"/>
  <c r="AW41" i="2"/>
  <c r="AU41" i="2" l="1"/>
  <c r="AP42" i="2"/>
  <c r="AR42" i="2"/>
  <c r="AS42" i="2" l="1"/>
  <c r="AQ42" i="2"/>
  <c r="BB42" i="2" l="1"/>
  <c r="AV42" i="2" s="1"/>
  <c r="BC42" i="2"/>
  <c r="AX42" i="2" s="1"/>
  <c r="BD42" i="2"/>
  <c r="AZ42" i="2" s="1"/>
  <c r="AT42" i="2" l="1"/>
  <c r="BA42" i="2"/>
  <c r="AY42" i="2"/>
  <c r="AW42" i="2"/>
  <c r="AR43" i="2" l="1"/>
  <c r="AP43" i="2"/>
  <c r="AU42" i="2"/>
  <c r="AQ43" i="2" l="1"/>
  <c r="AS43" i="2"/>
  <c r="BC43" i="2" l="1"/>
  <c r="AX43" i="2" s="1"/>
  <c r="BB43" i="2"/>
  <c r="AV43" i="2" s="1"/>
  <c r="BD43" i="2"/>
  <c r="AZ43" i="2" s="1"/>
  <c r="AT43" i="2" l="1"/>
  <c r="BA43" i="2"/>
  <c r="AY43" i="2"/>
  <c r="AW43" i="2"/>
  <c r="AR44" i="2"/>
  <c r="AP44" i="2" l="1"/>
  <c r="AU43" i="2"/>
  <c r="AS44" i="2" s="1"/>
  <c r="AQ44" i="2"/>
  <c r="BB44" i="2" l="1"/>
  <c r="AV44" i="2" s="1"/>
  <c r="BC44" i="2"/>
  <c r="AX44" i="2" s="1"/>
  <c r="BD44" i="2"/>
  <c r="AZ44" i="2" s="1"/>
  <c r="AT44" i="2" l="1"/>
  <c r="AW44" i="2"/>
  <c r="BA44" i="2"/>
  <c r="AY44" i="2"/>
  <c r="AR45" i="2"/>
  <c r="AP45" i="2"/>
  <c r="AU44" i="2" l="1"/>
  <c r="AS45" i="2" s="1"/>
  <c r="AQ45" i="2" l="1"/>
  <c r="BC45" i="2" s="1"/>
  <c r="AX45" i="2" s="1"/>
  <c r="BB45" i="2"/>
  <c r="AV45" i="2" s="1"/>
  <c r="BD45" i="2" l="1"/>
  <c r="AZ45" i="2" s="1"/>
  <c r="AT45" i="2" s="1"/>
  <c r="AY45" i="2"/>
  <c r="BA45" i="2"/>
  <c r="AW45" i="2"/>
  <c r="AP46" i="2" l="1"/>
  <c r="AR46" i="2"/>
  <c r="AU45" i="2"/>
  <c r="AQ46" i="2" l="1"/>
  <c r="AS46" i="2"/>
  <c r="BC46" i="2" l="1"/>
  <c r="BB46" i="2"/>
  <c r="BD46" i="2"/>
  <c r="AZ46" i="2" s="1"/>
  <c r="AV46" i="2" l="1"/>
  <c r="AW46" i="2"/>
  <c r="AX46" i="2"/>
  <c r="AY46" i="2"/>
  <c r="BA46" i="2"/>
  <c r="AT46" i="2" l="1"/>
  <c r="AU46" i="2"/>
  <c r="AR47" i="2" l="1"/>
  <c r="AP47" i="2"/>
  <c r="AS47" i="2"/>
  <c r="AQ47" i="2"/>
  <c r="BC47" i="2" l="1"/>
  <c r="AY47" i="2" s="1"/>
  <c r="BB47" i="2"/>
  <c r="AV47" i="2" s="1"/>
  <c r="BD47" i="2"/>
  <c r="AZ47" i="2" s="1"/>
  <c r="AX47" i="2" l="1"/>
  <c r="AT47" i="2"/>
  <c r="AW47" i="2"/>
  <c r="BA47" i="2"/>
  <c r="AU47" i="2" l="1"/>
  <c r="AR48" i="2"/>
  <c r="AP48" i="2"/>
  <c r="AS48" i="2" l="1"/>
  <c r="AQ48" i="2"/>
  <c r="BD48" i="2" l="1"/>
  <c r="AZ48" i="2" s="1"/>
  <c r="BC48" i="2"/>
  <c r="AX48" i="2" s="1"/>
  <c r="BB48" i="2"/>
  <c r="AV48" i="2" s="1"/>
  <c r="AT48" i="2" l="1"/>
  <c r="AW48" i="2"/>
  <c r="AY48" i="2"/>
  <c r="BA48" i="2"/>
  <c r="AU48" i="2" l="1"/>
  <c r="AR49" i="2"/>
  <c r="AP49" i="2"/>
  <c r="AS49" i="2" l="1"/>
  <c r="AQ49" i="2"/>
  <c r="BD49" i="2" l="1"/>
  <c r="AZ49" i="2" s="1"/>
  <c r="BC49" i="2"/>
  <c r="BB49" i="2"/>
  <c r="AW49" i="2" l="1"/>
  <c r="AV49" i="2"/>
  <c r="AY49" i="2"/>
  <c r="AX49" i="2"/>
  <c r="BA49" i="2"/>
  <c r="AT49" i="2" l="1"/>
  <c r="AU49" i="2"/>
  <c r="AQ50" i="2" l="1"/>
  <c r="AS50" i="2"/>
  <c r="AP50" i="2"/>
  <c r="AR50" i="2"/>
  <c r="BD50" i="2" l="1"/>
  <c r="BC50" i="2"/>
  <c r="AY50" i="2" s="1"/>
  <c r="BB50" i="2"/>
  <c r="AV50" i="2" s="1"/>
  <c r="AZ50" i="2"/>
  <c r="BA50" i="2"/>
  <c r="AW50" i="2"/>
  <c r="AX50" i="2" l="1"/>
  <c r="AT50" i="2" s="1"/>
  <c r="AU50" i="2"/>
  <c r="AQ51" i="2" s="1"/>
  <c r="AS51" i="2" l="1"/>
  <c r="AP51" i="2"/>
  <c r="AR51" i="2"/>
  <c r="BC51" i="2" l="1"/>
  <c r="BB51" i="2"/>
  <c r="BD51" i="2"/>
  <c r="AV51" i="2" l="1"/>
  <c r="AW51" i="2"/>
  <c r="AZ51" i="2"/>
  <c r="BA51" i="2"/>
  <c r="AX51" i="2"/>
  <c r="AY51" i="2"/>
  <c r="AT51" i="2" l="1"/>
  <c r="AU51" i="2"/>
  <c r="AR52" i="2" l="1"/>
  <c r="AP52" i="2"/>
  <c r="AQ52" i="2"/>
  <c r="AS52" i="2"/>
  <c r="BB52" i="2" l="1"/>
  <c r="AV52" i="2" s="1"/>
  <c r="BC52" i="2"/>
  <c r="AY52" i="2" s="1"/>
  <c r="BD52" i="2"/>
  <c r="AZ52" i="2" s="1"/>
  <c r="AX52" i="2"/>
  <c r="AW52" i="2"/>
  <c r="BA52" i="2" l="1"/>
  <c r="AU52" i="2" s="1"/>
  <c r="AT52" i="2"/>
  <c r="AP53" i="2" l="1"/>
  <c r="AR53" i="2"/>
  <c r="AS53" i="2"/>
  <c r="AQ53" i="2"/>
  <c r="BD53" i="2" l="1"/>
  <c r="BA53" i="2" s="1"/>
  <c r="BB53" i="2"/>
  <c r="AW53" i="2" s="1"/>
  <c r="BC53" i="2"/>
  <c r="AY53" i="2" s="1"/>
  <c r="AZ53" i="2"/>
  <c r="AV53" i="2" l="1"/>
  <c r="AX53" i="2"/>
  <c r="AT53" i="2" s="1"/>
  <c r="AU53" i="2"/>
  <c r="AR54" i="2" l="1"/>
  <c r="AP54" i="2"/>
  <c r="AQ54" i="2"/>
  <c r="AS54" i="2"/>
  <c r="BC54" i="2" l="1"/>
  <c r="AY54" i="2" s="1"/>
  <c r="BB54" i="2"/>
  <c r="AW54" i="2" s="1"/>
  <c r="BD54" i="2"/>
  <c r="AZ54" i="2" s="1"/>
  <c r="AV54" i="2" l="1"/>
  <c r="AX54" i="2"/>
  <c r="BA54" i="2"/>
  <c r="AU54" i="2" s="1"/>
  <c r="AT54" i="2" l="1"/>
  <c r="AQ55" i="2"/>
  <c r="AS55" i="2"/>
  <c r="AR55" i="2" l="1"/>
  <c r="AP55" i="2"/>
  <c r="BC55" i="2" l="1"/>
  <c r="BD55" i="2"/>
  <c r="BB55" i="2"/>
  <c r="AZ55" i="2" l="1"/>
  <c r="BA55" i="2"/>
  <c r="AV55" i="2"/>
  <c r="AW55" i="2"/>
  <c r="AX55" i="2"/>
  <c r="AY55" i="2"/>
  <c r="AT55" i="2" l="1"/>
  <c r="AU55" i="2"/>
  <c r="AS56" i="2" s="1"/>
  <c r="AQ56" i="2"/>
  <c r="AP56" i="2" l="1"/>
  <c r="AR56" i="2"/>
  <c r="BB56" i="2" l="1"/>
  <c r="BD56" i="2"/>
  <c r="BC56" i="2"/>
  <c r="AZ56" i="2" l="1"/>
  <c r="BA56" i="2"/>
  <c r="AX56" i="2"/>
  <c r="AY56" i="2"/>
  <c r="AV56" i="2"/>
  <c r="AW56" i="2"/>
  <c r="AU56" i="2" l="1"/>
  <c r="AQ57" i="2" s="1"/>
  <c r="AT56" i="2"/>
  <c r="AR57" i="2" s="1"/>
  <c r="AS57" i="2"/>
  <c r="AP57" i="2" l="1"/>
  <c r="BC57" i="2" s="1"/>
  <c r="AX57" i="2" s="1"/>
  <c r="BB57" i="2"/>
  <c r="AW57" i="2" s="1"/>
  <c r="BD57" i="2"/>
  <c r="AZ57" i="2" s="1"/>
  <c r="AY57" i="2" l="1"/>
  <c r="AV57" i="2"/>
  <c r="AT57" i="2" s="1"/>
  <c r="BA57" i="2"/>
  <c r="AU57" i="2" s="1"/>
  <c r="AR58" i="2" l="1"/>
  <c r="AP58" i="2"/>
  <c r="AS58" i="2"/>
  <c r="AQ58" i="2"/>
  <c r="BD58" i="2" l="1"/>
  <c r="AZ58" i="2" s="1"/>
  <c r="BB58" i="2"/>
  <c r="AV58" i="2" s="1"/>
  <c r="BC58" i="2"/>
  <c r="AX58" i="2" s="1"/>
  <c r="BA58" i="2"/>
  <c r="AW58" i="2" l="1"/>
  <c r="AY58" i="2"/>
  <c r="AU58" i="2" s="1"/>
  <c r="AT58" i="2"/>
  <c r="AR59" i="2" l="1"/>
  <c r="AP59" i="2"/>
  <c r="AS59" i="2"/>
  <c r="AQ59" i="2"/>
  <c r="BC59" i="2" l="1"/>
  <c r="AX59" i="2" s="1"/>
  <c r="BD59" i="2"/>
  <c r="AZ59" i="2" s="1"/>
  <c r="BB59" i="2"/>
  <c r="AV59" i="2" s="1"/>
  <c r="AT59" i="2" l="1"/>
  <c r="AR60" i="2" s="1"/>
  <c r="AP60" i="2"/>
  <c r="AY59" i="2"/>
  <c r="AW59" i="2"/>
  <c r="BA59" i="2"/>
  <c r="AU59" i="2" l="1"/>
  <c r="AQ60" i="2" l="1"/>
  <c r="AS60" i="2"/>
  <c r="BB60" i="2" l="1"/>
  <c r="AV60" i="2" s="1"/>
  <c r="BC60" i="2"/>
  <c r="AX60" i="2" s="1"/>
  <c r="BD60" i="2"/>
  <c r="AZ60" i="2" s="1"/>
  <c r="AT60" i="2" l="1"/>
  <c r="AY60" i="2"/>
  <c r="AW60" i="2"/>
  <c r="BA60" i="2"/>
  <c r="AU60" i="2" l="1"/>
  <c r="AR61" i="2"/>
  <c r="AP61" i="2"/>
  <c r="AS61" i="2" l="1"/>
  <c r="AQ61" i="2"/>
  <c r="BB61" i="2" l="1"/>
  <c r="AV61" i="2" s="1"/>
  <c r="BD61" i="2"/>
  <c r="AZ61" i="2" s="1"/>
  <c r="BC61" i="2"/>
  <c r="AY61" i="2" l="1"/>
  <c r="AX61" i="2"/>
  <c r="AT61" i="2" s="1"/>
  <c r="AW61" i="2"/>
  <c r="BA61" i="2"/>
  <c r="AP62" i="2" l="1"/>
  <c r="AR62" i="2"/>
  <c r="AU61" i="2"/>
  <c r="AQ62" i="2" l="1"/>
  <c r="AS62" i="2"/>
  <c r="BD62" i="2"/>
  <c r="AZ62" i="2" s="1"/>
  <c r="BC62" i="2"/>
  <c r="AX62" i="2" s="1"/>
  <c r="BB62" i="2"/>
  <c r="AV62" i="2" s="1"/>
  <c r="AT62" i="2" l="1"/>
  <c r="AR63" i="2"/>
  <c r="AP63" i="2"/>
  <c r="BA62" i="2"/>
  <c r="AY62" i="2"/>
  <c r="AW62" i="2"/>
  <c r="AU62" i="2" l="1"/>
  <c r="AQ63" i="2" s="1"/>
  <c r="BC63" i="2" s="1"/>
  <c r="AX63" i="2" s="1"/>
  <c r="BD63" i="2"/>
  <c r="AZ63" i="2" s="1"/>
  <c r="BB63" i="2"/>
  <c r="AV63" i="2" s="1"/>
  <c r="AS63" i="2" l="1"/>
  <c r="AT63" i="2"/>
  <c r="AR64" i="2" s="1"/>
  <c r="AP64" i="2"/>
  <c r="AY63" i="2"/>
  <c r="AW63" i="2"/>
  <c r="BA63" i="2"/>
  <c r="AU63" i="2" l="1"/>
  <c r="AS64" i="2" l="1"/>
  <c r="AQ64" i="2"/>
  <c r="BC64" i="2" l="1"/>
  <c r="AX64" i="2" s="1"/>
  <c r="BD64" i="2"/>
  <c r="AZ64" i="2" s="1"/>
  <c r="BB64" i="2"/>
  <c r="AV64" i="2" s="1"/>
  <c r="AT64" i="2" l="1"/>
  <c r="AR65" i="2"/>
  <c r="AP65" i="2"/>
  <c r="AY64" i="2"/>
  <c r="AW64" i="2"/>
  <c r="BA64" i="2"/>
  <c r="AU64" i="2" l="1"/>
  <c r="AS65" i="2" l="1"/>
  <c r="AQ65" i="2"/>
  <c r="BD65" i="2" l="1"/>
  <c r="AZ65" i="2" s="1"/>
  <c r="BC65" i="2"/>
  <c r="AX65" i="2" s="1"/>
  <c r="BB65" i="2"/>
  <c r="AW65" i="2" l="1"/>
  <c r="AV65" i="2"/>
  <c r="AT65" i="2" s="1"/>
  <c r="AY65" i="2"/>
  <c r="BA65" i="2"/>
  <c r="AP66" i="2" l="1"/>
  <c r="AR66" i="2"/>
  <c r="AU65" i="2"/>
  <c r="AS66" i="2" l="1"/>
  <c r="AQ66" i="2"/>
  <c r="BD66" i="2" s="1"/>
  <c r="AZ66" i="2" s="1"/>
  <c r="BC66" i="2"/>
  <c r="AX66" i="2" s="1"/>
  <c r="BB66" i="2"/>
  <c r="AV66" i="2" s="1"/>
  <c r="AT66" i="2" l="1"/>
  <c r="AR67" i="2"/>
  <c r="BA66" i="2"/>
  <c r="AW66" i="2"/>
  <c r="AY66" i="2"/>
  <c r="AP67" i="2"/>
  <c r="AU66" i="2" l="1"/>
  <c r="AQ67" i="2" l="1"/>
  <c r="AS67" i="2"/>
  <c r="BB67" i="2" l="1"/>
  <c r="AV67" i="2" s="1"/>
  <c r="BD67" i="2"/>
  <c r="AZ67" i="2" s="1"/>
  <c r="BC67" i="2"/>
  <c r="AX67" i="2" s="1"/>
  <c r="AW67" i="2" l="1"/>
  <c r="AT67" i="2"/>
  <c r="AY67" i="2"/>
  <c r="BA67" i="2"/>
  <c r="AU67" i="2" l="1"/>
  <c r="AS68" i="2" s="1"/>
  <c r="AQ68" i="2"/>
  <c r="AR68" i="2"/>
  <c r="AP68" i="2"/>
  <c r="BB68" i="2" l="1"/>
  <c r="AV68" i="2" s="1"/>
  <c r="BC68" i="2"/>
  <c r="AX68" i="2" s="1"/>
  <c r="BD68" i="2"/>
  <c r="AZ68" i="2" s="1"/>
  <c r="AW68" i="2"/>
  <c r="AY68" i="2" l="1"/>
  <c r="AT68" i="2"/>
  <c r="BA68" i="2"/>
  <c r="AU68" i="2" s="1"/>
  <c r="AS69" i="2" l="1"/>
  <c r="AQ69" i="2"/>
  <c r="AR69" i="2"/>
  <c r="AP69" i="2"/>
  <c r="BD69" i="2" l="1"/>
  <c r="AZ69" i="2" s="1"/>
  <c r="BC69" i="2"/>
  <c r="AY69" i="2" s="1"/>
  <c r="BB69" i="2"/>
  <c r="AV69" i="2" s="1"/>
  <c r="BA69" i="2"/>
  <c r="AX69" i="2" l="1"/>
  <c r="AT69" i="2" s="1"/>
  <c r="AR70" i="2" s="1"/>
  <c r="AW69" i="2"/>
  <c r="AU69" i="2" s="1"/>
  <c r="AP70" i="2" l="1"/>
  <c r="AQ70" i="2"/>
  <c r="AS70" i="2"/>
  <c r="BD70" i="2" l="1"/>
  <c r="AZ70" i="2" s="1"/>
  <c r="BC70" i="2"/>
  <c r="AX70" i="2" s="1"/>
  <c r="BB70" i="2"/>
  <c r="AW70" i="2" l="1"/>
  <c r="AV70" i="2"/>
  <c r="AT70" i="2" s="1"/>
  <c r="BA70" i="2"/>
  <c r="AY70" i="2"/>
  <c r="AP71" i="2" l="1"/>
  <c r="AR71" i="2"/>
  <c r="AU70" i="2"/>
  <c r="AS71" i="2" l="1"/>
  <c r="AQ71" i="2"/>
  <c r="BD71" i="2" s="1"/>
  <c r="AZ71" i="2" s="1"/>
  <c r="BC71" i="2" l="1"/>
  <c r="AX71" i="2" s="1"/>
  <c r="BA71" i="2"/>
  <c r="BB71" i="2"/>
  <c r="AV71" i="2" s="1"/>
  <c r="AT71" i="2" s="1"/>
  <c r="AY71" i="2" l="1"/>
  <c r="AW71" i="2"/>
  <c r="AU71" i="2" s="1"/>
  <c r="AR72" i="2"/>
  <c r="AP72" i="2"/>
  <c r="AS72" i="2" l="1"/>
  <c r="AQ72" i="2"/>
  <c r="BC72" i="2" l="1"/>
  <c r="AX72" i="2" s="1"/>
  <c r="BB72" i="2"/>
  <c r="AV72" i="2" s="1"/>
  <c r="BD72" i="2"/>
  <c r="AZ72" i="2" s="1"/>
  <c r="AT72" i="2" l="1"/>
  <c r="AR73" i="2"/>
  <c r="AP73" i="2"/>
  <c r="AW72" i="2"/>
  <c r="AY72" i="2"/>
  <c r="BA72" i="2"/>
  <c r="AU72" i="2" l="1"/>
  <c r="AQ73" i="2" l="1"/>
  <c r="AS73" i="2"/>
  <c r="BB73" i="2" l="1"/>
  <c r="AV73" i="2" s="1"/>
  <c r="BD73" i="2"/>
  <c r="AZ73" i="2" s="1"/>
  <c r="BC73" i="2"/>
  <c r="AX73" i="2" s="1"/>
  <c r="AT73" i="2" l="1"/>
  <c r="AY73" i="2"/>
  <c r="AW73" i="2"/>
  <c r="BA73" i="2"/>
  <c r="AP74" i="2" l="1"/>
  <c r="AR74" i="2"/>
  <c r="AU73" i="2"/>
  <c r="AS74" i="2" l="1"/>
  <c r="AQ74" i="2"/>
  <c r="BD74" i="2" s="1"/>
  <c r="AZ74" i="2" s="1"/>
  <c r="BB74" i="2"/>
  <c r="AV74" i="2" s="1"/>
  <c r="BA74" i="2" l="1"/>
  <c r="AW74" i="2"/>
  <c r="BC74" i="2"/>
  <c r="AX74" i="2" s="1"/>
  <c r="AT74" i="2" s="1"/>
  <c r="AR75" i="2" l="1"/>
  <c r="AP75" i="2"/>
  <c r="AY74" i="2"/>
  <c r="AU74" i="2" s="1"/>
  <c r="AS75" i="2" l="1"/>
  <c r="AQ75" i="2"/>
  <c r="BC75" i="2"/>
  <c r="AX75" i="2" s="1"/>
  <c r="BB75" i="2"/>
  <c r="AV75" i="2" s="1"/>
  <c r="AY75" i="2" l="1"/>
  <c r="AW75" i="2"/>
  <c r="BD75" i="2"/>
  <c r="AZ75" i="2" s="1"/>
  <c r="AT75" i="2" s="1"/>
  <c r="AP76" i="2" l="1"/>
  <c r="AR76" i="2"/>
  <c r="BA75" i="2"/>
  <c r="AU75" i="2" s="1"/>
  <c r="AS76" i="2" l="1"/>
  <c r="AQ76" i="2"/>
  <c r="BB76" i="2"/>
  <c r="AV76" i="2" s="1"/>
  <c r="BC76" i="2"/>
  <c r="AX76" i="2" s="1"/>
  <c r="AW76" i="2" l="1"/>
  <c r="AY76" i="2"/>
  <c r="BD76" i="2"/>
  <c r="AZ76" i="2" s="1"/>
  <c r="AT76" i="2" s="1"/>
  <c r="AR77" i="2" l="1"/>
  <c r="AP77" i="2"/>
  <c r="BA76" i="2"/>
  <c r="AU76" i="2" s="1"/>
  <c r="AS77" i="2" l="1"/>
  <c r="AQ77" i="2"/>
  <c r="BB77" i="2"/>
  <c r="AW77" i="2" s="1"/>
  <c r="BC77" i="2"/>
  <c r="AY77" i="2" s="1"/>
  <c r="AV77" i="2" l="1"/>
  <c r="AX77" i="2"/>
  <c r="BD77" i="2"/>
  <c r="AZ77" i="2" s="1"/>
  <c r="AT77" i="2" l="1"/>
  <c r="AP78" i="2" s="1"/>
  <c r="AR78" i="2"/>
  <c r="BA77" i="2"/>
  <c r="AU77" i="2" s="1"/>
  <c r="AQ78" i="2" l="1"/>
  <c r="AS78" i="2"/>
  <c r="BC78" i="2" l="1"/>
  <c r="BD78" i="2"/>
  <c r="AZ78" i="2" s="1"/>
  <c r="BB78" i="2"/>
  <c r="AV78" i="2" s="1"/>
  <c r="AW78" i="2" l="1"/>
  <c r="AY78" i="2"/>
  <c r="AX78" i="2"/>
  <c r="AT78" i="2" s="1"/>
  <c r="BA78" i="2"/>
  <c r="AP79" i="2" l="1"/>
  <c r="AR79" i="2"/>
  <c r="AU78" i="2"/>
  <c r="AS79" i="2" l="1"/>
  <c r="AQ79" i="2"/>
  <c r="BB79" i="2" s="1"/>
  <c r="AV79" i="2" s="1"/>
  <c r="BC79" i="2"/>
  <c r="AX79" i="2" s="1"/>
  <c r="BD79" i="2" l="1"/>
  <c r="AZ79" i="2" s="1"/>
  <c r="AT79" i="2" s="1"/>
  <c r="AW79" i="2"/>
  <c r="AY79" i="2"/>
  <c r="BA79" i="2" l="1"/>
  <c r="AU79" i="2" s="1"/>
  <c r="AR80" i="2"/>
  <c r="AP80" i="2"/>
  <c r="AS80" i="2" l="1"/>
  <c r="AQ80" i="2"/>
  <c r="BD80" i="2" l="1"/>
  <c r="AZ80" i="2" s="1"/>
  <c r="BC80" i="2"/>
  <c r="AX80" i="2" s="1"/>
  <c r="BB80" i="2"/>
  <c r="AV80" i="2" s="1"/>
  <c r="AT80" i="2" l="1"/>
  <c r="AR81" i="2" s="1"/>
  <c r="AW80" i="2"/>
  <c r="AY80" i="2"/>
  <c r="BA80" i="2"/>
  <c r="AP81" i="2" l="1"/>
  <c r="AU80" i="2"/>
  <c r="AQ81" i="2" l="1"/>
  <c r="AS81" i="2"/>
  <c r="BD81" i="2" l="1"/>
  <c r="AZ81" i="2" s="1"/>
  <c r="BB81" i="2"/>
  <c r="AV81" i="2" s="1"/>
  <c r="BC81" i="2"/>
  <c r="AX81" i="2" s="1"/>
  <c r="AT81" i="2" l="1"/>
  <c r="BA81" i="2"/>
  <c r="AW81" i="2"/>
  <c r="AY81" i="2"/>
  <c r="AU81" i="2" l="1"/>
  <c r="AR82" i="2"/>
  <c r="AP82" i="2"/>
  <c r="AQ82" i="2" l="1"/>
  <c r="AS82" i="2"/>
  <c r="BC82" i="2" l="1"/>
  <c r="AX82" i="2" s="1"/>
  <c r="BD82" i="2"/>
  <c r="AZ82" i="2" s="1"/>
  <c r="BB82" i="2"/>
  <c r="AV82" i="2" s="1"/>
  <c r="AT82" i="2" l="1"/>
  <c r="AW82" i="2"/>
  <c r="AY82" i="2"/>
  <c r="BA82" i="2"/>
  <c r="AU82" i="2" l="1"/>
  <c r="AP83" i="2"/>
  <c r="AR83" i="2"/>
  <c r="AQ83" i="2" l="1"/>
  <c r="BB83" i="2" s="1"/>
  <c r="AV83" i="2" s="1"/>
  <c r="AS83" i="2"/>
  <c r="AW83" i="2" l="1"/>
  <c r="BC83" i="2"/>
  <c r="AX83" i="2" s="1"/>
  <c r="BD83" i="2"/>
  <c r="AZ83" i="2" s="1"/>
  <c r="AT83" i="2" l="1"/>
  <c r="AR84" i="2" s="1"/>
  <c r="AY83" i="2"/>
  <c r="BA83" i="2"/>
  <c r="AP84" i="2" l="1"/>
  <c r="AU83" i="2"/>
  <c r="AS84" i="2" s="1"/>
  <c r="AQ84" i="2" l="1"/>
  <c r="BC84" i="2" s="1"/>
  <c r="AX84" i="2" s="1"/>
  <c r="AY84" i="2" l="1"/>
  <c r="BD84" i="2"/>
  <c r="AZ84" i="2" s="1"/>
  <c r="BB84" i="2"/>
  <c r="AV84" i="2" s="1"/>
  <c r="BA84" i="2"/>
  <c r="AT84" i="2" l="1"/>
  <c r="AU84" i="2"/>
  <c r="AS85" i="2" s="1"/>
  <c r="AW84" i="2"/>
  <c r="AQ85" i="2"/>
  <c r="AR85" i="2" l="1"/>
  <c r="AP85" i="2"/>
  <c r="BB85" i="2" l="1"/>
  <c r="BD85" i="2"/>
  <c r="BC85" i="2"/>
  <c r="AX85" i="2" l="1"/>
  <c r="AY85" i="2"/>
  <c r="AZ85" i="2"/>
  <c r="BA85" i="2"/>
  <c r="AV85" i="2"/>
  <c r="AT85" i="2" s="1"/>
  <c r="AW85" i="2"/>
  <c r="AU85" i="2" l="1"/>
  <c r="AR86" i="2"/>
  <c r="AP86" i="2"/>
  <c r="AQ86" i="2" l="1"/>
  <c r="BB86" i="2" s="1"/>
  <c r="AV86" i="2" s="1"/>
  <c r="AS86" i="2"/>
  <c r="BC86" i="2" l="1"/>
  <c r="AX86" i="2" s="1"/>
  <c r="AT86" i="2" s="1"/>
  <c r="AY86" i="2"/>
  <c r="AW86" i="2"/>
  <c r="BD86" i="2"/>
  <c r="AZ86" i="2" s="1"/>
  <c r="AR87" i="2" l="1"/>
  <c r="AP87" i="2"/>
  <c r="BA86" i="2"/>
  <c r="AU86" i="2" s="1"/>
  <c r="AQ87" i="2" l="1"/>
  <c r="AS87" i="2"/>
  <c r="BC87" i="2"/>
  <c r="AY87" i="2" s="1"/>
  <c r="AX87" i="2" l="1"/>
  <c r="BD87" i="2"/>
  <c r="BB87" i="2"/>
  <c r="AW87" i="2" l="1"/>
  <c r="AV87" i="2"/>
  <c r="AZ87" i="2"/>
  <c r="BA87" i="2"/>
  <c r="AU87" i="2" s="1"/>
  <c r="AT87" i="2" l="1"/>
  <c r="AQ88" i="2"/>
  <c r="AS88" i="2"/>
  <c r="AP88" i="2" l="1"/>
  <c r="AR88" i="2"/>
  <c r="BC88" i="2" l="1"/>
  <c r="AY88" i="2" s="1"/>
  <c r="BB88" i="2"/>
  <c r="AW88" i="2" s="1"/>
  <c r="AX88" i="2"/>
  <c r="BD88" i="2"/>
  <c r="AV88" i="2"/>
  <c r="AZ88" i="2" l="1"/>
  <c r="AT88" i="2" s="1"/>
  <c r="BA88" i="2"/>
  <c r="AU88" i="2" s="1"/>
  <c r="AQ89" i="2" l="1"/>
  <c r="AS89" i="2"/>
  <c r="AP89" i="2"/>
  <c r="AR89" i="2"/>
  <c r="BD89" i="2" l="1"/>
  <c r="AZ89" i="2" s="1"/>
  <c r="BC89" i="2"/>
  <c r="AX89" i="2" s="1"/>
  <c r="BB89" i="2"/>
  <c r="AV89" i="2" s="1"/>
  <c r="AT89" i="2" s="1"/>
  <c r="AR90" i="2" s="1"/>
  <c r="BA89" i="2"/>
  <c r="AW89" i="2" l="1"/>
  <c r="AY89" i="2"/>
  <c r="AP90" i="2"/>
  <c r="AU89" i="2" l="1"/>
  <c r="AS90" i="2" l="1"/>
  <c r="AQ90" i="2"/>
  <c r="BD90" i="2" l="1"/>
  <c r="AZ90" i="2" s="1"/>
  <c r="BB90" i="2"/>
  <c r="AV90" i="2" s="1"/>
  <c r="BC90" i="2"/>
  <c r="AX90" i="2" s="1"/>
  <c r="AY90" i="2"/>
  <c r="BA90" i="2"/>
  <c r="AW90" i="2"/>
  <c r="AU90" i="2" l="1"/>
  <c r="AT90" i="2"/>
  <c r="AR91" i="2" l="1"/>
  <c r="AP91" i="2"/>
  <c r="AQ91" i="2"/>
  <c r="AS91" i="2"/>
  <c r="BD91" i="2" l="1"/>
  <c r="AZ91" i="2" s="1"/>
  <c r="BB91" i="2"/>
  <c r="AV91" i="2" s="1"/>
  <c r="BC91" i="2"/>
  <c r="AW91" i="2"/>
  <c r="AX91" i="2" l="1"/>
  <c r="AT91" i="2" s="1"/>
  <c r="AY91" i="2"/>
  <c r="AU91" i="2" s="1"/>
  <c r="BA91" i="2"/>
  <c r="AS92" i="2" l="1"/>
  <c r="AQ92" i="2"/>
  <c r="BB92" i="2" s="1"/>
  <c r="AV92" i="2" s="1"/>
  <c r="AP92" i="2"/>
  <c r="BC92" i="2" s="1"/>
  <c r="AX92" i="2" s="1"/>
  <c r="AR92" i="2"/>
  <c r="AY92" i="2" l="1"/>
  <c r="AW92" i="2"/>
  <c r="BD92" i="2"/>
  <c r="AZ92" i="2" s="1"/>
  <c r="AT92" i="2" s="1"/>
  <c r="AR93" i="2" s="1"/>
  <c r="BA92" i="2" l="1"/>
  <c r="AU92" i="2" s="1"/>
  <c r="AP93" i="2"/>
  <c r="AQ93" i="2" l="1"/>
  <c r="AS93" i="2"/>
  <c r="BD93" i="2"/>
  <c r="AZ93" i="2" s="1"/>
  <c r="BC93" i="2"/>
  <c r="BB93" i="2"/>
  <c r="AW93" i="2" l="1"/>
  <c r="AV93" i="2"/>
  <c r="AY93" i="2"/>
  <c r="AX93" i="2"/>
  <c r="BA93" i="2"/>
  <c r="AT93" i="2" l="1"/>
  <c r="AU93" i="2"/>
  <c r="AQ94" i="2" l="1"/>
  <c r="AS94" i="2"/>
  <c r="AR94" i="2"/>
  <c r="AP94" i="2"/>
  <c r="BD94" i="2" l="1"/>
  <c r="AZ94" i="2" s="1"/>
  <c r="BB94" i="2"/>
  <c r="AW94" i="2" s="1"/>
  <c r="BC94" i="2"/>
  <c r="AY94" i="2" s="1"/>
  <c r="BA94" i="2"/>
  <c r="AV94" i="2" l="1"/>
  <c r="AX94" i="2"/>
  <c r="AT94" i="2" s="1"/>
  <c r="AU94" i="2"/>
  <c r="AP95" i="2" l="1"/>
  <c r="AR95" i="2"/>
  <c r="AS95" i="2"/>
  <c r="AQ95" i="2"/>
  <c r="BB95" i="2" l="1"/>
  <c r="BC95" i="2"/>
  <c r="BD95" i="2"/>
  <c r="AZ95" i="2" s="1"/>
  <c r="AY95" i="2" l="1"/>
  <c r="AX95" i="2"/>
  <c r="AW95" i="2"/>
  <c r="AV95" i="2"/>
  <c r="BA95" i="2"/>
  <c r="AT95" i="2" l="1"/>
  <c r="AR96" i="2"/>
  <c r="AP96" i="2"/>
  <c r="AU95" i="2"/>
  <c r="AS96" i="2" l="1"/>
  <c r="AQ96" i="2"/>
  <c r="BD96" i="2" s="1"/>
  <c r="AZ96" i="2" s="1"/>
  <c r="BA96" i="2" l="1"/>
  <c r="BC96" i="2"/>
  <c r="BB96" i="2"/>
  <c r="AY96" i="2" l="1"/>
  <c r="AX96" i="2"/>
  <c r="AW96" i="2"/>
  <c r="AU96" i="2" s="1"/>
  <c r="AV96" i="2"/>
  <c r="AT96" i="2" s="1"/>
  <c r="AP97" i="2" l="1"/>
  <c r="AR97" i="2"/>
  <c r="AS97" i="2"/>
  <c r="AQ97" i="2"/>
  <c r="BD97" i="2" l="1"/>
  <c r="AZ97" i="2" s="1"/>
  <c r="BC97" i="2"/>
  <c r="AX97" i="2" s="1"/>
  <c r="BB97" i="2"/>
  <c r="AV97" i="2" s="1"/>
  <c r="AT97" i="2" l="1"/>
  <c r="BA97" i="2"/>
  <c r="AW97" i="2"/>
  <c r="AY97" i="2"/>
  <c r="AU97" i="2" l="1"/>
  <c r="AS98" i="2"/>
  <c r="AQ98" i="2"/>
  <c r="AR98" i="2"/>
  <c r="AP98" i="2"/>
  <c r="BD98" i="2" l="1"/>
  <c r="BA98" i="2" s="1"/>
  <c r="BB98" i="2"/>
  <c r="AV98" i="2" s="1"/>
  <c r="BC98" i="2"/>
  <c r="AX98" i="2" s="1"/>
  <c r="AZ98" i="2"/>
  <c r="AT98" i="2" l="1"/>
  <c r="AR99" i="2"/>
  <c r="AP99" i="2"/>
  <c r="AW98" i="2"/>
  <c r="AY98" i="2"/>
  <c r="AU98" i="2" l="1"/>
  <c r="AQ99" i="2" s="1"/>
  <c r="BC99" i="2" l="1"/>
  <c r="BD99" i="2"/>
  <c r="AZ99" i="2" s="1"/>
  <c r="AS99" i="2"/>
  <c r="AY99" i="2"/>
  <c r="AX99" i="2"/>
  <c r="BB99" i="2"/>
  <c r="AW99" i="2" s="1"/>
  <c r="BA99" i="2"/>
  <c r="AV99" i="2" l="1"/>
  <c r="AT99" i="2" s="1"/>
  <c r="AU99" i="2"/>
  <c r="AS100" i="2" s="1"/>
  <c r="AQ100" i="2"/>
  <c r="AP100" i="2"/>
  <c r="AR100" i="2"/>
  <c r="BB100" i="2" l="1"/>
  <c r="AV100" i="2" s="1"/>
  <c r="BD100" i="2"/>
  <c r="AZ100" i="2" s="1"/>
  <c r="BC100" i="2"/>
  <c r="AX100" i="2" s="1"/>
  <c r="AW100" i="2"/>
  <c r="BA100" i="2" l="1"/>
  <c r="AY100" i="2"/>
  <c r="AT100" i="2"/>
  <c r="AR101" i="2" s="1"/>
  <c r="AU100" i="2" l="1"/>
  <c r="AS101" i="2"/>
  <c r="AQ101" i="2"/>
  <c r="AP101" i="2"/>
  <c r="BC101" i="2" s="1"/>
  <c r="AX101" i="2" s="1"/>
  <c r="BB101" i="2" l="1"/>
  <c r="AV101" i="2" s="1"/>
  <c r="BD101" i="2"/>
  <c r="AZ101" i="2" s="1"/>
  <c r="AY101" i="2"/>
  <c r="BA101" i="2" l="1"/>
  <c r="AT101" i="2"/>
  <c r="AR102" i="2" s="1"/>
  <c r="AW101" i="2"/>
  <c r="AU101" i="2" s="1"/>
  <c r="AQ102" i="2" s="1"/>
  <c r="AP102" i="2" l="1"/>
  <c r="BC102" i="2" s="1"/>
  <c r="AX102" i="2" s="1"/>
  <c r="AS102" i="2"/>
  <c r="BB102" i="2" l="1"/>
  <c r="AV102" i="2" s="1"/>
  <c r="AY102" i="2"/>
  <c r="BD102" i="2"/>
  <c r="AW102" i="2"/>
  <c r="AZ102" i="2" l="1"/>
  <c r="BA102" i="2"/>
  <c r="AU102" i="2"/>
  <c r="AQ103" i="2" s="1"/>
  <c r="AT102" i="2"/>
  <c r="AP103" i="2" l="1"/>
  <c r="BD103" i="2" s="1"/>
  <c r="AR103" i="2"/>
  <c r="AS103" i="2"/>
  <c r="BB103" i="2" l="1"/>
  <c r="AZ103" i="2"/>
  <c r="BA103" i="2"/>
  <c r="BC103" i="2"/>
  <c r="AY103" i="2" s="1"/>
  <c r="AW103" i="2"/>
  <c r="AV103" i="2"/>
  <c r="AX103" i="2" l="1"/>
  <c r="AU103" i="2"/>
  <c r="AQ104" i="2" s="1"/>
  <c r="AS104" i="2"/>
  <c r="AT103" i="2"/>
  <c r="AR104" i="2" l="1"/>
  <c r="AP104" i="2"/>
  <c r="BB104" i="2" l="1"/>
  <c r="AW104" i="2" s="1"/>
  <c r="BC104" i="2"/>
  <c r="AY104" i="2" s="1"/>
  <c r="BD104" i="2"/>
  <c r="BA104" i="2" s="1"/>
  <c r="AU104" i="2" l="1"/>
  <c r="AX104" i="2"/>
  <c r="AV104" i="2"/>
  <c r="AZ104" i="2"/>
  <c r="AT104" i="2" l="1"/>
  <c r="AQ105" i="2"/>
  <c r="AS105" i="2"/>
  <c r="AR105" i="2" l="1"/>
  <c r="AP105" i="2"/>
  <c r="BD105" i="2" l="1"/>
  <c r="BA105" i="2" s="1"/>
  <c r="BC105" i="2"/>
  <c r="AY105" i="2" s="1"/>
  <c r="BB105" i="2"/>
  <c r="AW105" i="2" s="1"/>
  <c r="AV105" i="2" l="1"/>
  <c r="AZ105" i="2"/>
  <c r="AX105" i="2"/>
  <c r="AU105" i="2"/>
  <c r="AT105" i="2" l="1"/>
  <c r="AQ106" i="2"/>
  <c r="AS106" i="2"/>
  <c r="AR106" i="2"/>
  <c r="AP106" i="2"/>
  <c r="BC106" i="2" l="1"/>
  <c r="AY106" i="2" s="1"/>
  <c r="BD106" i="2"/>
  <c r="AZ106" i="2" s="1"/>
  <c r="BB106" i="2"/>
  <c r="AV106" i="2" s="1"/>
  <c r="BA106" i="2" l="1"/>
  <c r="AX106" i="2"/>
  <c r="AT106" i="2" s="1"/>
  <c r="AW106" i="2"/>
  <c r="AU106" i="2" s="1"/>
  <c r="AQ107" i="2" l="1"/>
  <c r="AS107" i="2"/>
  <c r="AP107" i="2"/>
  <c r="AR107" i="2"/>
  <c r="BC107" i="2" l="1"/>
  <c r="AX107" i="2" s="1"/>
  <c r="BB107" i="2"/>
  <c r="AV107" i="2" s="1"/>
  <c r="BD107" i="2"/>
  <c r="AZ107" i="2" s="1"/>
  <c r="AY107" i="2"/>
  <c r="BA107" i="2" l="1"/>
  <c r="AT107" i="2"/>
  <c r="AW107" i="2"/>
  <c r="AU107" i="2" s="1"/>
  <c r="AR108" i="2" l="1"/>
  <c r="AP108" i="2"/>
  <c r="AQ108" i="2"/>
  <c r="AS108" i="2"/>
  <c r="BC108" i="2" l="1"/>
  <c r="AX108" i="2" s="1"/>
  <c r="BD108" i="2"/>
  <c r="AZ108" i="2" s="1"/>
  <c r="BB108" i="2"/>
  <c r="AV108" i="2" s="1"/>
  <c r="AT108" i="2" s="1"/>
  <c r="AY108" i="2"/>
  <c r="BA108" i="2"/>
  <c r="AR109" i="2" l="1"/>
  <c r="AP109" i="2"/>
  <c r="AW108" i="2"/>
  <c r="AU108" i="2" s="1"/>
  <c r="AQ109" i="2" l="1"/>
  <c r="BC109" i="2" s="1"/>
  <c r="AX109" i="2" s="1"/>
  <c r="AS109" i="2"/>
  <c r="BD109" i="2"/>
  <c r="AZ109" i="2" s="1"/>
  <c r="BA109" i="2" l="1"/>
  <c r="AY109" i="2"/>
  <c r="BB109" i="2"/>
  <c r="AW109" i="2" l="1"/>
  <c r="AU109" i="2" s="1"/>
  <c r="AS110" i="2" s="1"/>
  <c r="AV109" i="2"/>
  <c r="AT109" i="2" s="1"/>
  <c r="AQ110" i="2" l="1"/>
  <c r="AR110" i="2"/>
  <c r="AP110" i="2"/>
  <c r="BD110" i="2" s="1"/>
  <c r="AZ110" i="2" s="1"/>
  <c r="BB110" i="2" l="1"/>
  <c r="AV110" i="2" s="1"/>
  <c r="BC110" i="2"/>
  <c r="BA110" i="2"/>
  <c r="AW110" i="2" l="1"/>
  <c r="AX110" i="2"/>
  <c r="AT110" i="2" s="1"/>
  <c r="AY110" i="2"/>
  <c r="AU110" i="2" s="1"/>
  <c r="AP111" i="2" l="1"/>
  <c r="AR111" i="2"/>
  <c r="AS111" i="2"/>
  <c r="AQ111" i="2"/>
  <c r="BB111" i="2" l="1"/>
  <c r="AV111" i="2" s="1"/>
  <c r="BD111" i="2"/>
  <c r="AZ111" i="2" s="1"/>
  <c r="BC111" i="2"/>
  <c r="AX111" i="2" s="1"/>
  <c r="AT111" i="2" l="1"/>
  <c r="AR112" i="2"/>
  <c r="AP112" i="2"/>
  <c r="AY111" i="2"/>
  <c r="AW111" i="2"/>
  <c r="BA111" i="2"/>
  <c r="AU111" i="2" l="1"/>
  <c r="AS112" i="2" l="1"/>
  <c r="AQ112" i="2"/>
  <c r="BD112" i="2" l="1"/>
  <c r="AZ112" i="2" s="1"/>
  <c r="BB112" i="2"/>
  <c r="AV112" i="2" s="1"/>
  <c r="BC112" i="2"/>
  <c r="AX112" i="2" s="1"/>
  <c r="AT112" i="2" l="1"/>
  <c r="AW112" i="2"/>
  <c r="AY112" i="2"/>
  <c r="BA112" i="2"/>
  <c r="AU112" i="2" l="1"/>
  <c r="AR113" i="2"/>
  <c r="AP113" i="2"/>
  <c r="AS113" i="2" l="1"/>
  <c r="AQ113" i="2"/>
  <c r="BB113" i="2" l="1"/>
  <c r="BD113" i="2"/>
  <c r="AZ113" i="2" s="1"/>
  <c r="BC113" i="2"/>
  <c r="AY113" i="2" l="1"/>
  <c r="AX113" i="2"/>
  <c r="AW113" i="2"/>
  <c r="AV113" i="2"/>
  <c r="BA113" i="2"/>
  <c r="AT113" i="2" l="1"/>
  <c r="AR114" i="2"/>
  <c r="AP114" i="2"/>
  <c r="AU113" i="2"/>
  <c r="AQ114" i="2" l="1"/>
  <c r="BC114" i="2" s="1"/>
  <c r="AX114" i="2" s="1"/>
  <c r="AS114" i="2"/>
  <c r="AY114" i="2" l="1"/>
  <c r="BD114" i="2"/>
  <c r="AZ114" i="2" s="1"/>
  <c r="BB114" i="2"/>
  <c r="AV114" i="2" s="1"/>
  <c r="AT114" i="2" l="1"/>
  <c r="AP115" i="2"/>
  <c r="AR115" i="2"/>
  <c r="AW114" i="2"/>
  <c r="BA114" i="2"/>
  <c r="AU114" i="2" l="1"/>
  <c r="AS115" i="2" l="1"/>
  <c r="AQ115" i="2"/>
  <c r="BD115" i="2" l="1"/>
  <c r="AZ115" i="2" s="1"/>
  <c r="BB115" i="2"/>
  <c r="BC115" i="2"/>
  <c r="AY115" i="2" l="1"/>
  <c r="AX115" i="2"/>
  <c r="AW115" i="2"/>
  <c r="AV115" i="2"/>
  <c r="BA115" i="2"/>
  <c r="AT115" i="2" l="1"/>
  <c r="AR116" i="2"/>
  <c r="AP116" i="2"/>
  <c r="AU115" i="2"/>
  <c r="AQ116" i="2" l="1"/>
  <c r="BB116" i="2" s="1"/>
  <c r="AV116" i="2" s="1"/>
  <c r="AS116" i="2"/>
  <c r="AW116" i="2" l="1"/>
  <c r="BC116" i="2"/>
  <c r="AX116" i="2" s="1"/>
  <c r="BD116" i="2"/>
  <c r="AZ116" i="2" s="1"/>
  <c r="AT116" i="2" l="1"/>
  <c r="AR117" i="2"/>
  <c r="AP117" i="2"/>
  <c r="AY116" i="2"/>
  <c r="BA116" i="2"/>
  <c r="AU116" i="2" l="1"/>
  <c r="AQ117" i="2"/>
  <c r="BC117" i="2" s="1"/>
  <c r="AX117" i="2" s="1"/>
  <c r="AS117" i="2"/>
  <c r="BD117" i="2"/>
  <c r="AZ117" i="2" s="1"/>
  <c r="BB117" i="2" l="1"/>
  <c r="AV117" i="2" s="1"/>
  <c r="AT117" i="2" s="1"/>
  <c r="AP118" i="2" s="1"/>
  <c r="BA117" i="2"/>
  <c r="AY117" i="2"/>
  <c r="AW117" i="2" l="1"/>
  <c r="AR118" i="2"/>
  <c r="AU117" i="2"/>
  <c r="AS118" i="2" l="1"/>
  <c r="AQ118" i="2"/>
  <c r="BD118" i="2" l="1"/>
  <c r="AZ118" i="2" s="1"/>
  <c r="BC118" i="2"/>
  <c r="AX118" i="2" s="1"/>
  <c r="BB118" i="2"/>
  <c r="AV118" i="2" s="1"/>
  <c r="AT118" i="2" l="1"/>
  <c r="AR119" i="2"/>
  <c r="AP119" i="2"/>
  <c r="AW118" i="2"/>
  <c r="AY118" i="2"/>
  <c r="BA118" i="2"/>
  <c r="AU118" i="2" l="1"/>
  <c r="AQ119" i="2" l="1"/>
  <c r="AS119" i="2"/>
  <c r="BC119" i="2" l="1"/>
  <c r="AX119" i="2" s="1"/>
  <c r="BB119" i="2"/>
  <c r="AV119" i="2" s="1"/>
  <c r="BD119" i="2"/>
  <c r="AZ119" i="2" s="1"/>
  <c r="AT119" i="2" l="1"/>
  <c r="AY119" i="2"/>
  <c r="AW119" i="2"/>
  <c r="BA119" i="2"/>
  <c r="AU119" i="2" l="1"/>
  <c r="AS120" i="2"/>
  <c r="AQ120" i="2"/>
  <c r="AP120" i="2"/>
  <c r="AR120" i="2"/>
  <c r="BD120" i="2" l="1"/>
  <c r="AZ120" i="2" s="1"/>
  <c r="BB120" i="2"/>
  <c r="AV120" i="2" s="1"/>
  <c r="BC120" i="2"/>
  <c r="AY120" i="2" s="1"/>
  <c r="AX120" i="2" l="1"/>
  <c r="AT120" i="2" s="1"/>
  <c r="AW120" i="2"/>
  <c r="BA120" i="2"/>
  <c r="AR121" i="2" l="1"/>
  <c r="AP121" i="2"/>
  <c r="AU120" i="2"/>
  <c r="AS121" i="2" s="1"/>
  <c r="AQ121" i="2" l="1"/>
  <c r="BC121" i="2" s="1"/>
  <c r="AY121" i="2" s="1"/>
  <c r="BD121" i="2"/>
  <c r="AZ121" i="2" s="1"/>
  <c r="BB121" i="2"/>
  <c r="AV121" i="2" s="1"/>
  <c r="AW121" i="2" l="1"/>
  <c r="BA121" i="2"/>
  <c r="AU121" i="2" s="1"/>
  <c r="AX121" i="2"/>
  <c r="AT121" i="2" s="1"/>
  <c r="AR122" i="2" l="1"/>
  <c r="AP122" i="2"/>
  <c r="AS122" i="2"/>
  <c r="AQ122" i="2"/>
  <c r="BB122" i="2" s="1"/>
  <c r="AV122" i="2" s="1"/>
  <c r="BD122" i="2" l="1"/>
  <c r="AZ122" i="2" s="1"/>
  <c r="AW122" i="2"/>
  <c r="BC122" i="2"/>
  <c r="AX122" i="2" s="1"/>
  <c r="AT122" i="2" s="1"/>
  <c r="BA122" i="2" l="1"/>
  <c r="AP123" i="2"/>
  <c r="AR123" i="2"/>
  <c r="AY122" i="2"/>
  <c r="AU122" i="2" s="1"/>
  <c r="AS123" i="2" l="1"/>
  <c r="AQ123" i="2"/>
  <c r="BD123" i="2" s="1"/>
  <c r="AZ123" i="2" s="1"/>
  <c r="BC123" i="2"/>
  <c r="AY123" i="2" s="1"/>
  <c r="AX123" i="2" l="1"/>
  <c r="BA123" i="2"/>
  <c r="BB123" i="2"/>
  <c r="AV123" i="2" s="1"/>
  <c r="AT123" i="2" s="1"/>
  <c r="AR124" i="2" l="1"/>
  <c r="AP124" i="2"/>
  <c r="AW123" i="2"/>
  <c r="AU123" i="2" s="1"/>
  <c r="AQ124" i="2" l="1"/>
  <c r="AS124" i="2"/>
  <c r="BC124" i="2"/>
  <c r="AX124" i="2" s="1"/>
  <c r="BD124" i="2"/>
  <c r="AZ124" i="2" s="1"/>
  <c r="BB124" i="2"/>
  <c r="AV124" i="2" s="1"/>
  <c r="AT124" i="2" l="1"/>
  <c r="AR125" i="2"/>
  <c r="AP125" i="2"/>
  <c r="BA124" i="2"/>
  <c r="AY124" i="2"/>
  <c r="AW124" i="2"/>
  <c r="AU124" i="2" l="1"/>
  <c r="AS125" i="2" l="1"/>
  <c r="AQ125" i="2"/>
  <c r="BC125" i="2" l="1"/>
  <c r="AX125" i="2" s="1"/>
  <c r="BD125" i="2"/>
  <c r="AZ125" i="2" s="1"/>
  <c r="BB125" i="2"/>
  <c r="AV125" i="2" s="1"/>
  <c r="AT125" i="2" l="1"/>
  <c r="AW125" i="2"/>
  <c r="AY125" i="2"/>
  <c r="BA125" i="2"/>
  <c r="AU125" i="2" l="1"/>
  <c r="AR126" i="2"/>
  <c r="AP126" i="2"/>
  <c r="AQ126" i="2" l="1"/>
  <c r="BC126" i="2" s="1"/>
  <c r="AX126" i="2" s="1"/>
  <c r="AS126" i="2"/>
  <c r="AY126" i="2" l="1"/>
  <c r="BB126" i="2"/>
  <c r="AV126" i="2" s="1"/>
  <c r="BD126" i="2"/>
  <c r="AZ126" i="2" s="1"/>
  <c r="AT126" i="2" l="1"/>
  <c r="AW126" i="2"/>
  <c r="BA126" i="2"/>
  <c r="AU126" i="2" l="1"/>
  <c r="AP127" i="2"/>
  <c r="AR127" i="2"/>
  <c r="AS127" i="2" l="1"/>
  <c r="AQ127" i="2"/>
  <c r="BB127" i="2" l="1"/>
  <c r="AV127" i="2" s="1"/>
  <c r="BD127" i="2"/>
  <c r="AZ127" i="2" s="1"/>
  <c r="BC127" i="2"/>
  <c r="AX127" i="2" s="1"/>
  <c r="AT127" i="2" l="1"/>
  <c r="AW127" i="2"/>
  <c r="AY127" i="2"/>
  <c r="BA127" i="2"/>
  <c r="AU127" i="2" l="1"/>
  <c r="AR128" i="2"/>
  <c r="AP128" i="2"/>
  <c r="AS128" i="2" l="1"/>
  <c r="AQ128" i="2"/>
  <c r="BB128" i="2" s="1"/>
  <c r="AV128" i="2" s="1"/>
  <c r="AW128" i="2" l="1"/>
  <c r="BC128" i="2"/>
  <c r="AX128" i="2" s="1"/>
  <c r="BD128" i="2"/>
  <c r="AZ128" i="2" s="1"/>
  <c r="AT128" i="2" l="1"/>
  <c r="AP129" i="2" s="1"/>
  <c r="AY128" i="2"/>
  <c r="BA128" i="2"/>
  <c r="AR129" i="2" l="1"/>
  <c r="AU128" i="2"/>
  <c r="AQ129" i="2" s="1"/>
  <c r="AS129" i="2" l="1"/>
  <c r="BC129" i="2"/>
  <c r="AX129" i="2" s="1"/>
  <c r="BD129" i="2"/>
  <c r="AZ129" i="2" s="1"/>
  <c r="BB129" i="2"/>
  <c r="AV129" i="2" s="1"/>
  <c r="AT129" i="2" l="1"/>
  <c r="AR130" i="2" s="1"/>
  <c r="BA129" i="2"/>
  <c r="AP130" i="2"/>
  <c r="AY129" i="2"/>
  <c r="AW129" i="2"/>
  <c r="AU129" i="2" l="1"/>
  <c r="AS130" i="2"/>
  <c r="AQ130" i="2"/>
  <c r="BB130" i="2" l="1"/>
  <c r="AV130" i="2" s="1"/>
  <c r="BD130" i="2"/>
  <c r="AZ130" i="2" s="1"/>
  <c r="BC130" i="2"/>
  <c r="AX130" i="2" s="1"/>
  <c r="AW130" i="2" l="1"/>
  <c r="AT130" i="2"/>
  <c r="AY130" i="2"/>
  <c r="BA130" i="2"/>
  <c r="AU130" i="2" l="1"/>
  <c r="AQ131" i="2"/>
  <c r="AS131" i="2"/>
  <c r="AR131" i="2"/>
  <c r="AP131" i="2"/>
  <c r="BC131" i="2" l="1"/>
  <c r="AX131" i="2" s="1"/>
  <c r="BD131" i="2"/>
  <c r="AZ131" i="2" s="1"/>
  <c r="BB131" i="2"/>
  <c r="AW131" i="2" s="1"/>
  <c r="AY131" i="2"/>
  <c r="BA131" i="2" l="1"/>
  <c r="AU131" i="2"/>
  <c r="AV131" i="2"/>
  <c r="AT131" i="2" s="1"/>
  <c r="AR132" i="2" l="1"/>
  <c r="AP132" i="2"/>
  <c r="AS132" i="2"/>
  <c r="AQ132" i="2"/>
  <c r="BC132" i="2" l="1"/>
  <c r="AX132" i="2" s="1"/>
  <c r="BB132" i="2"/>
  <c r="AV132" i="2" s="1"/>
  <c r="BD132" i="2"/>
  <c r="AZ132" i="2" s="1"/>
  <c r="AY132" i="2"/>
  <c r="AW132" i="2" l="1"/>
  <c r="AT132" i="2"/>
  <c r="AR133" i="2" s="1"/>
  <c r="BA132" i="2"/>
  <c r="AU132" i="2" s="1"/>
  <c r="AP133" i="2" l="1"/>
  <c r="AS133" i="2"/>
  <c r="AQ133" i="2"/>
  <c r="BD133" i="2" l="1"/>
  <c r="AZ133" i="2" s="1"/>
  <c r="BB133" i="2"/>
  <c r="BC133" i="2"/>
  <c r="AY133" i="2" l="1"/>
  <c r="AX133" i="2"/>
  <c r="AW133" i="2"/>
  <c r="AV133" i="2"/>
  <c r="BA133" i="2"/>
  <c r="AT133" i="2" l="1"/>
  <c r="AR134" i="2"/>
  <c r="AP134" i="2"/>
  <c r="AU133" i="2"/>
  <c r="AQ134" i="2" l="1"/>
  <c r="BB134" i="2" s="1"/>
  <c r="AV134" i="2" s="1"/>
  <c r="AS134" i="2"/>
  <c r="AW134" i="2" l="1"/>
  <c r="BC134" i="2"/>
  <c r="AX134" i="2" s="1"/>
  <c r="BD134" i="2"/>
  <c r="AZ134" i="2" s="1"/>
  <c r="AT134" i="2" l="1"/>
  <c r="AP135" i="2"/>
  <c r="AR135" i="2"/>
  <c r="AY134" i="2"/>
  <c r="BA134" i="2"/>
  <c r="AU134" i="2" l="1"/>
  <c r="AS135" i="2"/>
  <c r="AQ135" i="2"/>
  <c r="BD135" i="2" s="1"/>
  <c r="AZ135" i="2" s="1"/>
  <c r="BC135" i="2" l="1"/>
  <c r="AY135" i="2" s="1"/>
  <c r="BB135" i="2"/>
  <c r="AW135" i="2" s="1"/>
  <c r="BA135" i="2"/>
  <c r="AX135" i="2" l="1"/>
  <c r="AU135" i="2"/>
  <c r="AS136" i="2" s="1"/>
  <c r="AV135" i="2"/>
  <c r="AT135" i="2" s="1"/>
  <c r="AR136" i="2" s="1"/>
  <c r="AQ136" i="2" l="1"/>
  <c r="AP136" i="2"/>
  <c r="BC136" i="2" s="1"/>
  <c r="AY136" i="2" s="1"/>
  <c r="BD136" i="2"/>
  <c r="AZ136" i="2" s="1"/>
  <c r="BB136" i="2" l="1"/>
  <c r="AW136" i="2" s="1"/>
  <c r="BA136" i="2"/>
  <c r="AV136" i="2"/>
  <c r="AX136" i="2"/>
  <c r="AU136" i="2"/>
  <c r="AQ137" i="2" s="1"/>
  <c r="AT136" i="2" l="1"/>
  <c r="AR137" i="2"/>
  <c r="AP137" i="2"/>
  <c r="BC137" i="2" s="1"/>
  <c r="AS137" i="2"/>
  <c r="BD137" i="2" l="1"/>
  <c r="BB137" i="2"/>
  <c r="AV137" i="2" s="1"/>
  <c r="AX137" i="2"/>
  <c r="AY137" i="2"/>
  <c r="AW137" i="2"/>
  <c r="AZ137" i="2"/>
  <c r="BA137" i="2"/>
  <c r="AT137" i="2" l="1"/>
  <c r="AU137" i="2"/>
  <c r="AR138" i="2" l="1"/>
  <c r="AP138" i="2"/>
  <c r="AQ138" i="2"/>
  <c r="AS138" i="2"/>
  <c r="BB138" i="2" l="1"/>
  <c r="AV138" i="2" s="1"/>
  <c r="BC138" i="2"/>
  <c r="AX138" i="2" s="1"/>
  <c r="BD138" i="2"/>
  <c r="AZ138" i="2" s="1"/>
  <c r="AW138" i="2" l="1"/>
  <c r="AY138" i="2"/>
  <c r="AT138" i="2"/>
  <c r="BA138" i="2"/>
  <c r="AU138" i="2" s="1"/>
  <c r="AP139" i="2" l="1"/>
  <c r="AR139" i="2"/>
  <c r="AS139" i="2"/>
  <c r="AQ139" i="2"/>
  <c r="BB139" i="2" l="1"/>
  <c r="AV139" i="2" s="1"/>
  <c r="BC139" i="2"/>
  <c r="AX139" i="2" s="1"/>
  <c r="BD139" i="2"/>
  <c r="AZ139" i="2" s="1"/>
  <c r="AT139" i="2" l="1"/>
  <c r="AR140" i="2" s="1"/>
  <c r="BA139" i="2"/>
  <c r="AW139" i="2"/>
  <c r="AY139" i="2"/>
  <c r="AP140" i="2" l="1"/>
  <c r="AU139" i="2"/>
  <c r="AS140" i="2" l="1"/>
  <c r="AQ140" i="2"/>
  <c r="BC140" i="2" l="1"/>
  <c r="BD140" i="2"/>
  <c r="AZ140" i="2" s="1"/>
  <c r="BB140" i="2"/>
  <c r="AV140" i="2" s="1"/>
  <c r="AY140" i="2" l="1"/>
  <c r="AX140" i="2"/>
  <c r="AT140" i="2" s="1"/>
  <c r="AW140" i="2"/>
  <c r="BA140" i="2"/>
  <c r="AR141" i="2" l="1"/>
  <c r="AP141" i="2"/>
  <c r="AU140" i="2"/>
  <c r="AS141" i="2" l="1"/>
  <c r="AQ141" i="2"/>
  <c r="BD141" i="2" l="1"/>
  <c r="AZ141" i="2" s="1"/>
  <c r="BB141" i="2"/>
  <c r="BC141" i="2"/>
  <c r="AY141" i="2" l="1"/>
  <c r="AX141" i="2"/>
  <c r="AW141" i="2"/>
  <c r="AV141" i="2"/>
  <c r="BA141" i="2"/>
  <c r="AT141" i="2" l="1"/>
  <c r="AP142" i="2"/>
  <c r="AR142" i="2"/>
  <c r="AU141" i="2"/>
  <c r="AS142" i="2" l="1"/>
  <c r="AQ142" i="2"/>
  <c r="BB142" i="2" s="1"/>
  <c r="AV142" i="2" s="1"/>
  <c r="BC142" i="2"/>
  <c r="AX142" i="2" s="1"/>
  <c r="BD142" i="2" l="1"/>
  <c r="AZ142" i="2" s="1"/>
  <c r="AT142" i="2" s="1"/>
  <c r="AW142" i="2"/>
  <c r="AY142" i="2"/>
  <c r="AR143" i="2" l="1"/>
  <c r="AP143" i="2"/>
  <c r="BA142" i="2"/>
  <c r="AU142" i="2" s="1"/>
  <c r="AS143" i="2" l="1"/>
  <c r="AQ143" i="2"/>
  <c r="BC143" i="2" l="1"/>
  <c r="AX143" i="2" s="1"/>
  <c r="BD143" i="2"/>
  <c r="AZ143" i="2" s="1"/>
  <c r="BB143" i="2"/>
  <c r="AV143" i="2" s="1"/>
  <c r="AT143" i="2" s="1"/>
  <c r="AY143" i="2" l="1"/>
  <c r="AR144" i="2"/>
  <c r="AP144" i="2"/>
  <c r="BA143" i="2"/>
  <c r="AW143" i="2"/>
  <c r="AU143" i="2" l="1"/>
  <c r="AS144" i="2"/>
  <c r="AQ144" i="2"/>
  <c r="BD144" i="2" s="1"/>
  <c r="AZ144" i="2" s="1"/>
  <c r="BB144" i="2" l="1"/>
  <c r="AV144" i="2" s="1"/>
  <c r="BC144" i="2"/>
  <c r="AX144" i="2" s="1"/>
  <c r="AT144" i="2" s="1"/>
  <c r="BA144" i="2"/>
  <c r="AW144" i="2"/>
  <c r="AY144" i="2" l="1"/>
  <c r="AU144" i="2"/>
  <c r="AS145" i="2" s="1"/>
  <c r="AP145" i="2"/>
  <c r="AR145" i="2"/>
  <c r="AQ145" i="2" l="1"/>
  <c r="BB145" i="2" s="1"/>
  <c r="BD145" i="2"/>
  <c r="AZ145" i="2" s="1"/>
  <c r="BC145" i="2"/>
  <c r="AX145" i="2" s="1"/>
  <c r="AV145" i="2" l="1"/>
  <c r="AW145" i="2"/>
  <c r="BA145" i="2"/>
  <c r="AT145" i="2"/>
  <c r="AY145" i="2"/>
  <c r="AU145" i="2" l="1"/>
  <c r="AS146" i="2" s="1"/>
  <c r="AQ146" i="2"/>
  <c r="AR146" i="2"/>
  <c r="AP146" i="2"/>
  <c r="BB146" i="2" l="1"/>
  <c r="AW146" i="2" s="1"/>
  <c r="BC146" i="2"/>
  <c r="AX146" i="2" s="1"/>
  <c r="BD146" i="2"/>
  <c r="BA146" i="2" s="1"/>
  <c r="AV146" i="2" l="1"/>
  <c r="AZ146" i="2"/>
  <c r="AT146" i="2" s="1"/>
  <c r="AY146" i="2"/>
  <c r="AU146" i="2" s="1"/>
  <c r="AQ147" i="2" l="1"/>
  <c r="AS147" i="2"/>
  <c r="AR147" i="2"/>
  <c r="AP147" i="2"/>
  <c r="BD147" i="2" l="1"/>
  <c r="BB147" i="2"/>
  <c r="AW147" i="2" s="1"/>
  <c r="BC147" i="2"/>
  <c r="AY147" i="2" s="1"/>
  <c r="AZ147" i="2"/>
  <c r="BA147" i="2"/>
  <c r="AV147" i="2" l="1"/>
  <c r="AX147" i="2"/>
  <c r="AT147" i="2" s="1"/>
  <c r="AU147" i="2"/>
  <c r="AP148" i="2" l="1"/>
  <c r="AR148" i="2"/>
  <c r="AQ148" i="2"/>
  <c r="BC148" i="2" s="1"/>
  <c r="AY148" i="2" s="1"/>
  <c r="AS148" i="2"/>
  <c r="BD148" i="2"/>
  <c r="AZ148" i="2" s="1"/>
  <c r="BB148" i="2" l="1"/>
  <c r="AW148" i="2" s="1"/>
  <c r="AV148" i="2"/>
  <c r="AX148" i="2"/>
  <c r="AT148" i="2" s="1"/>
  <c r="BA148" i="2"/>
  <c r="AU148" i="2" s="1"/>
  <c r="AS149" i="2" l="1"/>
  <c r="AQ149" i="2"/>
  <c r="AR149" i="2"/>
  <c r="AP149" i="2"/>
  <c r="BC149" i="2" l="1"/>
  <c r="AX149" i="2" s="1"/>
  <c r="BB149" i="2"/>
  <c r="AW149" i="2" s="1"/>
  <c r="BD149" i="2"/>
  <c r="AZ149" i="2" s="1"/>
  <c r="AV149" i="2" l="1"/>
  <c r="AT149" i="2" s="1"/>
  <c r="AR150" i="2" s="1"/>
  <c r="AP150" i="2"/>
  <c r="AY149" i="2"/>
  <c r="BA149" i="2"/>
  <c r="AU149" i="2" l="1"/>
  <c r="AQ150" i="2" l="1"/>
  <c r="AS150" i="2"/>
  <c r="BD150" i="2" l="1"/>
  <c r="AZ150" i="2" s="1"/>
  <c r="BC150" i="2"/>
  <c r="BB150" i="2"/>
  <c r="AW150" i="2" l="1"/>
  <c r="AV150" i="2"/>
  <c r="AY150" i="2"/>
  <c r="AX150" i="2"/>
  <c r="BA150" i="2"/>
  <c r="AT150" i="2" l="1"/>
  <c r="AU150" i="2"/>
  <c r="AS151" i="2" l="1"/>
  <c r="AQ151" i="2"/>
  <c r="AR151" i="2"/>
  <c r="AP151" i="2"/>
  <c r="BD151" i="2" l="1"/>
  <c r="AZ151" i="2" s="1"/>
  <c r="BB151" i="2"/>
  <c r="AV151" i="2" s="1"/>
  <c r="BC151" i="2"/>
  <c r="AY151" i="2" s="1"/>
  <c r="AW151" i="2" l="1"/>
  <c r="BA151" i="2"/>
  <c r="AU151" i="2" s="1"/>
  <c r="AX151" i="2"/>
  <c r="AT151" i="2" s="1"/>
  <c r="AQ152" i="2" l="1"/>
  <c r="AS152" i="2"/>
  <c r="AR152" i="2"/>
  <c r="AP152" i="2"/>
  <c r="BB152" i="2" l="1"/>
  <c r="BC152" i="2"/>
  <c r="BD152" i="2"/>
  <c r="AX152" i="2" l="1"/>
  <c r="AY152" i="2"/>
  <c r="AZ152" i="2"/>
  <c r="BA152" i="2"/>
  <c r="AV152" i="2"/>
  <c r="AW152" i="2"/>
  <c r="AU152" i="2" l="1"/>
  <c r="AT152" i="2"/>
  <c r="AR153" i="2" s="1"/>
  <c r="AP153" i="2"/>
  <c r="AQ153" i="2"/>
  <c r="AS153" i="2"/>
  <c r="BC153" i="2" l="1"/>
  <c r="AX153" i="2" s="1"/>
  <c r="BB153" i="2"/>
  <c r="AV153" i="2" s="1"/>
  <c r="BD153" i="2"/>
  <c r="AZ153" i="2" s="1"/>
  <c r="AT153" i="2" l="1"/>
  <c r="AW153" i="2"/>
  <c r="AY153" i="2"/>
  <c r="BA153" i="2"/>
  <c r="AR154" i="2" l="1"/>
  <c r="AP154" i="2"/>
  <c r="AU153" i="2"/>
  <c r="AS154" i="2" l="1"/>
  <c r="AQ154" i="2"/>
  <c r="BC154" i="2" s="1"/>
  <c r="AX154" i="2" s="1"/>
  <c r="BB154" i="2"/>
  <c r="AV154" i="2" s="1"/>
  <c r="BD154" i="2"/>
  <c r="AZ154" i="2" s="1"/>
  <c r="AT154" i="2" l="1"/>
  <c r="BA154" i="2"/>
  <c r="AY154" i="2"/>
  <c r="AW154" i="2"/>
  <c r="AU154" i="2" l="1"/>
  <c r="AR155" i="2"/>
  <c r="AP155" i="2"/>
  <c r="AQ155" i="2" l="1"/>
  <c r="AS155" i="2"/>
  <c r="BC155" i="2"/>
  <c r="BD155" i="2"/>
  <c r="BB155" i="2"/>
  <c r="AZ155" i="2" l="1"/>
  <c r="BA155" i="2"/>
  <c r="AV155" i="2"/>
  <c r="AW155" i="2"/>
  <c r="AX155" i="2"/>
  <c r="AY155" i="2"/>
  <c r="AT155" i="2" l="1"/>
  <c r="AU155" i="2"/>
  <c r="AP156" i="2" l="1"/>
  <c r="AR156" i="2"/>
  <c r="AQ156" i="2"/>
  <c r="AS156" i="2"/>
  <c r="BC156" i="2" l="1"/>
  <c r="AY156" i="2" s="1"/>
  <c r="BD156" i="2"/>
  <c r="BA156" i="2" s="1"/>
  <c r="BB156" i="2"/>
  <c r="AV156" i="2" s="1"/>
  <c r="AX156" i="2"/>
  <c r="AZ156" i="2" l="1"/>
  <c r="AT156" i="2" s="1"/>
  <c r="AW156" i="2"/>
  <c r="AU156" i="2" s="1"/>
  <c r="AS157" i="2" l="1"/>
  <c r="AQ157" i="2"/>
  <c r="AR157" i="2"/>
  <c r="AP157" i="2"/>
  <c r="BD157" i="2" l="1"/>
  <c r="BC157" i="2"/>
  <c r="AY157" i="2" s="1"/>
  <c r="BB157" i="2"/>
  <c r="AW157" i="2" s="1"/>
  <c r="AZ157" i="2"/>
  <c r="BA157" i="2"/>
  <c r="AX157" i="2" l="1"/>
  <c r="AV157" i="2"/>
  <c r="AT157" i="2" s="1"/>
  <c r="AU157" i="2"/>
  <c r="AR158" i="2" l="1"/>
  <c r="AP158" i="2"/>
  <c r="AS158" i="2"/>
  <c r="AQ158" i="2"/>
  <c r="BD158" i="2" l="1"/>
  <c r="AZ158" i="2" s="1"/>
  <c r="BB158" i="2"/>
  <c r="AV158" i="2" s="1"/>
  <c r="BC158" i="2"/>
  <c r="AY158" i="2" l="1"/>
  <c r="AX158" i="2"/>
  <c r="AT158" i="2" s="1"/>
  <c r="AW158" i="2"/>
  <c r="BA158" i="2"/>
  <c r="AR159" i="2" l="1"/>
  <c r="AP159" i="2"/>
  <c r="AU158" i="2"/>
  <c r="AS159" i="2" l="1"/>
  <c r="AQ159" i="2"/>
  <c r="BD159" i="2" l="1"/>
  <c r="AZ159" i="2" s="1"/>
  <c r="BC159" i="2"/>
  <c r="BB159" i="2"/>
  <c r="AV159" i="2" s="1"/>
  <c r="AY159" i="2" l="1"/>
  <c r="AX159" i="2"/>
  <c r="AT159" i="2" s="1"/>
  <c r="AW159" i="2"/>
  <c r="BA159" i="2"/>
  <c r="AP160" i="2" l="1"/>
  <c r="AR160" i="2"/>
  <c r="AU159" i="2"/>
  <c r="AS160" i="2" l="1"/>
  <c r="AQ160" i="2"/>
  <c r="BC160" i="2" s="1"/>
  <c r="AX160" i="2" s="1"/>
  <c r="BD160" i="2"/>
  <c r="AZ160" i="2" s="1"/>
  <c r="BB160" i="2" l="1"/>
  <c r="AV160" i="2" s="1"/>
  <c r="AT160" i="2" s="1"/>
  <c r="BA160" i="2"/>
  <c r="AY160" i="2"/>
  <c r="AW160" i="2"/>
  <c r="AU160" i="2" l="1"/>
  <c r="AS161" i="2" s="1"/>
  <c r="AQ161" i="2"/>
  <c r="AR161" i="2"/>
  <c r="AP161" i="2"/>
  <c r="BB161" i="2" l="1"/>
  <c r="AV161" i="2" s="1"/>
  <c r="BD161" i="2"/>
  <c r="AZ161" i="2" s="1"/>
  <c r="BC161" i="2"/>
  <c r="AX161" i="2" s="1"/>
  <c r="AW161" i="2"/>
  <c r="BA161" i="2" l="1"/>
  <c r="AT161" i="2"/>
  <c r="AY161" i="2"/>
  <c r="AU161" i="2" s="1"/>
  <c r="AR162" i="2" l="1"/>
  <c r="AP162" i="2"/>
  <c r="AS162" i="2"/>
  <c r="AQ162" i="2"/>
  <c r="BD162" i="2" l="1"/>
  <c r="AZ162" i="2" s="1"/>
  <c r="BB162" i="2"/>
  <c r="AV162" i="2" s="1"/>
  <c r="BC162" i="2"/>
  <c r="AX162" i="2" s="1"/>
  <c r="AT162" i="2" l="1"/>
  <c r="AR163" i="2"/>
  <c r="AP163" i="2"/>
  <c r="AY162" i="2"/>
  <c r="AW162" i="2"/>
  <c r="BA162" i="2"/>
  <c r="AU162" i="2" l="1"/>
  <c r="AQ163" i="2" l="1"/>
  <c r="AS163" i="2"/>
  <c r="BC163" i="2" l="1"/>
  <c r="AX163" i="2" s="1"/>
  <c r="BB163" i="2"/>
  <c r="AV163" i="2" s="1"/>
  <c r="BD163" i="2"/>
  <c r="AZ163" i="2" s="1"/>
  <c r="AT163" i="2" l="1"/>
  <c r="AY163" i="2"/>
  <c r="AR164" i="2"/>
  <c r="AP164" i="2"/>
  <c r="AW163" i="2"/>
  <c r="BA163" i="2"/>
  <c r="AU163" i="2" l="1"/>
  <c r="AS164" i="2" l="1"/>
  <c r="AQ164" i="2"/>
  <c r="BB164" i="2" l="1"/>
  <c r="AV164" i="2" s="1"/>
  <c r="BD164" i="2"/>
  <c r="AZ164" i="2" s="1"/>
  <c r="BC164" i="2"/>
  <c r="AY164" i="2" l="1"/>
  <c r="AX164" i="2"/>
  <c r="AT164" i="2" s="1"/>
  <c r="AW164" i="2"/>
  <c r="BA164" i="2"/>
  <c r="AR165" i="2" l="1"/>
  <c r="AP165" i="2"/>
  <c r="AU164" i="2"/>
  <c r="AQ165" i="2" l="1"/>
  <c r="BC165" i="2" s="1"/>
  <c r="AS165" i="2"/>
  <c r="AY165" i="2" l="1"/>
  <c r="AX165" i="2"/>
  <c r="BB165" i="2"/>
  <c r="AV165" i="2" s="1"/>
  <c r="BD165" i="2"/>
  <c r="AZ165" i="2" s="1"/>
  <c r="AT165" i="2" l="1"/>
  <c r="AW165" i="2"/>
  <c r="BA165" i="2"/>
  <c r="AU165" i="2" l="1"/>
  <c r="AP166" i="2"/>
  <c r="AR166" i="2"/>
  <c r="AS166" i="2" l="1"/>
  <c r="AQ166" i="2"/>
  <c r="BB166" i="2" l="1"/>
  <c r="AV166" i="2" s="1"/>
  <c r="BC166" i="2"/>
  <c r="AX166" i="2" s="1"/>
  <c r="BD166" i="2"/>
  <c r="AZ166" i="2" s="1"/>
  <c r="AT166" i="2" l="1"/>
  <c r="AW166" i="2"/>
  <c r="AY166" i="2"/>
  <c r="BA166" i="2"/>
  <c r="AR167" i="2" l="1"/>
  <c r="AP167" i="2"/>
  <c r="AU166" i="2"/>
  <c r="AQ167" i="2" l="1"/>
  <c r="AS167" i="2"/>
  <c r="BB167" i="2"/>
  <c r="AV167" i="2" s="1"/>
  <c r="BC167" i="2"/>
  <c r="AY167" i="2" s="1"/>
  <c r="BD167" i="2"/>
  <c r="AZ167" i="2" s="1"/>
  <c r="AX167" i="2" l="1"/>
  <c r="AT167" i="2" s="1"/>
  <c r="BA167" i="2"/>
  <c r="AW167" i="2"/>
  <c r="AU167" i="2" l="1"/>
  <c r="AS168" i="2" s="1"/>
  <c r="AQ168" i="2"/>
  <c r="AR168" i="2"/>
  <c r="AP168" i="2"/>
  <c r="BB168" i="2" l="1"/>
  <c r="BD168" i="2"/>
  <c r="BC168" i="2"/>
  <c r="AZ168" i="2" l="1"/>
  <c r="BA168" i="2"/>
  <c r="AX168" i="2"/>
  <c r="AY168" i="2"/>
  <c r="AV168" i="2"/>
  <c r="AW168" i="2"/>
  <c r="AU168" i="2" l="1"/>
  <c r="AT168" i="2"/>
  <c r="AP169" i="2" s="1"/>
  <c r="AS169" i="2"/>
  <c r="AQ169" i="2"/>
  <c r="AR169" i="2" l="1"/>
  <c r="BB169" i="2"/>
  <c r="AV169" i="2" s="1"/>
  <c r="BC169" i="2"/>
  <c r="AX169" i="2" s="1"/>
  <c r="BD169" i="2"/>
  <c r="AZ169" i="2" s="1"/>
  <c r="AT169" i="2" l="1"/>
  <c r="AW169" i="2"/>
  <c r="AY169" i="2"/>
  <c r="BA169" i="2"/>
  <c r="AU169" i="2" l="1"/>
  <c r="AR170" i="2"/>
  <c r="AP170" i="2"/>
  <c r="AQ170" i="2" l="1"/>
  <c r="BC170" i="2" s="1"/>
  <c r="AX170" i="2" s="1"/>
  <c r="AS170" i="2"/>
  <c r="AY170" i="2" l="1"/>
  <c r="BB170" i="2"/>
  <c r="AV170" i="2" s="1"/>
  <c r="BD170" i="2"/>
  <c r="AZ170" i="2" s="1"/>
  <c r="AT170" i="2" l="1"/>
  <c r="AP171" i="2"/>
  <c r="AR171" i="2"/>
  <c r="BA170" i="2"/>
  <c r="AW170" i="2"/>
  <c r="AU170" i="2" l="1"/>
  <c r="AS171" i="2" l="1"/>
  <c r="AQ171" i="2"/>
  <c r="BD171" i="2" l="1"/>
  <c r="AZ171" i="2" s="1"/>
  <c r="BB171" i="2"/>
  <c r="BC171" i="2"/>
  <c r="AY171" i="2" l="1"/>
  <c r="AX171" i="2"/>
  <c r="AW171" i="2"/>
  <c r="AV171" i="2"/>
  <c r="BA171" i="2"/>
  <c r="AT171" i="2" l="1"/>
  <c r="AP172" i="2"/>
  <c r="AR172" i="2"/>
  <c r="AU171" i="2"/>
  <c r="AQ172" i="2" l="1"/>
  <c r="AS172" i="2"/>
  <c r="BD172" i="2"/>
  <c r="AZ172" i="2" s="1"/>
  <c r="BC172" i="2"/>
  <c r="AY172" i="2" s="1"/>
  <c r="BB172" i="2"/>
  <c r="AV172" i="2" s="1"/>
  <c r="AX172" i="2" l="1"/>
  <c r="AT172" i="2" s="1"/>
  <c r="BA172" i="2"/>
  <c r="AW172" i="2"/>
  <c r="AU172" i="2" l="1"/>
  <c r="AS173" i="2" s="1"/>
  <c r="AQ173" i="2"/>
  <c r="AR173" i="2"/>
  <c r="AP173" i="2"/>
  <c r="BB173" i="2" l="1"/>
  <c r="AW173" i="2" s="1"/>
  <c r="BD173" i="2"/>
  <c r="BC173" i="2"/>
  <c r="AX173" i="2" s="1"/>
  <c r="AV173" i="2"/>
  <c r="AZ173" i="2"/>
  <c r="BA173" i="2"/>
  <c r="AY173" i="2" l="1"/>
  <c r="AT173" i="2"/>
  <c r="AU173" i="2"/>
  <c r="AS174" i="2" l="1"/>
  <c r="AQ174" i="2"/>
  <c r="AR174" i="2"/>
  <c r="AP174" i="2"/>
  <c r="BD174" i="2" l="1"/>
  <c r="AZ174" i="2" s="1"/>
  <c r="BC174" i="2"/>
  <c r="AX174" i="2" s="1"/>
  <c r="BB174" i="2"/>
  <c r="AV174" i="2" s="1"/>
  <c r="AW174" i="2" l="1"/>
  <c r="BA174" i="2"/>
  <c r="AY174" i="2"/>
  <c r="AU174" i="2" s="1"/>
  <c r="AT174" i="2"/>
  <c r="AP175" i="2" s="1"/>
  <c r="AR175" i="2" l="1"/>
  <c r="AS175" i="2"/>
  <c r="AQ175" i="2"/>
  <c r="BC175" i="2" s="1"/>
  <c r="AY175" i="2" s="1"/>
  <c r="BB175" i="2" l="1"/>
  <c r="AW175" i="2" s="1"/>
  <c r="BD175" i="2"/>
  <c r="AV175" i="2"/>
  <c r="AX175" i="2"/>
  <c r="AZ175" i="2" l="1"/>
  <c r="BA175" i="2"/>
  <c r="AU175" i="2" s="1"/>
  <c r="AS176" i="2" s="1"/>
  <c r="AT175" i="2"/>
  <c r="AP176" i="2" s="1"/>
  <c r="AR176" i="2" l="1"/>
  <c r="AQ176" i="2"/>
  <c r="BD176" i="2" s="1"/>
  <c r="AZ176" i="2" s="1"/>
  <c r="BC176" i="2" l="1"/>
  <c r="BB176" i="2"/>
  <c r="AW176" i="2" s="1"/>
  <c r="AY176" i="2"/>
  <c r="AX176" i="2"/>
  <c r="BA176" i="2"/>
  <c r="AV176" i="2" l="1"/>
  <c r="AT176" i="2" s="1"/>
  <c r="AU176" i="2"/>
  <c r="AQ177" i="2" l="1"/>
  <c r="AS177" i="2"/>
  <c r="AP177" i="2"/>
  <c r="AR177" i="2"/>
  <c r="BC177" i="2" l="1"/>
  <c r="AY177" i="2" s="1"/>
  <c r="BD177" i="2"/>
  <c r="AZ177" i="2" s="1"/>
  <c r="BB177" i="2"/>
  <c r="AW177" i="2" s="1"/>
  <c r="BA177" i="2" l="1"/>
  <c r="AU177" i="2" s="1"/>
  <c r="AX177" i="2"/>
  <c r="AV177" i="2"/>
  <c r="AT177" i="2" s="1"/>
  <c r="AR178" i="2" l="1"/>
  <c r="AP178" i="2"/>
  <c r="AS178" i="2"/>
  <c r="AQ178" i="2"/>
  <c r="BC178" i="2" l="1"/>
  <c r="AX178" i="2" s="1"/>
  <c r="BD178" i="2"/>
  <c r="AZ178" i="2" s="1"/>
  <c r="BB178" i="2"/>
  <c r="AV178" i="2" s="1"/>
  <c r="AY178" i="2" l="1"/>
  <c r="AT178" i="2"/>
  <c r="AR179" i="2" s="1"/>
  <c r="AW178" i="2"/>
  <c r="BA178" i="2"/>
  <c r="AU178" i="2" l="1"/>
  <c r="AP179" i="2"/>
  <c r="AS179" i="2" l="1"/>
  <c r="AQ179" i="2"/>
  <c r="BB179" i="2" l="1"/>
  <c r="BD179" i="2"/>
  <c r="BC179" i="2"/>
  <c r="AZ179" i="2" l="1"/>
  <c r="BA179" i="2"/>
  <c r="AX179" i="2"/>
  <c r="AY179" i="2"/>
  <c r="AV179" i="2"/>
  <c r="AW179" i="2"/>
  <c r="AU179" i="2" l="1"/>
  <c r="AS180" i="2" s="1"/>
  <c r="AT179" i="2"/>
  <c r="AR180" i="2" s="1"/>
  <c r="AQ180" i="2"/>
  <c r="AP180" i="2" l="1"/>
  <c r="BD180" i="2" s="1"/>
  <c r="AZ180" i="2" s="1"/>
  <c r="BB180" i="2"/>
  <c r="BC180" i="2"/>
  <c r="AX180" i="2" s="1"/>
  <c r="BA180" i="2" l="1"/>
  <c r="AV180" i="2"/>
  <c r="AT180" i="2" s="1"/>
  <c r="AR181" i="2" s="1"/>
  <c r="AW180" i="2"/>
  <c r="AY180" i="2"/>
  <c r="AP181" i="2" l="1"/>
  <c r="AU180" i="2"/>
  <c r="AS181" i="2" s="1"/>
  <c r="AQ181" i="2"/>
  <c r="BC181" i="2" s="1"/>
  <c r="AX181" i="2" s="1"/>
  <c r="BD181" i="2" l="1"/>
  <c r="AZ181" i="2" s="1"/>
  <c r="BB181" i="2"/>
  <c r="AV181" i="2" s="1"/>
  <c r="AT181" i="2" s="1"/>
  <c r="BA181" i="2"/>
  <c r="AY181" i="2"/>
  <c r="AW181" i="2" l="1"/>
  <c r="AU181" i="2" s="1"/>
  <c r="AR182" i="2"/>
  <c r="AP182" i="2"/>
  <c r="AQ182" i="2" l="1"/>
  <c r="AS182" i="2"/>
  <c r="BB182" i="2"/>
  <c r="AW182" i="2" s="1"/>
  <c r="BC182" i="2"/>
  <c r="AY182" i="2" s="1"/>
  <c r="BD182" i="2"/>
  <c r="AV182" i="2" l="1"/>
  <c r="AX182" i="2"/>
  <c r="AZ182" i="2"/>
  <c r="AT182" i="2" s="1"/>
  <c r="BA182" i="2"/>
  <c r="AU182" i="2" s="1"/>
  <c r="AS183" i="2" l="1"/>
  <c r="AQ183" i="2"/>
  <c r="AP183" i="2"/>
  <c r="AR183" i="2"/>
  <c r="BD183" i="2" l="1"/>
  <c r="BA183" i="2" s="1"/>
  <c r="BC183" i="2"/>
  <c r="AX183" i="2" s="1"/>
  <c r="BB183" i="2"/>
  <c r="AW183" i="2" s="1"/>
  <c r="AZ183" i="2"/>
  <c r="AY183" i="2" l="1"/>
  <c r="AU183" i="2" s="1"/>
  <c r="AV183" i="2"/>
  <c r="AT183" i="2" s="1"/>
  <c r="AR184" i="2" l="1"/>
  <c r="AP184" i="2"/>
  <c r="AQ184" i="2"/>
  <c r="AS184" i="2"/>
  <c r="BD184" i="2" l="1"/>
  <c r="BC184" i="2"/>
  <c r="AY184" i="2" s="1"/>
  <c r="BB184" i="2"/>
  <c r="AW184" i="2" s="1"/>
  <c r="AZ184" i="2"/>
  <c r="BA184" i="2"/>
  <c r="AX184" i="2" l="1"/>
  <c r="AV184" i="2"/>
  <c r="AT184" i="2" s="1"/>
  <c r="AU184" i="2"/>
  <c r="AQ185" i="2" l="1"/>
  <c r="AS185" i="2"/>
  <c r="AP185" i="2"/>
  <c r="AR185" i="2"/>
  <c r="BC185" i="2" l="1"/>
  <c r="AX185" i="2" s="1"/>
  <c r="BD185" i="2"/>
  <c r="AZ185" i="2" s="1"/>
  <c r="BB185" i="2"/>
  <c r="AV185" i="2" s="1"/>
  <c r="AY185" i="2"/>
  <c r="AW185" i="2" l="1"/>
  <c r="BA185" i="2"/>
  <c r="AU185" i="2" s="1"/>
  <c r="AT185" i="2"/>
  <c r="AR186" i="2" s="1"/>
  <c r="AP186" i="2" l="1"/>
  <c r="AS186" i="2"/>
  <c r="AQ186" i="2"/>
  <c r="BD186" i="2" l="1"/>
  <c r="AZ186" i="2" s="1"/>
  <c r="BC186" i="2"/>
  <c r="AX186" i="2" s="1"/>
  <c r="BB186" i="2"/>
  <c r="AV186" i="2" s="1"/>
  <c r="AT186" i="2" l="1"/>
  <c r="AR187" i="2"/>
  <c r="AP187" i="2"/>
  <c r="AW186" i="2"/>
  <c r="AY186" i="2"/>
  <c r="BA186" i="2"/>
  <c r="AU186" i="2" l="1"/>
  <c r="AQ187" i="2" l="1"/>
  <c r="AS187" i="2"/>
  <c r="BD187" i="2" l="1"/>
  <c r="AZ187" i="2" s="1"/>
  <c r="BC187" i="2"/>
  <c r="AX187" i="2" s="1"/>
  <c r="BB187" i="2"/>
  <c r="AV187" i="2" s="1"/>
  <c r="AT187" i="2" l="1"/>
  <c r="AP188" i="2"/>
  <c r="AR188" i="2"/>
  <c r="AY187" i="2"/>
  <c r="AW187" i="2"/>
  <c r="BA187" i="2"/>
  <c r="AU187" i="2" l="1"/>
  <c r="AS188" i="2" l="1"/>
  <c r="AQ188" i="2"/>
  <c r="BD188" i="2" l="1"/>
  <c r="AZ188" i="2" s="1"/>
  <c r="BB188" i="2"/>
  <c r="BC188" i="2"/>
  <c r="AY188" i="2" l="1"/>
  <c r="AX188" i="2"/>
  <c r="AW188" i="2"/>
  <c r="AV188" i="2"/>
  <c r="BA188" i="2"/>
  <c r="AT188" i="2" l="1"/>
  <c r="AP189" i="2"/>
  <c r="AR189" i="2"/>
  <c r="AU188" i="2"/>
  <c r="AQ189" i="2" l="1"/>
  <c r="BD189" i="2" s="1"/>
  <c r="AZ189" i="2" s="1"/>
  <c r="AS189" i="2"/>
  <c r="BC189" i="2" l="1"/>
  <c r="BB189" i="2"/>
  <c r="BA189" i="2"/>
  <c r="AW189" i="2" l="1"/>
  <c r="AV189" i="2"/>
  <c r="AY189" i="2"/>
  <c r="AU189" i="2" s="1"/>
  <c r="AX189" i="2"/>
  <c r="AS190" i="2" l="1"/>
  <c r="AQ190" i="2"/>
  <c r="AT189" i="2"/>
  <c r="AR190" i="2" l="1"/>
  <c r="AP190" i="2"/>
  <c r="BD190" i="2" l="1"/>
  <c r="BA190" i="2" s="1"/>
  <c r="BC190" i="2"/>
  <c r="AY190" i="2" s="1"/>
  <c r="BB190" i="2"/>
  <c r="AW190" i="2" s="1"/>
  <c r="AZ190" i="2" l="1"/>
  <c r="AX190" i="2"/>
  <c r="AU190" i="2"/>
  <c r="AV190" i="2"/>
  <c r="AT190" i="2" s="1"/>
  <c r="AR191" i="2" l="1"/>
  <c r="AP191" i="2"/>
  <c r="AS191" i="2"/>
  <c r="AQ191" i="2"/>
  <c r="BC191" i="2" l="1"/>
  <c r="AX191" i="2" s="1"/>
  <c r="BD191" i="2"/>
  <c r="AZ191" i="2" s="1"/>
  <c r="BB191" i="2"/>
  <c r="AV191" i="2" s="1"/>
  <c r="AY191" i="2"/>
  <c r="BA191" i="2"/>
  <c r="AT191" i="2" l="1"/>
  <c r="AP192" i="2" s="1"/>
  <c r="AR192" i="2"/>
  <c r="AW191" i="2"/>
  <c r="AU191" i="2" s="1"/>
  <c r="AQ192" i="2" l="1"/>
  <c r="AS192" i="2"/>
  <c r="BC192" i="2" l="1"/>
  <c r="BB192" i="2"/>
  <c r="BD192" i="2"/>
  <c r="AV192" i="2" l="1"/>
  <c r="AW192" i="2"/>
  <c r="AZ192" i="2"/>
  <c r="BA192" i="2"/>
  <c r="AX192" i="2"/>
  <c r="AY192" i="2"/>
  <c r="AU192" i="2" l="1"/>
  <c r="AT192" i="2"/>
  <c r="AR193" i="2" l="1"/>
  <c r="AP193" i="2"/>
  <c r="AS193" i="2"/>
  <c r="AQ193" i="2"/>
  <c r="BC193" i="2" l="1"/>
  <c r="BB193" i="2"/>
  <c r="BD193" i="2"/>
  <c r="AZ193" i="2" s="1"/>
  <c r="BA193" i="2" l="1"/>
  <c r="AV193" i="2"/>
  <c r="AW193" i="2"/>
  <c r="AY193" i="2"/>
  <c r="AX193" i="2"/>
  <c r="AU193" i="2" l="1"/>
  <c r="AT193" i="2"/>
  <c r="AR194" i="2" l="1"/>
  <c r="AP194" i="2"/>
  <c r="AS194" i="2"/>
  <c r="AQ194" i="2"/>
  <c r="BC194" i="2" l="1"/>
  <c r="AX194" i="2" s="1"/>
  <c r="BB194" i="2"/>
  <c r="AV194" i="2" s="1"/>
  <c r="BD194" i="2"/>
  <c r="AZ194" i="2" s="1"/>
  <c r="AT194" i="2" l="1"/>
  <c r="BA194" i="2"/>
  <c r="AY194" i="2"/>
  <c r="AW194" i="2"/>
  <c r="AU194" i="2" l="1"/>
  <c r="AS195" i="2"/>
  <c r="AQ195" i="2"/>
  <c r="AR195" i="2"/>
  <c r="AP195" i="2"/>
  <c r="BB195" i="2" l="1"/>
  <c r="AV195" i="2" s="1"/>
  <c r="BD195" i="2"/>
  <c r="AZ195" i="2" s="1"/>
  <c r="BC195" i="2"/>
  <c r="AX195" i="2" s="1"/>
  <c r="AW195" i="2"/>
  <c r="AY195" i="2" l="1"/>
  <c r="BA195" i="2"/>
  <c r="AU195" i="2" s="1"/>
  <c r="AT195" i="2"/>
  <c r="AP196" i="2" l="1"/>
  <c r="AR196" i="2"/>
  <c r="AS196" i="2"/>
  <c r="AQ196" i="2"/>
  <c r="BD196" i="2" l="1"/>
  <c r="AZ196" i="2" s="1"/>
  <c r="BB196" i="2"/>
  <c r="AW196" i="2" s="1"/>
  <c r="BC196" i="2"/>
  <c r="AY196" i="2" s="1"/>
  <c r="AV196" i="2" l="1"/>
  <c r="AX196" i="2"/>
  <c r="BA196" i="2"/>
  <c r="AU196" i="2" s="1"/>
  <c r="AT196" i="2" l="1"/>
  <c r="AR197" i="2" s="1"/>
  <c r="AP197" i="2"/>
  <c r="AQ197" i="2"/>
  <c r="AS197" i="2"/>
  <c r="BC197" i="2" l="1"/>
  <c r="AX197" i="2" s="1"/>
  <c r="BB197" i="2"/>
  <c r="AV197" i="2" s="1"/>
  <c r="BD197" i="2"/>
  <c r="AZ197" i="2" s="1"/>
  <c r="AY197" i="2"/>
  <c r="AW197" i="2"/>
  <c r="BA197" i="2" l="1"/>
  <c r="AU197" i="2" s="1"/>
  <c r="AT197" i="2"/>
  <c r="AS198" i="2" l="1"/>
  <c r="AQ198" i="2"/>
  <c r="AP198" i="2"/>
  <c r="AR198" i="2"/>
  <c r="BC198" i="2" l="1"/>
  <c r="BB198" i="2"/>
  <c r="BD198" i="2"/>
  <c r="AV198" i="2" l="1"/>
  <c r="AW198" i="2"/>
  <c r="AZ198" i="2"/>
  <c r="BA198" i="2"/>
  <c r="AX198" i="2"/>
  <c r="AY198" i="2"/>
  <c r="AU198" i="2" l="1"/>
  <c r="AT198" i="2"/>
  <c r="AR199" i="2" l="1"/>
  <c r="AP199" i="2"/>
  <c r="AS199" i="2"/>
  <c r="AQ199" i="2"/>
  <c r="BD199" i="2" l="1"/>
  <c r="BC199" i="2"/>
  <c r="AX199" i="2" s="1"/>
  <c r="BB199" i="2"/>
  <c r="AV199" i="2" l="1"/>
  <c r="AW199" i="2"/>
  <c r="AZ199" i="2"/>
  <c r="BA199" i="2"/>
  <c r="AY199" i="2"/>
  <c r="AU199" i="2" l="1"/>
  <c r="AT199" i="2"/>
  <c r="AP200" i="2" l="1"/>
  <c r="AR200" i="2"/>
  <c r="AS200" i="2"/>
  <c r="AQ200" i="2"/>
  <c r="BB200" i="2" l="1"/>
  <c r="BD200" i="2"/>
  <c r="BC200" i="2"/>
  <c r="AX200" i="2" s="1"/>
  <c r="AZ200" i="2" l="1"/>
  <c r="BA200" i="2"/>
  <c r="AV200" i="2"/>
  <c r="AT200" i="2" s="1"/>
  <c r="AW200" i="2"/>
  <c r="AY200" i="2"/>
  <c r="AU200" i="2" l="1"/>
  <c r="AS201" i="2" s="1"/>
  <c r="AQ201" i="2"/>
  <c r="AR201" i="2"/>
  <c r="AP201" i="2"/>
  <c r="BC201" i="2" l="1"/>
  <c r="AY201" i="2" s="1"/>
  <c r="BB201" i="2"/>
  <c r="AW201" i="2" s="1"/>
  <c r="BD201" i="2"/>
  <c r="BA201" i="2" s="1"/>
  <c r="AU201" i="2" s="1"/>
  <c r="AS202" i="2" s="1"/>
  <c r="AX201" i="2" l="1"/>
  <c r="AQ202" i="2"/>
  <c r="AZ201" i="2"/>
  <c r="AV201" i="2"/>
  <c r="AT201" i="2" l="1"/>
  <c r="AP202" i="2"/>
  <c r="AR202" i="2"/>
  <c r="BC202" i="2" l="1"/>
  <c r="AY202" i="2" s="1"/>
  <c r="BD202" i="2"/>
  <c r="BA202" i="2" s="1"/>
  <c r="AX202" i="2"/>
  <c r="BB202" i="2"/>
  <c r="AZ202" i="2" l="1"/>
  <c r="AW202" i="2"/>
  <c r="AU202" i="2" s="1"/>
  <c r="AV202" i="2"/>
  <c r="AT202" i="2" s="1"/>
  <c r="AR203" i="2" l="1"/>
  <c r="AP203" i="2"/>
  <c r="AQ203" i="2"/>
  <c r="AS203" i="2"/>
  <c r="BC203" i="2" l="1"/>
  <c r="AY203" i="2" s="1"/>
  <c r="BB203" i="2"/>
  <c r="AX203" i="2"/>
  <c r="BD203" i="2"/>
  <c r="AZ203" i="2" l="1"/>
  <c r="BA203" i="2"/>
  <c r="AW203" i="2"/>
  <c r="AV203" i="2"/>
  <c r="AT203" i="2" s="1"/>
  <c r="AU203" i="2" l="1"/>
  <c r="AS204" i="2"/>
  <c r="AQ204" i="2"/>
  <c r="AP204" i="2"/>
  <c r="AR204" i="2"/>
  <c r="BC204" i="2" l="1"/>
  <c r="AX204" i="2" s="1"/>
  <c r="BB204" i="2"/>
  <c r="BD204" i="2"/>
  <c r="AZ204" i="2" s="1"/>
  <c r="AY204" i="2" l="1"/>
  <c r="AV204" i="2"/>
  <c r="AT204" i="2" s="1"/>
  <c r="AW204" i="2"/>
  <c r="BA204" i="2"/>
  <c r="AU204" i="2" l="1"/>
  <c r="AS205" i="2"/>
  <c r="AQ205" i="2"/>
  <c r="AP205" i="2"/>
  <c r="AR205" i="2"/>
  <c r="BB205" i="2" l="1"/>
  <c r="BD205" i="2"/>
  <c r="BC205" i="2"/>
  <c r="AZ205" i="2" l="1"/>
  <c r="BA205" i="2"/>
  <c r="AX205" i="2"/>
  <c r="AY205" i="2"/>
  <c r="AW205" i="2"/>
  <c r="AV205" i="2"/>
  <c r="AT205" i="2" l="1"/>
  <c r="AU205" i="2"/>
  <c r="AS206" i="2" s="1"/>
  <c r="AP206" i="2"/>
  <c r="AR206" i="2"/>
  <c r="AQ206" i="2" l="1"/>
  <c r="BD206" i="2"/>
  <c r="BA206" i="2" s="1"/>
  <c r="BC206" i="2"/>
  <c r="AY206" i="2" s="1"/>
  <c r="BB206" i="2"/>
  <c r="AW206" i="2" s="1"/>
  <c r="AU206" i="2" l="1"/>
  <c r="AZ206" i="2"/>
  <c r="AV206" i="2"/>
  <c r="AX206" i="2"/>
  <c r="AS207" i="2"/>
  <c r="AQ207" i="2"/>
  <c r="AT206" i="2" l="1"/>
  <c r="AR207" i="2"/>
  <c r="AP207" i="2"/>
  <c r="BB207" i="2" s="1"/>
  <c r="AV207" i="2" s="1"/>
  <c r="BC207" i="2" l="1"/>
  <c r="AX207" i="2" s="1"/>
  <c r="BD207" i="2"/>
  <c r="AZ207" i="2" s="1"/>
  <c r="AW207" i="2"/>
  <c r="AY207" i="2"/>
  <c r="AT207" i="2" l="1"/>
  <c r="AP208" i="2"/>
  <c r="AR208" i="2"/>
  <c r="BA207" i="2"/>
  <c r="AU207" i="2" s="1"/>
  <c r="AS208" i="2" l="1"/>
  <c r="AQ208" i="2"/>
  <c r="BC208" i="2" l="1"/>
  <c r="AX208" i="2" s="1"/>
  <c r="BD208" i="2"/>
  <c r="AZ208" i="2" s="1"/>
  <c r="BB208" i="2"/>
  <c r="AV208" i="2" s="1"/>
  <c r="AT208" i="2" l="1"/>
  <c r="AP209" i="2"/>
  <c r="AR209" i="2"/>
  <c r="AW208" i="2"/>
  <c r="AY208" i="2"/>
  <c r="BA208" i="2"/>
  <c r="AU208" i="2" l="1"/>
  <c r="AS209" i="2" l="1"/>
  <c r="AQ209" i="2"/>
  <c r="BB209" i="2" l="1"/>
  <c r="AV209" i="2" s="1"/>
  <c r="BD209" i="2"/>
  <c r="AZ209" i="2" s="1"/>
  <c r="BC209" i="2"/>
  <c r="AX209" i="2" s="1"/>
  <c r="AT209" i="2" l="1"/>
  <c r="AY209" i="2"/>
  <c r="AW209" i="2"/>
  <c r="BA209" i="2"/>
  <c r="AR210" i="2" l="1"/>
  <c r="AP210" i="2"/>
  <c r="AU209" i="2"/>
  <c r="AQ210" i="2" l="1"/>
  <c r="BD210" i="2" s="1"/>
  <c r="AZ210" i="2" s="1"/>
  <c r="AS210" i="2"/>
  <c r="BA210" i="2" l="1"/>
  <c r="BC210" i="2"/>
  <c r="BB210" i="2"/>
  <c r="AV210" i="2" s="1"/>
  <c r="AY210" i="2" l="1"/>
  <c r="AX210" i="2"/>
  <c r="AT210" i="2" s="1"/>
  <c r="AW210" i="2"/>
  <c r="AU210" i="2" s="1"/>
  <c r="AP211" i="2" l="1"/>
  <c r="AR211" i="2"/>
  <c r="AS211" i="2"/>
  <c r="AQ211" i="2"/>
  <c r="BD211" i="2" l="1"/>
  <c r="BA211" i="2" s="1"/>
  <c r="BC211" i="2"/>
  <c r="AY211" i="2" s="1"/>
  <c r="BB211" i="2"/>
  <c r="AV211" i="2" s="1"/>
  <c r="AZ211" i="2"/>
  <c r="AX211" i="2" l="1"/>
  <c r="AT211" i="2" s="1"/>
  <c r="AW211" i="2"/>
  <c r="AU211" i="2" s="1"/>
  <c r="AR212" i="2" l="1"/>
  <c r="AP212" i="2"/>
  <c r="AS212" i="2"/>
  <c r="AQ212" i="2"/>
  <c r="BC212" i="2" s="1"/>
  <c r="AX212" i="2" s="1"/>
  <c r="BD212" i="2" l="1"/>
  <c r="AZ212" i="2" s="1"/>
  <c r="AY212" i="2"/>
  <c r="BB212" i="2"/>
  <c r="AV212" i="2" s="1"/>
  <c r="AT212" i="2" s="1"/>
  <c r="BA212" i="2" l="1"/>
  <c r="AR213" i="2"/>
  <c r="AP213" i="2"/>
  <c r="AW212" i="2"/>
  <c r="AU212" i="2" s="1"/>
  <c r="AQ213" i="2" l="1"/>
  <c r="BC213" i="2" s="1"/>
  <c r="AX213" i="2" s="1"/>
  <c r="AS213" i="2"/>
  <c r="AY213" i="2" l="1"/>
  <c r="BB213" i="2"/>
  <c r="AV213" i="2" s="1"/>
  <c r="BD213" i="2"/>
  <c r="AZ213" i="2" s="1"/>
  <c r="AT213" i="2" l="1"/>
  <c r="AW213" i="2"/>
  <c r="BA213" i="2"/>
  <c r="AU213" i="2" l="1"/>
  <c r="AP214" i="2"/>
  <c r="AR214" i="2"/>
  <c r="AS214" i="2" l="1"/>
  <c r="AQ214" i="2"/>
  <c r="BC214" i="2" l="1"/>
  <c r="BD214" i="2"/>
  <c r="AZ214" i="2" s="1"/>
  <c r="BB214" i="2"/>
  <c r="AV214" i="2" s="1"/>
  <c r="AW214" i="2" l="1"/>
  <c r="AY214" i="2"/>
  <c r="AX214" i="2"/>
  <c r="AT214" i="2" s="1"/>
  <c r="BA214" i="2"/>
  <c r="AR215" i="2" l="1"/>
  <c r="AP215" i="2"/>
  <c r="AU214" i="2"/>
  <c r="AS215" i="2" l="1"/>
  <c r="AQ215" i="2"/>
  <c r="BC215" i="2"/>
  <c r="AY215" i="2" s="1"/>
  <c r="BD215" i="2"/>
  <c r="AZ215" i="2" s="1"/>
  <c r="AX215" i="2" l="1"/>
  <c r="BA215" i="2"/>
  <c r="BB215" i="2"/>
  <c r="AV215" i="2" s="1"/>
  <c r="AT215" i="2" s="1"/>
  <c r="AR216" i="2" l="1"/>
  <c r="AP216" i="2"/>
  <c r="AW215" i="2"/>
  <c r="AU215" i="2" s="1"/>
  <c r="AQ216" i="2" l="1"/>
  <c r="BC216" i="2" s="1"/>
  <c r="AX216" i="2" s="1"/>
  <c r="AS216" i="2"/>
  <c r="AY216" i="2" l="1"/>
  <c r="BB216" i="2"/>
  <c r="AV216" i="2" s="1"/>
  <c r="BD216" i="2"/>
  <c r="AZ216" i="2" s="1"/>
  <c r="AT216" i="2" l="1"/>
  <c r="AP217" i="2"/>
  <c r="AR217" i="2"/>
  <c r="AW216" i="2"/>
  <c r="BA216" i="2"/>
  <c r="AU216" i="2" l="1"/>
  <c r="AS217" i="2" l="1"/>
  <c r="AQ217" i="2"/>
  <c r="BC217" i="2" l="1"/>
  <c r="AX217" i="2" s="1"/>
  <c r="BD217" i="2"/>
  <c r="AZ217" i="2" s="1"/>
  <c r="BB217" i="2"/>
  <c r="AV217" i="2" s="1"/>
  <c r="AT217" i="2" l="1"/>
  <c r="AR218" i="2"/>
  <c r="AP218" i="2"/>
  <c r="AY217" i="2"/>
  <c r="AW217" i="2"/>
  <c r="BA217" i="2"/>
  <c r="AU217" i="2" l="1"/>
  <c r="AQ218" i="2" l="1"/>
  <c r="AS218" i="2"/>
  <c r="BB218" i="2" l="1"/>
  <c r="AV218" i="2" s="1"/>
  <c r="BC218" i="2"/>
  <c r="BD218" i="2"/>
  <c r="AZ218" i="2" s="1"/>
  <c r="AY218" i="2" l="1"/>
  <c r="AX218" i="2"/>
  <c r="AT218" i="2" s="1"/>
  <c r="AW218" i="2"/>
  <c r="BA218" i="2"/>
  <c r="AP219" i="2" l="1"/>
  <c r="AR219" i="2"/>
  <c r="AU218" i="2"/>
  <c r="AS219" i="2" l="1"/>
  <c r="AQ219" i="2"/>
  <c r="BC219" i="2"/>
  <c r="AX219" i="2" s="1"/>
  <c r="BD219" i="2"/>
  <c r="AZ219" i="2" s="1"/>
  <c r="BA219" i="2" l="1"/>
  <c r="AY219" i="2"/>
  <c r="BB219" i="2"/>
  <c r="AV219" i="2" s="1"/>
  <c r="AT219" i="2" s="1"/>
  <c r="AR220" i="2" l="1"/>
  <c r="AP220" i="2"/>
  <c r="AW219" i="2"/>
  <c r="AU219" i="2" s="1"/>
  <c r="AQ220" i="2" l="1"/>
  <c r="AS220" i="2"/>
  <c r="BD220" i="2" l="1"/>
  <c r="AZ220" i="2" s="1"/>
  <c r="BC220" i="2"/>
  <c r="AX220" i="2" s="1"/>
  <c r="BB220" i="2"/>
  <c r="AV220" i="2" s="1"/>
  <c r="AT220" i="2" l="1"/>
  <c r="AP221" i="2"/>
  <c r="AR221" i="2"/>
  <c r="AY220" i="2"/>
  <c r="AW220" i="2"/>
  <c r="BA220" i="2"/>
  <c r="AU220" i="2" l="1"/>
  <c r="AQ221" i="2" l="1"/>
  <c r="AS221" i="2"/>
  <c r="BC221" i="2" l="1"/>
  <c r="BD221" i="2"/>
  <c r="AZ221" i="2" s="1"/>
  <c r="BB221" i="2"/>
  <c r="AV221" i="2" s="1"/>
  <c r="AW221" i="2" l="1"/>
  <c r="AY221" i="2"/>
  <c r="AX221" i="2"/>
  <c r="AT221" i="2" s="1"/>
  <c r="BA221" i="2"/>
  <c r="AP222" i="2" l="1"/>
  <c r="AR222" i="2"/>
  <c r="AU221" i="2"/>
  <c r="AS222" i="2" l="1"/>
  <c r="AQ222" i="2"/>
  <c r="BC222" i="2" s="1"/>
  <c r="AX222" i="2" s="1"/>
  <c r="BB222" i="2"/>
  <c r="AW222" i="2" s="1"/>
  <c r="BD222" i="2" l="1"/>
  <c r="AZ222" i="2" s="1"/>
  <c r="AT222" i="2" s="1"/>
  <c r="AV222" i="2"/>
  <c r="AY222" i="2"/>
  <c r="BA222" i="2" l="1"/>
  <c r="AU222" i="2" s="1"/>
  <c r="AS223" i="2" s="1"/>
  <c r="AR223" i="2"/>
  <c r="AP223" i="2"/>
  <c r="AQ223" i="2" l="1"/>
  <c r="BD223" i="2" s="1"/>
  <c r="BC223" i="2"/>
  <c r="AY223" i="2" s="1"/>
  <c r="AZ223" i="2" l="1"/>
  <c r="BA223" i="2"/>
  <c r="BB223" i="2"/>
  <c r="AX223" i="2"/>
  <c r="AW223" i="2" l="1"/>
  <c r="AU223" i="2" s="1"/>
  <c r="AV223" i="2"/>
  <c r="AT223" i="2" s="1"/>
  <c r="AR224" i="2" l="1"/>
  <c r="AP224" i="2"/>
  <c r="AQ224" i="2"/>
  <c r="AS224" i="2"/>
  <c r="BC224" i="2" l="1"/>
  <c r="BD224" i="2"/>
  <c r="BB224" i="2"/>
  <c r="AW224" i="2" s="1"/>
  <c r="AV224" i="2" l="1"/>
  <c r="BA224" i="2"/>
  <c r="AZ224" i="2"/>
  <c r="AY224" i="2"/>
  <c r="AU224" i="2" s="1"/>
  <c r="AX224" i="2"/>
  <c r="AS225" i="2" l="1"/>
  <c r="AQ225" i="2"/>
  <c r="AT224" i="2"/>
  <c r="AP225" i="2" l="1"/>
  <c r="AR225" i="2"/>
  <c r="BD225" i="2" l="1"/>
  <c r="BC225" i="2"/>
  <c r="AY225" i="2" s="1"/>
  <c r="BB225" i="2"/>
  <c r="AW225" i="2" s="1"/>
  <c r="AV225" i="2" l="1"/>
  <c r="AX225" i="2"/>
  <c r="AZ225" i="2"/>
  <c r="BA225" i="2"/>
  <c r="AU225" i="2" s="1"/>
  <c r="AQ226" i="2" l="1"/>
  <c r="AS226" i="2"/>
  <c r="AT225" i="2"/>
  <c r="AR226" i="2" l="1"/>
  <c r="AP226" i="2"/>
  <c r="BD226" i="2" l="1"/>
  <c r="BB226" i="2"/>
  <c r="AW226" i="2" s="1"/>
  <c r="BC226" i="2"/>
  <c r="AY226" i="2" s="1"/>
  <c r="AV226" i="2" l="1"/>
  <c r="AX226" i="2"/>
  <c r="AT226" i="2" s="1"/>
  <c r="AZ226" i="2"/>
  <c r="BA226" i="2"/>
  <c r="AU226" i="2" s="1"/>
  <c r="AS227" i="2" l="1"/>
  <c r="AQ227" i="2"/>
  <c r="AP227" i="2"/>
  <c r="AR227" i="2"/>
  <c r="BB227" i="2" l="1"/>
  <c r="AW227" i="2" s="1"/>
  <c r="BD227" i="2"/>
  <c r="AZ227" i="2" s="1"/>
  <c r="BC227" i="2"/>
  <c r="AX227" i="2" s="1"/>
  <c r="AY227" i="2" l="1"/>
  <c r="BA227" i="2"/>
  <c r="AV227" i="2"/>
  <c r="AT227" i="2" s="1"/>
  <c r="AU227" i="2" l="1"/>
  <c r="AS228" i="2"/>
  <c r="AQ228" i="2"/>
  <c r="AP228" i="2"/>
  <c r="AR228" i="2"/>
  <c r="BC228" i="2" l="1"/>
  <c r="AY228" i="2" s="1"/>
  <c r="BD228" i="2"/>
  <c r="BA228" i="2" s="1"/>
  <c r="BB228" i="2"/>
  <c r="AW228" i="2" s="1"/>
  <c r="AU228" i="2" s="1"/>
  <c r="AQ229" i="2" l="1"/>
  <c r="AS229" i="2"/>
  <c r="AV228" i="2"/>
  <c r="AX228" i="2"/>
  <c r="AZ228" i="2"/>
  <c r="AT228" i="2" l="1"/>
  <c r="AR229" i="2" l="1"/>
  <c r="AP229" i="2"/>
  <c r="BD229" i="2" l="1"/>
  <c r="BA229" i="2" s="1"/>
  <c r="BC229" i="2"/>
  <c r="AY229" i="2" s="1"/>
  <c r="BB229" i="2"/>
  <c r="AW229" i="2" s="1"/>
  <c r="AU229" i="2" s="1"/>
  <c r="AZ229" i="2"/>
  <c r="AX229" i="2"/>
  <c r="AV229" i="2" l="1"/>
  <c r="AQ230" i="2"/>
  <c r="AS230" i="2"/>
  <c r="AT229" i="2"/>
  <c r="AR230" i="2" l="1"/>
  <c r="AP230" i="2"/>
  <c r="BB230" i="2" l="1"/>
  <c r="BC230" i="2"/>
  <c r="BD230" i="2"/>
  <c r="AZ230" i="2" l="1"/>
  <c r="BA230" i="2"/>
  <c r="AX230" i="2"/>
  <c r="AY230" i="2"/>
  <c r="AV230" i="2"/>
  <c r="AW230" i="2"/>
  <c r="AT230" i="2" l="1"/>
  <c r="AU230" i="2"/>
  <c r="AR231" i="2"/>
  <c r="AP231" i="2"/>
  <c r="AQ231" i="2" l="1"/>
  <c r="AS231" i="2"/>
  <c r="BD231" i="2" l="1"/>
  <c r="AZ231" i="2" s="1"/>
  <c r="BB231" i="2"/>
  <c r="AV231" i="2" s="1"/>
  <c r="BC231" i="2"/>
  <c r="AX231" i="2" s="1"/>
  <c r="AW231" i="2" l="1"/>
  <c r="AY231" i="2"/>
  <c r="AT231" i="2"/>
  <c r="BA231" i="2"/>
  <c r="AU231" i="2" l="1"/>
  <c r="AS232" i="2"/>
  <c r="AQ232" i="2"/>
  <c r="AR232" i="2"/>
  <c r="AP232" i="2"/>
  <c r="BB232" i="2" l="1"/>
  <c r="AV232" i="2" s="1"/>
  <c r="BD232" i="2"/>
  <c r="AZ232" i="2" s="1"/>
  <c r="BC232" i="2"/>
  <c r="AX232" i="2" s="1"/>
  <c r="AW232" i="2" l="1"/>
  <c r="AT232" i="2"/>
  <c r="BA232" i="2"/>
  <c r="AY232" i="2"/>
  <c r="AU232" i="2" s="1"/>
  <c r="AS233" i="2" l="1"/>
  <c r="AQ233" i="2"/>
  <c r="AR233" i="2"/>
  <c r="AP233" i="2"/>
  <c r="BB233" i="2" l="1"/>
  <c r="AW233" i="2" s="1"/>
  <c r="BC233" i="2"/>
  <c r="AY233" i="2" s="1"/>
  <c r="BD233" i="2"/>
  <c r="AZ233" i="2" s="1"/>
  <c r="AV233" i="2"/>
  <c r="BA233" i="2" l="1"/>
  <c r="AU233" i="2"/>
  <c r="AX233" i="2"/>
  <c r="AT233" i="2" s="1"/>
  <c r="AR234" i="2" l="1"/>
  <c r="AP234" i="2"/>
  <c r="AS234" i="2"/>
  <c r="AQ234" i="2"/>
  <c r="BD234" i="2" l="1"/>
  <c r="AZ234" i="2" s="1"/>
  <c r="BB234" i="2"/>
  <c r="AW234" i="2" s="1"/>
  <c r="BC234" i="2"/>
  <c r="AY234" i="2" s="1"/>
  <c r="BA234" i="2"/>
  <c r="AU234" i="2" l="1"/>
  <c r="AV234" i="2"/>
  <c r="AX234" i="2"/>
  <c r="AT234" i="2" l="1"/>
  <c r="AS235" i="2"/>
  <c r="AQ235" i="2"/>
  <c r="AR235" i="2" l="1"/>
  <c r="AP235" i="2"/>
  <c r="BC235" i="2" l="1"/>
  <c r="BD235" i="2"/>
  <c r="BB235" i="2"/>
  <c r="AW235" i="2" s="1"/>
  <c r="AV235" i="2" l="1"/>
  <c r="AZ235" i="2"/>
  <c r="BA235" i="2"/>
  <c r="AX235" i="2"/>
  <c r="AT235" i="2" s="1"/>
  <c r="AY235" i="2"/>
  <c r="AU235" i="2" s="1"/>
  <c r="AQ236" i="2" l="1"/>
  <c r="AS236" i="2"/>
  <c r="AR236" i="2"/>
  <c r="AP236" i="2"/>
  <c r="BD236" i="2" l="1"/>
  <c r="AZ236" i="2" s="1"/>
  <c r="BB236" i="2"/>
  <c r="AW236" i="2" s="1"/>
  <c r="AV236" i="2"/>
  <c r="BC236" i="2"/>
  <c r="AX236" i="2" s="1"/>
  <c r="BA236" i="2"/>
  <c r="AY236" i="2"/>
  <c r="AT236" i="2" l="1"/>
  <c r="AR237" i="2" s="1"/>
  <c r="AP237" i="2"/>
  <c r="AU236" i="2"/>
  <c r="AQ237" i="2" l="1"/>
  <c r="AS237" i="2"/>
  <c r="BD237" i="2"/>
  <c r="AZ237" i="2" s="1"/>
  <c r="BB237" i="2"/>
  <c r="AV237" i="2" s="1"/>
  <c r="BC237" i="2" l="1"/>
  <c r="BA237" i="2"/>
  <c r="AW237" i="2"/>
  <c r="AY237" i="2" l="1"/>
  <c r="AU237" i="2" s="1"/>
  <c r="AX237" i="2"/>
  <c r="AT237" i="2" s="1"/>
  <c r="AS238" i="2" l="1"/>
  <c r="AQ238" i="2"/>
  <c r="AR238" i="2"/>
  <c r="AP238" i="2"/>
  <c r="BC238" i="2" l="1"/>
  <c r="AX238" i="2" s="1"/>
  <c r="BB238" i="2"/>
  <c r="AW238" i="2" s="1"/>
  <c r="BD238" i="2"/>
  <c r="BA238" i="2" s="1"/>
  <c r="AV238" i="2" l="1"/>
  <c r="AY238" i="2"/>
  <c r="AU238" i="2" s="1"/>
  <c r="AZ238" i="2"/>
  <c r="AT238" i="2" s="1"/>
  <c r="AR239" i="2" l="1"/>
  <c r="AP239" i="2"/>
  <c r="AS239" i="2"/>
  <c r="AQ239" i="2"/>
  <c r="BD239" i="2" l="1"/>
  <c r="BA239" i="2" s="1"/>
  <c r="BB239" i="2"/>
  <c r="AW239" i="2" s="1"/>
  <c r="BC239" i="2"/>
  <c r="AY239" i="2" s="1"/>
  <c r="AV239" i="2" l="1"/>
  <c r="AU239" i="2"/>
  <c r="AX239" i="2"/>
  <c r="AZ239" i="2"/>
  <c r="AT239" i="2" l="1"/>
  <c r="AS240" i="2"/>
  <c r="AQ240" i="2"/>
  <c r="AR240" i="2" l="1"/>
  <c r="AP240" i="2"/>
  <c r="BB240" i="2" l="1"/>
  <c r="AW240" i="2" s="1"/>
  <c r="BC240" i="2"/>
  <c r="AY240" i="2" s="1"/>
  <c r="BD240" i="2"/>
  <c r="BA240" i="2" s="1"/>
  <c r="AU240" i="2" l="1"/>
  <c r="AZ240" i="2"/>
  <c r="AV240" i="2"/>
  <c r="AX240" i="2"/>
  <c r="AT240" i="2" l="1"/>
  <c r="AQ241" i="2"/>
  <c r="AS241" i="2"/>
  <c r="AR241" i="2" l="1"/>
  <c r="AP241" i="2"/>
  <c r="BB241" i="2" l="1"/>
  <c r="AW241" i="2" s="1"/>
  <c r="BC241" i="2"/>
  <c r="AY241" i="2" s="1"/>
  <c r="BD241" i="2"/>
  <c r="BA241" i="2" s="1"/>
  <c r="AX241" i="2" l="1"/>
  <c r="AU241" i="2"/>
  <c r="AV241" i="2"/>
  <c r="AZ241" i="2"/>
  <c r="AS242" i="2"/>
  <c r="AQ242" i="2"/>
  <c r="AT241" i="2" l="1"/>
  <c r="AR242" i="2" l="1"/>
  <c r="AP242" i="2"/>
  <c r="BC242" i="2" l="1"/>
  <c r="AY242" i="2" s="1"/>
  <c r="BD242" i="2"/>
  <c r="BA242" i="2" s="1"/>
  <c r="BB242" i="2"/>
  <c r="AX242" i="2"/>
  <c r="AZ242" i="2" l="1"/>
  <c r="AV242" i="2"/>
  <c r="AT242" i="2" s="1"/>
  <c r="AW242" i="2"/>
  <c r="AU242" i="2" s="1"/>
  <c r="AP243" i="2" l="1"/>
  <c r="AR243" i="2"/>
  <c r="AS243" i="2"/>
  <c r="AQ243" i="2"/>
  <c r="BC243" i="2" l="1"/>
  <c r="AX243" i="2" s="1"/>
  <c r="BB243" i="2"/>
  <c r="AV243" i="2" s="1"/>
  <c r="BD243" i="2"/>
  <c r="AZ243" i="2" s="1"/>
  <c r="AT243" i="2" l="1"/>
  <c r="AR244" i="2" s="1"/>
  <c r="AY243" i="2"/>
  <c r="AW243" i="2"/>
  <c r="AU243" i="2" s="1"/>
  <c r="AP244" i="2"/>
  <c r="BA243" i="2"/>
  <c r="AS244" i="2" l="1"/>
  <c r="AQ244" i="2"/>
  <c r="BD244" i="2" s="1"/>
  <c r="AZ244" i="2" s="1"/>
  <c r="BC244" i="2" l="1"/>
  <c r="AX244" i="2" s="1"/>
  <c r="BA244" i="2"/>
  <c r="BB244" i="2"/>
  <c r="AV244" i="2" s="1"/>
  <c r="AT244" i="2" s="1"/>
  <c r="AR245" i="2" l="1"/>
  <c r="AP245" i="2"/>
  <c r="AW244" i="2"/>
  <c r="AY244" i="2"/>
  <c r="AU244" i="2" l="1"/>
  <c r="AS245" i="2"/>
  <c r="AQ245" i="2"/>
  <c r="BC245" i="2" s="1"/>
  <c r="AX245" i="2" s="1"/>
  <c r="BB245" i="2" l="1"/>
  <c r="AV245" i="2" s="1"/>
  <c r="BD245" i="2"/>
  <c r="AZ245" i="2" s="1"/>
  <c r="AT245" i="2" s="1"/>
  <c r="AW245" i="2"/>
  <c r="AY245" i="2"/>
  <c r="BA245" i="2"/>
  <c r="AP246" i="2" l="1"/>
  <c r="AR246" i="2"/>
  <c r="AU245" i="2"/>
  <c r="AQ246" i="2" l="1"/>
  <c r="AS246" i="2"/>
  <c r="BD246" i="2"/>
  <c r="AZ246" i="2" s="1"/>
  <c r="BC246" i="2"/>
  <c r="AX246" i="2" s="1"/>
  <c r="BB246" i="2"/>
  <c r="AV246" i="2" s="1"/>
  <c r="AT246" i="2" l="1"/>
  <c r="AW246" i="2"/>
  <c r="AY246" i="2"/>
  <c r="BA246" i="2"/>
  <c r="AU246" i="2" l="1"/>
  <c r="AR247" i="2"/>
  <c r="AP247" i="2"/>
  <c r="AS247" i="2" l="1"/>
  <c r="AQ247" i="2"/>
  <c r="BC247" i="2" l="1"/>
  <c r="AX247" i="2" s="1"/>
  <c r="BD247" i="2"/>
  <c r="AZ247" i="2" s="1"/>
  <c r="BB247" i="2"/>
  <c r="AV247" i="2" s="1"/>
  <c r="AT247" i="2" s="1"/>
  <c r="AR248" i="2" l="1"/>
  <c r="AP248" i="2"/>
  <c r="AY247" i="2"/>
  <c r="BA247" i="2"/>
  <c r="AW247" i="2"/>
  <c r="AU247" i="2" l="1"/>
  <c r="AS248" i="2" l="1"/>
  <c r="AQ248" i="2"/>
  <c r="BC248" i="2" l="1"/>
  <c r="AX248" i="2" s="1"/>
  <c r="BD248" i="2"/>
  <c r="AZ248" i="2" s="1"/>
  <c r="BB248" i="2"/>
  <c r="AV248" i="2" s="1"/>
  <c r="AT248" i="2" s="1"/>
  <c r="AR249" i="2" l="1"/>
  <c r="AP249" i="2"/>
  <c r="AW248" i="2"/>
  <c r="AY248" i="2"/>
  <c r="BA248" i="2"/>
  <c r="AU248" i="2" l="1"/>
  <c r="AS249" i="2" l="1"/>
  <c r="AQ249" i="2"/>
  <c r="BD249" i="2" l="1"/>
  <c r="AZ249" i="2" s="1"/>
  <c r="BC249" i="2"/>
  <c r="AX249" i="2" s="1"/>
  <c r="BB249" i="2"/>
  <c r="AV249" i="2" s="1"/>
  <c r="AT249" i="2" s="1"/>
  <c r="AP250" i="2" l="1"/>
  <c r="AR250" i="2"/>
  <c r="AW249" i="2"/>
  <c r="BA249" i="2"/>
  <c r="AY249" i="2"/>
  <c r="AU249" i="2" l="1"/>
  <c r="AS250" i="2" l="1"/>
  <c r="AQ250" i="2"/>
  <c r="BD250" i="2" l="1"/>
  <c r="AZ250" i="2" s="1"/>
  <c r="BB250" i="2"/>
  <c r="AV250" i="2" s="1"/>
  <c r="BC250" i="2"/>
  <c r="AY250" i="2" l="1"/>
  <c r="AX250" i="2"/>
  <c r="AT250" i="2" s="1"/>
  <c r="BA250" i="2"/>
  <c r="AW250" i="2"/>
  <c r="AU250" i="2" s="1"/>
  <c r="AS251" i="2" l="1"/>
  <c r="AQ251" i="2"/>
  <c r="AR251" i="2"/>
  <c r="AP251" i="2"/>
  <c r="BD251" i="2" l="1"/>
  <c r="BA251" i="2" s="1"/>
  <c r="BC251" i="2"/>
  <c r="AY251" i="2" s="1"/>
  <c r="BB251" i="2"/>
  <c r="AW251" i="2" s="1"/>
  <c r="AZ251" i="2" l="1"/>
  <c r="AV251" i="2"/>
  <c r="AX251" i="2"/>
  <c r="AU251" i="2"/>
  <c r="AQ252" i="2" l="1"/>
  <c r="AS252" i="2"/>
  <c r="AT251" i="2"/>
  <c r="AR252" i="2" l="1"/>
  <c r="AP252" i="2"/>
  <c r="BC252" i="2" l="1"/>
  <c r="AY252" i="2" s="1"/>
  <c r="BB252" i="2"/>
  <c r="AW252" i="2" s="1"/>
  <c r="BD252" i="2"/>
  <c r="BA252" i="2" s="1"/>
  <c r="AX252" i="2"/>
  <c r="AV252" i="2"/>
  <c r="AZ252" i="2" l="1"/>
  <c r="AU252" i="2"/>
  <c r="AQ253" i="2" s="1"/>
  <c r="AT252" i="2"/>
  <c r="AS253" i="2"/>
  <c r="AR253" i="2" l="1"/>
  <c r="AP253" i="2"/>
  <c r="BB253" i="2" l="1"/>
  <c r="AW253" i="2" s="1"/>
  <c r="BC253" i="2"/>
  <c r="AY253" i="2" s="1"/>
  <c r="BD253" i="2"/>
  <c r="BA253" i="2" s="1"/>
  <c r="AV253" i="2"/>
  <c r="AX253" i="2"/>
  <c r="AZ253" i="2" l="1"/>
  <c r="AT253" i="2" s="1"/>
  <c r="AU253" i="2"/>
  <c r="AQ254" i="2" s="1"/>
  <c r="AR254" i="2" l="1"/>
  <c r="AP254" i="2"/>
  <c r="BB254" i="2" s="1"/>
  <c r="AW254" i="2" s="1"/>
  <c r="AS254" i="2"/>
  <c r="BC254" i="2" l="1"/>
  <c r="BD254" i="2"/>
  <c r="BA254" i="2" s="1"/>
  <c r="AV254" i="2"/>
  <c r="AZ254" i="2" l="1"/>
  <c r="AY254" i="2"/>
  <c r="AU254" i="2" s="1"/>
  <c r="AS255" i="2" s="1"/>
  <c r="AX254" i="2"/>
  <c r="AQ255" i="2" l="1"/>
  <c r="AT254" i="2"/>
  <c r="AP255" i="2" l="1"/>
  <c r="AR255" i="2"/>
  <c r="BC255" i="2" l="1"/>
  <c r="BD255" i="2"/>
  <c r="BB255" i="2"/>
  <c r="AV255" i="2" l="1"/>
  <c r="AW255" i="2"/>
  <c r="BA255" i="2"/>
  <c r="AZ255" i="2"/>
  <c r="AY255" i="2"/>
  <c r="AX255" i="2"/>
  <c r="AT255" i="2" s="1"/>
  <c r="AU255" i="2" l="1"/>
  <c r="AP256" i="2"/>
  <c r="AR256" i="2"/>
  <c r="BB256" i="2" l="1"/>
  <c r="AW256" i="2" s="1"/>
  <c r="AQ256" i="2"/>
  <c r="BD256" i="2" s="1"/>
  <c r="AZ256" i="2" s="1"/>
  <c r="AS256" i="2"/>
  <c r="AV256" i="2" l="1"/>
  <c r="BA256" i="2"/>
  <c r="BC256" i="2"/>
  <c r="AY256" i="2" l="1"/>
  <c r="AU256" i="2" s="1"/>
  <c r="AX256" i="2"/>
  <c r="AT256" i="2" s="1"/>
  <c r="AP257" i="2" l="1"/>
  <c r="AR257" i="2"/>
  <c r="AS257" i="2"/>
  <c r="AQ257" i="2"/>
  <c r="BD257" i="2" l="1"/>
  <c r="BA257" i="2" s="1"/>
  <c r="BC257" i="2"/>
  <c r="AY257" i="2" s="1"/>
  <c r="BB257" i="2"/>
  <c r="AW257" i="2" s="1"/>
  <c r="AV257" i="2"/>
  <c r="AZ257" i="2" l="1"/>
  <c r="AX257" i="2"/>
  <c r="AT257" i="2" s="1"/>
  <c r="AU257" i="2"/>
  <c r="AR258" i="2" l="1"/>
  <c r="AP258" i="2"/>
  <c r="AQ258" i="2"/>
  <c r="AS258" i="2"/>
  <c r="BC258" i="2" l="1"/>
  <c r="AY258" i="2" s="1"/>
  <c r="BD258" i="2"/>
  <c r="BA258" i="2" s="1"/>
  <c r="BB258" i="2"/>
  <c r="AV258" i="2" s="1"/>
  <c r="AW258" i="2"/>
  <c r="AU258" i="2" s="1"/>
  <c r="AQ259" i="2" s="1"/>
  <c r="AZ258" i="2" l="1"/>
  <c r="AX258" i="2"/>
  <c r="AT258" i="2" s="1"/>
  <c r="AS259" i="2"/>
  <c r="AR259" i="2" l="1"/>
  <c r="AP259" i="2"/>
  <c r="BB259" i="2" l="1"/>
  <c r="AW259" i="2" s="1"/>
  <c r="BC259" i="2"/>
  <c r="AY259" i="2" s="1"/>
  <c r="BD259" i="2"/>
  <c r="BA259" i="2" s="1"/>
  <c r="AU259" i="2" l="1"/>
  <c r="AV259" i="2"/>
  <c r="AZ259" i="2"/>
  <c r="AX259" i="2"/>
  <c r="AT259" i="2" l="1"/>
  <c r="AS260" i="2"/>
  <c r="AQ260" i="2"/>
  <c r="AR260" i="2" l="1"/>
  <c r="AP260" i="2"/>
  <c r="BC260" i="2" l="1"/>
  <c r="AY260" i="2" s="1"/>
  <c r="BD260" i="2"/>
  <c r="BB260" i="2"/>
  <c r="AW260" i="2" s="1"/>
  <c r="AX260" i="2"/>
  <c r="AV260" i="2" l="1"/>
  <c r="AZ260" i="2"/>
  <c r="BA260" i="2"/>
  <c r="AU260" i="2" s="1"/>
  <c r="AS261" i="2" l="1"/>
  <c r="AQ261" i="2"/>
  <c r="AT260" i="2"/>
  <c r="AP261" i="2" l="1"/>
  <c r="AR261" i="2"/>
  <c r="BB261" i="2" l="1"/>
  <c r="BD261" i="2"/>
  <c r="BC261" i="2"/>
  <c r="AY261" i="2" s="1"/>
  <c r="AX261" i="2" l="1"/>
  <c r="AZ261" i="2"/>
  <c r="BA261" i="2"/>
  <c r="AV261" i="2"/>
  <c r="AW261" i="2"/>
  <c r="AU261" i="2" l="1"/>
  <c r="AT261" i="2"/>
  <c r="AR262" i="2" l="1"/>
  <c r="AP262" i="2"/>
  <c r="AQ262" i="2"/>
  <c r="AS262" i="2"/>
  <c r="BB262" i="2" l="1"/>
  <c r="BC262" i="2"/>
  <c r="AY262" i="2" s="1"/>
  <c r="AV262" i="2"/>
  <c r="BD262" i="2"/>
  <c r="BA262" i="2" s="1"/>
  <c r="AW262" i="2"/>
  <c r="AU262" i="2" l="1"/>
  <c r="AX262" i="2"/>
  <c r="AT262" i="2" s="1"/>
  <c r="AZ262" i="2"/>
  <c r="AR263" i="2" l="1"/>
  <c r="AP263" i="2"/>
  <c r="AS263" i="2"/>
  <c r="AQ263" i="2"/>
  <c r="BD263" i="2" l="1"/>
  <c r="AZ263" i="2" s="1"/>
  <c r="BC263" i="2"/>
  <c r="AY263" i="2" s="1"/>
  <c r="BB263" i="2"/>
  <c r="AW263" i="2" s="1"/>
  <c r="AX263" i="2"/>
  <c r="AV263" i="2"/>
  <c r="AT263" i="2" l="1"/>
  <c r="BA263" i="2"/>
  <c r="AU263" i="2" s="1"/>
  <c r="AQ264" i="2" l="1"/>
  <c r="AS264" i="2"/>
  <c r="AR264" i="2"/>
  <c r="AP264" i="2"/>
  <c r="BD264" i="2" l="1"/>
  <c r="AZ264" i="2" s="1"/>
  <c r="BB264" i="2"/>
  <c r="AV264" i="2" s="1"/>
  <c r="AT264" i="2" s="1"/>
  <c r="AR265" i="2" s="1"/>
  <c r="BC264" i="2"/>
  <c r="AX264" i="2" s="1"/>
  <c r="BA264" i="2"/>
  <c r="AW264" i="2" l="1"/>
  <c r="AY264" i="2"/>
  <c r="AP265" i="2"/>
  <c r="AU264" i="2" l="1"/>
  <c r="AS265" i="2" l="1"/>
  <c r="AQ265" i="2"/>
  <c r="BD265" i="2" l="1"/>
  <c r="AZ265" i="2" s="1"/>
  <c r="BC265" i="2"/>
  <c r="AX265" i="2" s="1"/>
  <c r="BB265" i="2"/>
  <c r="AV265" i="2" s="1"/>
  <c r="AT265" i="2" s="1"/>
  <c r="AW265" i="2" l="1"/>
  <c r="AR266" i="2"/>
  <c r="AP266" i="2"/>
  <c r="BA265" i="2"/>
  <c r="AY265" i="2"/>
  <c r="AU265" i="2" l="1"/>
  <c r="AQ266" i="2" l="1"/>
  <c r="AS266" i="2"/>
  <c r="BD266" i="2" l="1"/>
  <c r="AZ266" i="2" s="1"/>
  <c r="BB266" i="2"/>
  <c r="BC266" i="2"/>
  <c r="AY266" i="2" l="1"/>
  <c r="AX266" i="2"/>
  <c r="BA266" i="2"/>
  <c r="AU266" i="2" s="1"/>
  <c r="AW266" i="2"/>
  <c r="AV266" i="2"/>
  <c r="AT266" i="2" s="1"/>
  <c r="AS267" i="2" l="1"/>
  <c r="AQ267" i="2"/>
  <c r="AR267" i="2"/>
  <c r="AP267" i="2"/>
  <c r="BB267" i="2" l="1"/>
  <c r="AV267" i="2" s="1"/>
  <c r="BC267" i="2"/>
  <c r="AY267" i="2" s="1"/>
  <c r="BD267" i="2"/>
  <c r="BA267" i="2" s="1"/>
  <c r="AW267" i="2"/>
  <c r="AU267" i="2" l="1"/>
  <c r="AX267" i="2"/>
  <c r="AZ267" i="2"/>
  <c r="AT267" i="2" s="1"/>
  <c r="AP268" i="2" l="1"/>
  <c r="AR268" i="2"/>
  <c r="AQ268" i="2"/>
  <c r="AS268" i="2"/>
  <c r="BC268" i="2" l="1"/>
  <c r="AY268" i="2" s="1"/>
  <c r="BB268" i="2"/>
  <c r="AW268" i="2" s="1"/>
  <c r="AX268" i="2"/>
  <c r="BD268" i="2"/>
  <c r="AZ268" i="2" s="1"/>
  <c r="AV268" i="2" l="1"/>
  <c r="AT268" i="2" s="1"/>
  <c r="BA268" i="2"/>
  <c r="AU268" i="2" s="1"/>
  <c r="AQ269" i="2" l="1"/>
  <c r="AS269" i="2"/>
  <c r="AP269" i="2"/>
  <c r="AR269" i="2"/>
  <c r="BB269" i="2" l="1"/>
  <c r="AW269" i="2" s="1"/>
  <c r="AU269" i="2" s="1"/>
  <c r="AQ270" i="2" s="1"/>
  <c r="BC269" i="2"/>
  <c r="AY269" i="2" s="1"/>
  <c r="BD269" i="2"/>
  <c r="BA269" i="2" s="1"/>
  <c r="AZ269" i="2"/>
  <c r="AV269" i="2" l="1"/>
  <c r="AT269" i="2" s="1"/>
  <c r="AX269" i="2"/>
  <c r="AS270" i="2"/>
  <c r="AR270" i="2" l="1"/>
  <c r="AP270" i="2"/>
  <c r="BD270" i="2" l="1"/>
  <c r="BA270" i="2" s="1"/>
  <c r="BB270" i="2"/>
  <c r="AW270" i="2" s="1"/>
  <c r="BC270" i="2"/>
  <c r="AY270" i="2" s="1"/>
  <c r="AZ270" i="2"/>
  <c r="AV270" i="2"/>
  <c r="AX270" i="2" l="1"/>
  <c r="AT270" i="2" s="1"/>
  <c r="AU270" i="2"/>
  <c r="AR271" i="2" l="1"/>
  <c r="AP271" i="2"/>
  <c r="AQ271" i="2"/>
  <c r="AS271" i="2"/>
  <c r="BD271" i="2" l="1"/>
  <c r="BA271" i="2" s="1"/>
  <c r="AU271" i="2" s="1"/>
  <c r="BB271" i="2"/>
  <c r="AW271" i="2" s="1"/>
  <c r="BC271" i="2"/>
  <c r="AY271" i="2" s="1"/>
  <c r="AV271" i="2"/>
  <c r="AZ271" i="2"/>
  <c r="AS272" i="2" l="1"/>
  <c r="AQ272" i="2"/>
  <c r="AX271" i="2"/>
  <c r="AT271" i="2" s="1"/>
  <c r="AR272" i="2" l="1"/>
  <c r="AP272" i="2"/>
  <c r="BD272" i="2" l="1"/>
  <c r="BA272" i="2" s="1"/>
  <c r="BB272" i="2"/>
  <c r="AW272" i="2" s="1"/>
  <c r="AU272" i="2" s="1"/>
  <c r="BC272" i="2"/>
  <c r="AY272" i="2" s="1"/>
  <c r="AZ272" i="2"/>
  <c r="AQ273" i="2" l="1"/>
  <c r="AS273" i="2"/>
  <c r="AX272" i="2"/>
  <c r="AV272" i="2"/>
  <c r="AT272" i="2" l="1"/>
  <c r="AP273" i="2" l="1"/>
  <c r="AR273" i="2"/>
  <c r="BB273" i="2" l="1"/>
  <c r="AW273" i="2" s="1"/>
  <c r="BD273" i="2"/>
  <c r="BC273" i="2"/>
  <c r="AX273" i="2" l="1"/>
  <c r="AY273" i="2"/>
  <c r="AZ273" i="2"/>
  <c r="BA273" i="2"/>
  <c r="AV273" i="2"/>
  <c r="AU273" i="2" l="1"/>
  <c r="AT273" i="2"/>
  <c r="AR274" i="2" l="1"/>
  <c r="AP274" i="2"/>
  <c r="AQ274" i="2"/>
  <c r="AS274" i="2"/>
  <c r="BB274" i="2" l="1"/>
  <c r="AW274" i="2" s="1"/>
  <c r="BD274" i="2"/>
  <c r="AZ274" i="2" s="1"/>
  <c r="BC274" i="2"/>
  <c r="AX274" i="2" s="1"/>
  <c r="AV274" i="2"/>
  <c r="BA274" i="2"/>
  <c r="AT274" i="2" l="1"/>
  <c r="AY274" i="2"/>
  <c r="AU274" i="2" s="1"/>
  <c r="AS275" i="2" l="1"/>
  <c r="AQ275" i="2"/>
  <c r="AP275" i="2"/>
  <c r="AR275" i="2"/>
  <c r="BD275" i="2" l="1"/>
  <c r="AZ275" i="2" s="1"/>
  <c r="BC275" i="2"/>
  <c r="AY275" i="2" s="1"/>
  <c r="BB275" i="2"/>
  <c r="AV275" i="2" s="1"/>
  <c r="BA275" i="2" l="1"/>
  <c r="AW275" i="2"/>
  <c r="AU275" i="2" s="1"/>
  <c r="AX275" i="2"/>
  <c r="AT275" i="2" s="1"/>
  <c r="AS276" i="2" l="1"/>
  <c r="AQ276" i="2"/>
  <c r="AR276" i="2"/>
  <c r="AP276" i="2"/>
  <c r="BC276" i="2" l="1"/>
  <c r="AY276" i="2" s="1"/>
  <c r="BD276" i="2"/>
  <c r="BA276" i="2" s="1"/>
  <c r="BB276" i="2"/>
  <c r="AW276" i="2" s="1"/>
  <c r="AZ276" i="2"/>
  <c r="AX276" i="2" l="1"/>
  <c r="AU276" i="2"/>
  <c r="AV276" i="2"/>
  <c r="AT276" i="2" s="1"/>
  <c r="AR277" i="2" l="1"/>
  <c r="AP277" i="2"/>
  <c r="AS277" i="2"/>
  <c r="AQ277" i="2"/>
  <c r="BB277" i="2" l="1"/>
  <c r="AV277" i="2" s="1"/>
  <c r="BD277" i="2"/>
  <c r="AZ277" i="2" s="1"/>
  <c r="BC277" i="2"/>
  <c r="AY277" i="2" s="1"/>
  <c r="AX277" i="2" l="1"/>
  <c r="AT277" i="2" s="1"/>
  <c r="BA277" i="2"/>
  <c r="AW277" i="2"/>
  <c r="AU277" i="2" l="1"/>
  <c r="AR278" i="2"/>
  <c r="AP278" i="2"/>
  <c r="AS278" i="2" l="1"/>
  <c r="AQ278" i="2"/>
  <c r="BD278" i="2" l="1"/>
  <c r="AZ278" i="2" s="1"/>
  <c r="BC278" i="2"/>
  <c r="AX278" i="2" s="1"/>
  <c r="BB278" i="2"/>
  <c r="AW278" i="2" l="1"/>
  <c r="AV278" i="2"/>
  <c r="AT278" i="2" s="1"/>
  <c r="BA278" i="2"/>
  <c r="AU278" i="2" s="1"/>
  <c r="AY278" i="2"/>
  <c r="AS279" i="2" l="1"/>
  <c r="AQ279" i="2"/>
  <c r="AR279" i="2"/>
  <c r="AP279" i="2"/>
  <c r="BD279" i="2" l="1"/>
  <c r="AZ279" i="2" s="1"/>
  <c r="BC279" i="2"/>
  <c r="AY279" i="2" s="1"/>
  <c r="BB279" i="2"/>
  <c r="AW279" i="2" s="1"/>
  <c r="BA279" i="2"/>
  <c r="AU279" i="2" l="1"/>
  <c r="AX279" i="2"/>
  <c r="AV279" i="2"/>
  <c r="AT279" i="2" s="1"/>
  <c r="AP280" i="2" l="1"/>
  <c r="AR280" i="2"/>
  <c r="AQ280" i="2"/>
  <c r="AS280" i="2"/>
  <c r="AY280" i="2" l="1"/>
  <c r="BB280" i="2"/>
  <c r="AV280" i="2" s="1"/>
  <c r="AT280" i="2" s="1"/>
  <c r="AP281" i="2" s="1"/>
  <c r="BD280" i="2"/>
  <c r="AZ280" i="2" s="1"/>
  <c r="BC280" i="2"/>
  <c r="AX280" i="2" s="1"/>
  <c r="AW280" i="2" l="1"/>
  <c r="AR281" i="2"/>
  <c r="BA280" i="2"/>
  <c r="AU280" i="2" l="1"/>
  <c r="AS281" i="2" l="1"/>
  <c r="AQ281" i="2"/>
  <c r="AY281" i="2" l="1"/>
  <c r="BC281" i="2"/>
  <c r="AX281" i="2" s="1"/>
  <c r="BB281" i="2"/>
  <c r="AV281" i="2" s="1"/>
  <c r="BD281" i="2"/>
  <c r="AZ281" i="2" s="1"/>
  <c r="AT281" i="2" l="1"/>
  <c r="BA281" i="2"/>
  <c r="AW281" i="2"/>
  <c r="AU281" i="2" s="1"/>
  <c r="AQ282" i="2" l="1"/>
  <c r="AS282" i="2"/>
  <c r="AR282" i="2"/>
  <c r="AP282" i="2"/>
  <c r="BD282" i="2" l="1"/>
  <c r="AZ282" i="2" s="1"/>
  <c r="BB282" i="2"/>
  <c r="AW282" i="2" s="1"/>
  <c r="BC282" i="2"/>
  <c r="AY282" i="2" s="1"/>
  <c r="AV282" i="2"/>
  <c r="BA282" i="2"/>
  <c r="AU282" i="2" s="1"/>
  <c r="AQ283" i="2" s="1"/>
  <c r="AS283" i="2" l="1"/>
  <c r="AX282" i="2"/>
  <c r="AT282" i="2" s="1"/>
  <c r="AP283" i="2" l="1"/>
  <c r="AR283" i="2"/>
  <c r="BD283" i="2" l="1"/>
  <c r="BA283" i="2" s="1"/>
  <c r="BC283" i="2"/>
  <c r="BB283" i="2"/>
  <c r="AW283" i="2" s="1"/>
  <c r="AX283" i="2" l="1"/>
  <c r="AY283" i="2"/>
  <c r="AU283" i="2" s="1"/>
  <c r="AV283" i="2"/>
  <c r="AT283" i="2" s="1"/>
  <c r="AZ283" i="2"/>
  <c r="AR284" i="2" l="1"/>
  <c r="AP284" i="2"/>
  <c r="AQ284" i="2"/>
  <c r="AS284" i="2"/>
  <c r="BD284" i="2" l="1"/>
  <c r="BA284" i="2" s="1"/>
  <c r="BC284" i="2"/>
  <c r="AY284" i="2" s="1"/>
  <c r="BB284" i="2"/>
  <c r="AW284" i="2" s="1"/>
  <c r="AV284" i="2"/>
  <c r="AZ284" i="2"/>
  <c r="AX284" i="2" l="1"/>
  <c r="AT284" i="2" s="1"/>
  <c r="AU284" i="2"/>
  <c r="AR285" i="2" l="1"/>
  <c r="AP285" i="2"/>
  <c r="AS285" i="2"/>
  <c r="AQ285" i="2"/>
  <c r="BD285" i="2" l="1"/>
  <c r="BA285" i="2" s="1"/>
  <c r="BC285" i="2"/>
  <c r="AY285" i="2" s="1"/>
  <c r="BB285" i="2"/>
  <c r="AW285" i="2" s="1"/>
  <c r="AU285" i="2" l="1"/>
  <c r="AX285" i="2"/>
  <c r="AV285" i="2"/>
  <c r="AT285" i="2" s="1"/>
  <c r="AZ285" i="2"/>
  <c r="AR286" i="2" l="1"/>
  <c r="AP286" i="2"/>
  <c r="AQ286" i="2"/>
  <c r="AS286" i="2"/>
  <c r="BD286" i="2" l="1"/>
  <c r="BA286" i="2" s="1"/>
  <c r="BB286" i="2"/>
  <c r="AW286" i="2" s="1"/>
  <c r="AU286" i="2" s="1"/>
  <c r="AS287" i="2" s="1"/>
  <c r="BC286" i="2"/>
  <c r="AY286" i="2" s="1"/>
  <c r="AX286" i="2"/>
  <c r="AZ286" i="2"/>
  <c r="AQ287" i="2" l="1"/>
  <c r="AV286" i="2"/>
  <c r="AT286" i="2" s="1"/>
  <c r="AR287" i="2" l="1"/>
  <c r="AP287" i="2"/>
  <c r="BD287" i="2" l="1"/>
  <c r="BA287" i="2" s="1"/>
  <c r="BC287" i="2"/>
  <c r="AY287" i="2" s="1"/>
  <c r="BB287" i="2"/>
  <c r="AW287" i="2" s="1"/>
  <c r="AU287" i="2" s="1"/>
  <c r="AZ287" i="2"/>
  <c r="AX287" i="2" l="1"/>
  <c r="AV287" i="2"/>
  <c r="AT287" i="2" s="1"/>
  <c r="AS288" i="2"/>
  <c r="AQ288" i="2"/>
  <c r="AP288" i="2" l="1"/>
  <c r="AR288" i="2"/>
  <c r="BB288" i="2" l="1"/>
  <c r="AW288" i="2" s="1"/>
  <c r="BD288" i="2"/>
  <c r="BA288" i="2" s="1"/>
  <c r="BC288" i="2"/>
  <c r="AY288" i="2" s="1"/>
  <c r="AX288" i="2"/>
  <c r="AV288" i="2"/>
  <c r="AZ288" i="2" l="1"/>
  <c r="AU288" i="2"/>
  <c r="AT288" i="2"/>
  <c r="AR289" i="2" l="1"/>
  <c r="AP289" i="2"/>
  <c r="AS289" i="2"/>
  <c r="AQ289" i="2"/>
  <c r="BC289" i="2" l="1"/>
  <c r="AY289" i="2" s="1"/>
  <c r="BD289" i="2"/>
  <c r="AZ289" i="2" s="1"/>
  <c r="BB289" i="2"/>
  <c r="AW289" i="2" s="1"/>
  <c r="AX289" i="2" l="1"/>
  <c r="AV289" i="2"/>
  <c r="BA289" i="2"/>
  <c r="AU289" i="2" s="1"/>
  <c r="AS290" i="2" l="1"/>
  <c r="AQ290" i="2"/>
  <c r="AT289" i="2"/>
  <c r="AR290" i="2" l="1"/>
  <c r="AP290" i="2"/>
  <c r="BC290" i="2" l="1"/>
  <c r="AY290" i="2" s="1"/>
  <c r="BD290" i="2"/>
  <c r="AX290" i="2"/>
  <c r="BB290" i="2"/>
  <c r="AW290" i="2" s="1"/>
  <c r="AV290" i="2" l="1"/>
  <c r="AZ290" i="2"/>
  <c r="BA290" i="2"/>
  <c r="AU290" i="2" s="1"/>
  <c r="AS291" i="2" l="1"/>
  <c r="AQ291" i="2"/>
  <c r="AT290" i="2"/>
  <c r="AP291" i="2" l="1"/>
  <c r="AR291" i="2"/>
  <c r="BC291" i="2" l="1"/>
  <c r="BB291" i="2"/>
  <c r="BD291" i="2"/>
  <c r="AZ291" i="2" l="1"/>
  <c r="BA291" i="2"/>
  <c r="AV291" i="2"/>
  <c r="AW291" i="2"/>
  <c r="AX291" i="2"/>
  <c r="AY291" i="2"/>
  <c r="AU291" i="2" s="1"/>
  <c r="AS292" i="2" l="1"/>
  <c r="AQ292" i="2"/>
  <c r="AT291" i="2"/>
  <c r="AR292" i="2" l="1"/>
  <c r="AP292" i="2"/>
  <c r="BC292" i="2" l="1"/>
  <c r="BD292" i="2"/>
  <c r="BB292" i="2"/>
  <c r="AV292" i="2" l="1"/>
  <c r="AW292" i="2"/>
  <c r="AZ292" i="2"/>
  <c r="BA292" i="2"/>
  <c r="AX292" i="2"/>
  <c r="AY292" i="2"/>
  <c r="AU292" i="2" l="1"/>
  <c r="AT292" i="2"/>
  <c r="AR293" i="2" l="1"/>
  <c r="AP293" i="2"/>
  <c r="AS293" i="2"/>
  <c r="AQ293" i="2"/>
  <c r="BC293" i="2" l="1"/>
  <c r="AX293" i="2" s="1"/>
  <c r="BB293" i="2"/>
  <c r="AV293" i="2" s="1"/>
  <c r="BD293" i="2"/>
  <c r="AZ293" i="2" s="1"/>
  <c r="AW293" i="2" l="1"/>
  <c r="AY293" i="2"/>
  <c r="AT293" i="2"/>
  <c r="BA293" i="2"/>
  <c r="AP294" i="2" l="1"/>
  <c r="AR294" i="2"/>
  <c r="AU293" i="2"/>
  <c r="AS294" i="2" l="1"/>
  <c r="AQ294" i="2"/>
  <c r="BC294" i="2" s="1"/>
  <c r="AX294" i="2" s="1"/>
  <c r="AY294" i="2" l="1"/>
  <c r="BB294" i="2"/>
  <c r="AV294" i="2" s="1"/>
  <c r="BD294" i="2"/>
  <c r="AZ294" i="2" s="1"/>
  <c r="BA294" i="2" l="1"/>
  <c r="AT294" i="2"/>
  <c r="AW294" i="2"/>
  <c r="AU294" i="2" s="1"/>
  <c r="AS295" i="2" l="1"/>
  <c r="AQ295" i="2"/>
  <c r="AR295" i="2"/>
  <c r="AP295" i="2"/>
  <c r="BD295" i="2" l="1"/>
  <c r="AZ295" i="2" s="1"/>
  <c r="BB295" i="2"/>
  <c r="AV295" i="2" s="1"/>
  <c r="BC295" i="2"/>
  <c r="AX295" i="2" s="1"/>
  <c r="AT295" i="2" s="1"/>
  <c r="AP296" i="2" s="1"/>
  <c r="BA295" i="2"/>
  <c r="AW295" i="2"/>
  <c r="AY295" i="2"/>
  <c r="AU295" i="2" s="1"/>
  <c r="AS296" i="2" s="1"/>
  <c r="AR296" i="2" l="1"/>
  <c r="AQ296" i="2"/>
  <c r="BB296" i="2" l="1"/>
  <c r="AV296" i="2" s="1"/>
  <c r="BC296" i="2"/>
  <c r="AX296" i="2" s="1"/>
  <c r="BD296" i="2"/>
  <c r="BA296" i="2" l="1"/>
  <c r="AZ296" i="2"/>
  <c r="AT296" i="2" s="1"/>
  <c r="AY296" i="2"/>
  <c r="AW296" i="2"/>
  <c r="AU296" i="2" l="1"/>
  <c r="AR297" i="2"/>
  <c r="AP297" i="2"/>
  <c r="AS297" i="2" l="1"/>
  <c r="AQ297" i="2"/>
  <c r="BD297" i="2" s="1"/>
  <c r="AZ297" i="2" s="1"/>
  <c r="BB297" i="2" l="1"/>
  <c r="AV297" i="2" s="1"/>
  <c r="BC297" i="2"/>
  <c r="AX297" i="2" s="1"/>
  <c r="AT297" i="2" s="1"/>
  <c r="BA297" i="2"/>
  <c r="AY297" i="2" l="1"/>
  <c r="AW297" i="2"/>
  <c r="AR298" i="2"/>
  <c r="AP298" i="2"/>
  <c r="AU297" i="2" l="1"/>
  <c r="AQ298" i="2" l="1"/>
  <c r="AS298" i="2"/>
  <c r="BC298" i="2" l="1"/>
  <c r="AX298" i="2" s="1"/>
  <c r="BB298" i="2"/>
  <c r="AV298" i="2" s="1"/>
  <c r="BD298" i="2"/>
  <c r="AZ298" i="2" s="1"/>
  <c r="AT298" i="2" s="1"/>
  <c r="AP299" i="2" l="1"/>
  <c r="AR299" i="2"/>
  <c r="AW298" i="2"/>
  <c r="AY298" i="2"/>
  <c r="BA298" i="2"/>
  <c r="AU298" i="2" l="1"/>
  <c r="AS299" i="2" l="1"/>
  <c r="AQ299" i="2"/>
  <c r="BD299" i="2" l="1"/>
  <c r="AZ299" i="2" s="1"/>
  <c r="BC299" i="2"/>
  <c r="AX299" i="2" s="1"/>
  <c r="BB299" i="2"/>
  <c r="AV299" i="2" s="1"/>
  <c r="AY299" i="2" l="1"/>
  <c r="AW299" i="2"/>
  <c r="AT299" i="2"/>
  <c r="BA299" i="2"/>
  <c r="AR300" i="2" l="1"/>
  <c r="AP300" i="2"/>
  <c r="AU299" i="2"/>
  <c r="AQ300" i="2" l="1"/>
  <c r="AS300" i="2"/>
  <c r="BB300" i="2"/>
  <c r="AV300" i="2" s="1"/>
  <c r="BD300" i="2"/>
  <c r="AZ300" i="2" s="1"/>
  <c r="BC300" i="2"/>
  <c r="AX300" i="2" s="1"/>
  <c r="AT300" i="2" l="1"/>
  <c r="AW300" i="2"/>
  <c r="BA300" i="2"/>
  <c r="AY300" i="2"/>
  <c r="AP301" i="2" l="1"/>
  <c r="AR301" i="2"/>
  <c r="AU300" i="2"/>
  <c r="AS301" i="2" l="1"/>
  <c r="AQ301" i="2"/>
  <c r="BB301" i="2" s="1"/>
  <c r="AV301" i="2" s="1"/>
  <c r="BC301" i="2"/>
  <c r="AX301" i="2" s="1"/>
  <c r="AW301" i="2" l="1"/>
  <c r="AY301" i="2"/>
  <c r="BD301" i="2"/>
  <c r="AZ301" i="2" s="1"/>
  <c r="AT301" i="2" s="1"/>
  <c r="AR302" i="2" l="1"/>
  <c r="AP302" i="2"/>
  <c r="BA301" i="2"/>
  <c r="AU301" i="2" s="1"/>
  <c r="AS302" i="2" l="1"/>
  <c r="AQ302" i="2"/>
  <c r="BC302" i="2"/>
  <c r="AX302" i="2" s="1"/>
  <c r="BB302" i="2"/>
  <c r="AV302" i="2" s="1"/>
  <c r="BD302" i="2"/>
  <c r="AZ302" i="2" s="1"/>
  <c r="AT302" i="2" l="1"/>
  <c r="AW302" i="2"/>
  <c r="AY302" i="2"/>
  <c r="BA302" i="2"/>
  <c r="AU302" i="2" l="1"/>
  <c r="AP303" i="2"/>
  <c r="AR303" i="2"/>
  <c r="BC303" i="2" l="1"/>
  <c r="AX303" i="2" s="1"/>
  <c r="AQ303" i="2"/>
  <c r="BB303" i="2" s="1"/>
  <c r="AV303" i="2" s="1"/>
  <c r="AS303" i="2"/>
  <c r="AY303" i="2" l="1"/>
  <c r="AW303" i="2"/>
  <c r="BD303" i="2"/>
  <c r="AZ303" i="2" s="1"/>
  <c r="AT303" i="2" s="1"/>
  <c r="BA303" i="2" l="1"/>
  <c r="AU303" i="2" s="1"/>
  <c r="AR304" i="2"/>
  <c r="AP304" i="2"/>
  <c r="AS304" i="2" l="1"/>
  <c r="AQ304" i="2"/>
  <c r="BB304" i="2"/>
  <c r="AV304" i="2" s="1"/>
  <c r="BC304" i="2"/>
  <c r="AX304" i="2" s="1"/>
  <c r="BD304" i="2"/>
  <c r="AZ304" i="2" s="1"/>
  <c r="AT304" i="2" s="1"/>
  <c r="AP305" i="2" l="1"/>
  <c r="AR305" i="2"/>
  <c r="AY304" i="2"/>
  <c r="AW304" i="2"/>
  <c r="AU304" i="2" s="1"/>
  <c r="AQ305" i="2" s="1"/>
  <c r="BA304" i="2"/>
  <c r="AS305" i="2" l="1"/>
  <c r="BC305" i="2"/>
  <c r="AX305" i="2" s="1"/>
  <c r="BD305" i="2"/>
  <c r="AZ305" i="2" s="1"/>
  <c r="BB305" i="2"/>
  <c r="AV305" i="2" s="1"/>
  <c r="AY305" i="2" l="1"/>
  <c r="BA305" i="2"/>
  <c r="AT305" i="2"/>
  <c r="AW305" i="2"/>
  <c r="AU305" i="2" s="1"/>
  <c r="AS306" i="2" l="1"/>
  <c r="AQ306" i="2"/>
  <c r="AR306" i="2"/>
  <c r="AP306" i="2"/>
  <c r="BC306" i="2" l="1"/>
  <c r="AX306" i="2" s="1"/>
  <c r="BD306" i="2"/>
  <c r="AZ306" i="2" s="1"/>
  <c r="BB306" i="2"/>
  <c r="AV306" i="2" s="1"/>
  <c r="AT306" i="2" s="1"/>
  <c r="AR307" i="2" s="1"/>
  <c r="AY306" i="2" l="1"/>
  <c r="BA306" i="2"/>
  <c r="AW306" i="2"/>
  <c r="AP307" i="2"/>
  <c r="AU306" i="2" l="1"/>
  <c r="AQ307" i="2" l="1"/>
  <c r="AS307" i="2"/>
  <c r="BB307" i="2" l="1"/>
  <c r="BC307" i="2"/>
  <c r="BD307" i="2"/>
  <c r="AZ307" i="2" s="1"/>
  <c r="AY307" i="2" l="1"/>
  <c r="AX307" i="2"/>
  <c r="AW307" i="2"/>
  <c r="AV307" i="2"/>
  <c r="AT307" i="2" s="1"/>
  <c r="BA307" i="2"/>
  <c r="AU307" i="2" s="1"/>
  <c r="AR308" i="2" l="1"/>
  <c r="AP308" i="2"/>
  <c r="AQ308" i="2"/>
  <c r="AS308" i="2"/>
  <c r="BB308" i="2" l="1"/>
  <c r="AW308" i="2" s="1"/>
  <c r="AU308" i="2" s="1"/>
  <c r="AS309" i="2" s="1"/>
  <c r="BC308" i="2"/>
  <c r="AY308" i="2" s="1"/>
  <c r="BD308" i="2"/>
  <c r="BA308" i="2" s="1"/>
  <c r="AX308" i="2" l="1"/>
  <c r="AV308" i="2"/>
  <c r="AT308" i="2" s="1"/>
  <c r="AQ309" i="2"/>
  <c r="AZ308" i="2"/>
  <c r="AP309" i="2" l="1"/>
  <c r="AR309" i="2"/>
  <c r="BC309" i="2" l="1"/>
  <c r="AY309" i="2" s="1"/>
  <c r="BD309" i="2"/>
  <c r="BA309" i="2" s="1"/>
  <c r="AX309" i="2"/>
  <c r="BB309" i="2"/>
  <c r="AW309" i="2" s="1"/>
  <c r="AU309" i="2" s="1"/>
  <c r="AV309" i="2"/>
  <c r="AZ309" i="2"/>
  <c r="AS310" i="2" l="1"/>
  <c r="AQ310" i="2"/>
  <c r="AT309" i="2"/>
  <c r="AP310" i="2" l="1"/>
  <c r="AR310" i="2"/>
  <c r="BD310" i="2"/>
  <c r="AZ310" i="2" s="1"/>
  <c r="BA310" i="2" l="1"/>
  <c r="BB310" i="2"/>
  <c r="BC310" i="2"/>
  <c r="AX310" i="2" l="1"/>
  <c r="AY310" i="2"/>
  <c r="AU310" i="2" s="1"/>
  <c r="AV310" i="2"/>
  <c r="AW310" i="2"/>
  <c r="AS311" i="2" l="1"/>
  <c r="AQ311" i="2"/>
  <c r="AT310" i="2"/>
  <c r="AR311" i="2" l="1"/>
  <c r="AP311" i="2"/>
  <c r="BB311" i="2" l="1"/>
  <c r="BD311" i="2"/>
  <c r="BC311" i="2"/>
  <c r="AX311" i="2" l="1"/>
  <c r="AY311" i="2"/>
  <c r="AZ311" i="2"/>
  <c r="BA311" i="2"/>
  <c r="AV311" i="2"/>
  <c r="AW311" i="2"/>
  <c r="AU311" i="2" l="1"/>
  <c r="AT311" i="2"/>
  <c r="AR312" i="2" l="1"/>
  <c r="AP312" i="2"/>
  <c r="AS312" i="2"/>
  <c r="AQ312" i="2"/>
  <c r="BD312" i="2" l="1"/>
  <c r="AZ312" i="2" s="1"/>
  <c r="AV312" i="2"/>
  <c r="BC312" i="2"/>
  <c r="AY312" i="2" s="1"/>
  <c r="BB312" i="2"/>
  <c r="AW312" i="2" s="1"/>
  <c r="BA312" i="2" l="1"/>
  <c r="AU312" i="2" s="1"/>
  <c r="AX312" i="2"/>
  <c r="AT312" i="2" s="1"/>
  <c r="AP313" i="2" l="1"/>
  <c r="AR313" i="2"/>
  <c r="AS313" i="2"/>
  <c r="AQ313" i="2"/>
  <c r="BD313" i="2" l="1"/>
  <c r="AZ313" i="2" s="1"/>
  <c r="BC313" i="2"/>
  <c r="AX313" i="2" s="1"/>
  <c r="BB313" i="2"/>
  <c r="AW313" i="2" s="1"/>
  <c r="AV313" i="2"/>
  <c r="AY313" i="2" l="1"/>
  <c r="AU313" i="2" s="1"/>
  <c r="BA313" i="2"/>
  <c r="AT313" i="2"/>
  <c r="AS314" i="2" l="1"/>
  <c r="AQ314" i="2"/>
  <c r="AR314" i="2"/>
  <c r="AP314" i="2"/>
  <c r="BD314" i="2" l="1"/>
  <c r="AZ314" i="2" s="1"/>
  <c r="BB314" i="2"/>
  <c r="AV314" i="2" s="1"/>
  <c r="BC314" i="2"/>
  <c r="AX314" i="2" s="1"/>
  <c r="BA314" i="2"/>
  <c r="AW314" i="2"/>
  <c r="AT314" i="2" l="1"/>
  <c r="AY314" i="2"/>
  <c r="AU314" i="2" s="1"/>
  <c r="AS315" i="2" l="1"/>
  <c r="AQ315" i="2"/>
  <c r="AR315" i="2"/>
  <c r="AP315" i="2"/>
  <c r="BC315" i="2" l="1"/>
  <c r="AY315" i="2" s="1"/>
  <c r="BB315" i="2"/>
  <c r="AW315" i="2" s="1"/>
  <c r="AU315" i="2" s="1"/>
  <c r="AS316" i="2" s="1"/>
  <c r="BD315" i="2"/>
  <c r="BA315" i="2" s="1"/>
  <c r="AZ315" i="2" l="1"/>
  <c r="AQ316" i="2"/>
  <c r="AV315" i="2"/>
  <c r="AT315" i="2" s="1"/>
  <c r="AX315" i="2"/>
  <c r="AR316" i="2" l="1"/>
  <c r="AP316" i="2"/>
  <c r="BC316" i="2" l="1"/>
  <c r="AY316" i="2" s="1"/>
  <c r="BD316" i="2"/>
  <c r="BA316" i="2" s="1"/>
  <c r="BB316" i="2"/>
  <c r="AW316" i="2" s="1"/>
  <c r="AU316" i="2" s="1"/>
  <c r="AX316" i="2"/>
  <c r="AV316" i="2"/>
  <c r="AS317" i="2" l="1"/>
  <c r="AQ317" i="2"/>
  <c r="AZ316" i="2"/>
  <c r="AT316" i="2" s="1"/>
  <c r="AP317" i="2" l="1"/>
  <c r="AR317" i="2"/>
  <c r="BC317" i="2" l="1"/>
  <c r="AY317" i="2" s="1"/>
  <c r="BD317" i="2"/>
  <c r="BA317" i="2" s="1"/>
  <c r="BB317" i="2"/>
  <c r="AW317" i="2" s="1"/>
  <c r="AU317" i="2" l="1"/>
  <c r="AV317" i="2"/>
  <c r="AX317" i="2"/>
  <c r="AZ317" i="2"/>
  <c r="AT317" i="2" l="1"/>
  <c r="AQ318" i="2"/>
  <c r="AS318" i="2"/>
  <c r="AR318" i="2" l="1"/>
  <c r="AP318" i="2"/>
  <c r="BD318" i="2" l="1"/>
  <c r="BB318" i="2"/>
  <c r="BC318" i="2"/>
  <c r="AX318" i="2" l="1"/>
  <c r="AY318" i="2"/>
  <c r="AV318" i="2"/>
  <c r="AT318" i="2" s="1"/>
  <c r="AW318" i="2"/>
  <c r="AZ318" i="2"/>
  <c r="BA318" i="2"/>
  <c r="AU318" i="2" l="1"/>
  <c r="AR319" i="2"/>
  <c r="AP319" i="2"/>
  <c r="BB319" i="2" l="1"/>
  <c r="AV319" i="2" s="1"/>
  <c r="AS319" i="2"/>
  <c r="AQ319" i="2"/>
  <c r="BD319" i="2" l="1"/>
  <c r="AZ319" i="2" s="1"/>
  <c r="BA319" i="2"/>
  <c r="AY319" i="2"/>
  <c r="AW319" i="2"/>
  <c r="BC319" i="2"/>
  <c r="AX319" i="2" s="1"/>
  <c r="AT319" i="2" s="1"/>
  <c r="AR320" i="2" l="1"/>
  <c r="AP320" i="2"/>
  <c r="AU319" i="2"/>
  <c r="AQ320" i="2" l="1"/>
  <c r="AS320" i="2"/>
  <c r="BD320" i="2"/>
  <c r="AZ320" i="2" s="1"/>
  <c r="BB320" i="2"/>
  <c r="AV320" i="2" s="1"/>
  <c r="AT320" i="2" s="1"/>
  <c r="AP321" i="2" s="1"/>
  <c r="BC320" i="2"/>
  <c r="AX320" i="2" s="1"/>
  <c r="AR321" i="2" l="1"/>
  <c r="BA320" i="2"/>
  <c r="AY320" i="2"/>
  <c r="AW320" i="2"/>
  <c r="AU320" i="2" s="1"/>
  <c r="AS321" i="2" s="1"/>
  <c r="AQ321" i="2" l="1"/>
  <c r="BD321" i="2" l="1"/>
  <c r="AZ321" i="2" s="1"/>
  <c r="BA321" i="2"/>
  <c r="BC321" i="2"/>
  <c r="AX321" i="2" s="1"/>
  <c r="BB321" i="2"/>
  <c r="AV321" i="2" s="1"/>
  <c r="AT321" i="2" s="1"/>
  <c r="AR322" i="2" l="1"/>
  <c r="AP322" i="2"/>
  <c r="AW321" i="2"/>
  <c r="AU321" i="2" s="1"/>
  <c r="AY321" i="2"/>
  <c r="AS322" i="2" l="1"/>
  <c r="AQ322" i="2"/>
  <c r="BC322" i="2" s="1"/>
  <c r="AX322" i="2" s="1"/>
  <c r="BB322" i="2"/>
  <c r="AV322" i="2" s="1"/>
  <c r="BD322" i="2" l="1"/>
  <c r="AZ322" i="2" s="1"/>
  <c r="AT322" i="2" s="1"/>
  <c r="AY322" i="2"/>
  <c r="AW322" i="2"/>
  <c r="AP323" i="2" l="1"/>
  <c r="AR323" i="2"/>
  <c r="BA322" i="2"/>
  <c r="AU322" i="2"/>
  <c r="AQ323" i="2" l="1"/>
  <c r="AS323" i="2"/>
  <c r="BB323" i="2"/>
  <c r="AV323" i="2" s="1"/>
  <c r="BC323" i="2"/>
  <c r="AX323" i="2" s="1"/>
  <c r="AY323" i="2" l="1"/>
  <c r="AW323" i="2"/>
  <c r="BD323" i="2"/>
  <c r="AZ323" i="2" s="1"/>
  <c r="AT323" i="2" s="1"/>
  <c r="AR324" i="2" l="1"/>
  <c r="AP324" i="2"/>
  <c r="BA323" i="2"/>
  <c r="AU323" i="2" s="1"/>
  <c r="AS324" i="2" l="1"/>
  <c r="AQ324" i="2"/>
  <c r="BD324" i="2" s="1"/>
  <c r="AZ324" i="2" s="1"/>
  <c r="BC324" i="2"/>
  <c r="AX324" i="2" s="1"/>
  <c r="BB324" i="2"/>
  <c r="AV324" i="2" s="1"/>
  <c r="BA324" i="2" l="1"/>
  <c r="AY324" i="2"/>
  <c r="AW324" i="2"/>
  <c r="AU324" i="2" s="1"/>
  <c r="AS325" i="2" s="1"/>
  <c r="AQ325" i="2"/>
  <c r="AT324" i="2"/>
  <c r="AP325" i="2" l="1"/>
  <c r="AR325" i="2"/>
  <c r="BC325" i="2" l="1"/>
  <c r="BB325" i="2"/>
  <c r="BD325" i="2"/>
  <c r="AV325" i="2" l="1"/>
  <c r="AW325" i="2"/>
  <c r="AX325" i="2"/>
  <c r="AY325" i="2"/>
  <c r="AZ325" i="2"/>
  <c r="AT325" i="2" s="1"/>
  <c r="BA325" i="2"/>
  <c r="AU325" i="2" l="1"/>
  <c r="AR326" i="2"/>
  <c r="AP326" i="2"/>
  <c r="AS326" i="2" l="1"/>
  <c r="AQ326" i="2"/>
  <c r="BC326" i="2" s="1"/>
  <c r="AY326" i="2" l="1"/>
  <c r="AX326" i="2"/>
  <c r="BB326" i="2"/>
  <c r="AV326" i="2" s="1"/>
  <c r="BD326" i="2"/>
  <c r="AZ326" i="2" s="1"/>
  <c r="AT326" i="2" l="1"/>
  <c r="AW326" i="2"/>
  <c r="BA326" i="2"/>
  <c r="AU326" i="2" l="1"/>
  <c r="AP327" i="2"/>
  <c r="AR327" i="2"/>
  <c r="AS327" i="2" l="1"/>
  <c r="AQ327" i="2"/>
  <c r="BB327" i="2" s="1"/>
  <c r="AW327" i="2" l="1"/>
  <c r="AV327" i="2"/>
  <c r="BC327" i="2"/>
  <c r="BD327" i="2"/>
  <c r="AY327" i="2" l="1"/>
  <c r="AX327" i="2"/>
  <c r="BA327" i="2"/>
  <c r="AU327" i="2" s="1"/>
  <c r="AZ327" i="2"/>
  <c r="AS328" i="2" l="1"/>
  <c r="AQ328" i="2"/>
  <c r="AT327" i="2"/>
  <c r="AR328" i="2" l="1"/>
  <c r="AP328" i="2"/>
  <c r="BB328" i="2" l="1"/>
  <c r="AW328" i="2" s="1"/>
  <c r="BC328" i="2"/>
  <c r="AY328" i="2" s="1"/>
  <c r="BD328" i="2"/>
  <c r="AV328" i="2"/>
  <c r="AX328" i="2" l="1"/>
  <c r="AT328" i="2" s="1"/>
  <c r="AZ328" i="2"/>
  <c r="BA328" i="2"/>
  <c r="AU328" i="2" s="1"/>
  <c r="AP329" i="2" l="1"/>
  <c r="AR329" i="2"/>
  <c r="AS329" i="2"/>
  <c r="AQ329" i="2"/>
  <c r="BB329" i="2" l="1"/>
  <c r="AW329" i="2" s="1"/>
  <c r="BC329" i="2"/>
  <c r="AY329" i="2" s="1"/>
  <c r="BD329" i="2"/>
  <c r="BA329" i="2" s="1"/>
  <c r="AX329" i="2"/>
  <c r="AU329" i="2" l="1"/>
  <c r="AV329" i="2"/>
  <c r="AT329" i="2" s="1"/>
  <c r="AZ329" i="2"/>
  <c r="AP330" i="2" l="1"/>
  <c r="AR330" i="2"/>
  <c r="AQ330" i="2"/>
  <c r="AS330" i="2"/>
  <c r="BB330" i="2" l="1"/>
  <c r="AW330" i="2" s="1"/>
  <c r="BC330" i="2"/>
  <c r="AX330" i="2" s="1"/>
  <c r="BD330" i="2"/>
  <c r="BA330" i="2" s="1"/>
  <c r="AY330" i="2" l="1"/>
  <c r="AU330" i="2" s="1"/>
  <c r="AZ330" i="2"/>
  <c r="AV330" i="2"/>
  <c r="AT330" i="2" s="1"/>
  <c r="AR331" i="2" l="1"/>
  <c r="AP331" i="2"/>
  <c r="AS331" i="2"/>
  <c r="AQ331" i="2"/>
  <c r="BD331" i="2" l="1"/>
  <c r="AZ331" i="2" s="1"/>
  <c r="BB331" i="2"/>
  <c r="AW331" i="2" s="1"/>
  <c r="BC331" i="2"/>
  <c r="AY331" i="2" s="1"/>
  <c r="AV331" i="2" l="1"/>
  <c r="AX331" i="2"/>
  <c r="BA331" i="2"/>
  <c r="AU331" i="2" s="1"/>
  <c r="AS332" i="2" l="1"/>
  <c r="AQ332" i="2"/>
  <c r="AT331" i="2"/>
  <c r="AR332" i="2" l="1"/>
  <c r="AP332" i="2"/>
  <c r="BC332" i="2" l="1"/>
  <c r="BD332" i="2"/>
  <c r="BB332" i="2"/>
  <c r="AV332" i="2" l="1"/>
  <c r="AW332" i="2"/>
  <c r="AZ332" i="2"/>
  <c r="BA332" i="2"/>
  <c r="AX332" i="2"/>
  <c r="AY332" i="2"/>
  <c r="AU332" i="2" l="1"/>
  <c r="AT332" i="2"/>
  <c r="AR333" i="2" l="1"/>
  <c r="AP333" i="2"/>
  <c r="AQ333" i="2"/>
  <c r="AS333" i="2"/>
  <c r="BB333" i="2" l="1"/>
  <c r="AV333" i="2" s="1"/>
  <c r="BC333" i="2"/>
  <c r="AX333" i="2" s="1"/>
  <c r="AT333" i="2" s="1"/>
  <c r="AP334" i="2" s="1"/>
  <c r="BD333" i="2"/>
  <c r="AZ333" i="2" s="1"/>
  <c r="AY333" i="2" l="1"/>
  <c r="AU333" i="2" s="1"/>
  <c r="BA333" i="2"/>
  <c r="AR334" i="2"/>
  <c r="AW333" i="2"/>
  <c r="AS334" i="2" l="1"/>
  <c r="AQ334" i="2"/>
  <c r="BC334" i="2" l="1"/>
  <c r="AX334" i="2" s="1"/>
  <c r="BD334" i="2"/>
  <c r="AZ334" i="2" s="1"/>
  <c r="BB334" i="2"/>
  <c r="AV334" i="2" s="1"/>
  <c r="BA334" i="2" l="1"/>
  <c r="AT334" i="2"/>
  <c r="AW334" i="2"/>
  <c r="AY334" i="2"/>
  <c r="AP335" i="2" l="1"/>
  <c r="AR335" i="2"/>
  <c r="AU334" i="2"/>
  <c r="AQ335" i="2" l="1"/>
  <c r="AS335" i="2"/>
  <c r="BB335" i="2"/>
  <c r="AV335" i="2" s="1"/>
  <c r="BC335" i="2"/>
  <c r="AY335" i="2" s="1"/>
  <c r="BD335" i="2"/>
  <c r="AZ335" i="2" s="1"/>
  <c r="AX335" i="2" l="1"/>
  <c r="AT335" i="2" s="1"/>
  <c r="BA335" i="2"/>
  <c r="AW335" i="2"/>
  <c r="AP336" i="2" l="1"/>
  <c r="AR336" i="2"/>
  <c r="AU335" i="2"/>
  <c r="AQ336" i="2" l="1"/>
  <c r="BD336" i="2" s="1"/>
  <c r="AZ336" i="2" s="1"/>
  <c r="AS336" i="2"/>
  <c r="BA336" i="2" l="1"/>
  <c r="AW336" i="2"/>
  <c r="BB336" i="2"/>
  <c r="AV336" i="2" s="1"/>
  <c r="BC336" i="2"/>
  <c r="AX336" i="2" s="1"/>
  <c r="AT336" i="2" l="1"/>
  <c r="AY336" i="2"/>
  <c r="AU336" i="2" s="1"/>
  <c r="AS337" i="2" l="1"/>
  <c r="AQ337" i="2"/>
  <c r="AR337" i="2"/>
  <c r="AP337" i="2"/>
  <c r="BC337" i="2" l="1"/>
  <c r="AY337" i="2" s="1"/>
  <c r="BB337" i="2"/>
  <c r="AW337" i="2" s="1"/>
  <c r="BD337" i="2"/>
  <c r="AZ337" i="2" s="1"/>
  <c r="BA337" i="2" l="1"/>
  <c r="AU337" i="2" s="1"/>
  <c r="AX337" i="2"/>
  <c r="AV337" i="2"/>
  <c r="AT337" i="2" s="1"/>
  <c r="AS338" i="2" l="1"/>
  <c r="AQ338" i="2"/>
  <c r="AR338" i="2"/>
  <c r="AP338" i="2"/>
  <c r="BD338" i="2" l="1"/>
  <c r="BA338" i="2" s="1"/>
  <c r="BC338" i="2"/>
  <c r="AY338" i="2" s="1"/>
  <c r="BB338" i="2"/>
  <c r="AW338" i="2" s="1"/>
  <c r="AZ338" i="2"/>
  <c r="AU338" i="2" l="1"/>
  <c r="AV338" i="2"/>
  <c r="AT338" i="2" s="1"/>
  <c r="AX338" i="2"/>
  <c r="AR339" i="2" l="1"/>
  <c r="AP339" i="2"/>
  <c r="AS339" i="2"/>
  <c r="AQ339" i="2"/>
  <c r="BB339" i="2" l="1"/>
  <c r="AW339" i="2" s="1"/>
  <c r="BC339" i="2"/>
  <c r="AY339" i="2" s="1"/>
  <c r="BD339" i="2"/>
  <c r="BA339" i="2" s="1"/>
  <c r="AU339" i="2" s="1"/>
  <c r="AZ339" i="2"/>
  <c r="AQ340" i="2" l="1"/>
  <c r="AS340" i="2"/>
  <c r="AV339" i="2"/>
  <c r="AT339" i="2" s="1"/>
  <c r="AX339" i="2"/>
  <c r="AR340" i="2" l="1"/>
  <c r="AP340" i="2"/>
  <c r="BB340" i="2" l="1"/>
  <c r="AW340" i="2" s="1"/>
  <c r="BD340" i="2"/>
  <c r="BA340" i="2" s="1"/>
  <c r="BC340" i="2"/>
  <c r="AV340" i="2"/>
  <c r="AZ340" i="2"/>
  <c r="AX340" i="2" l="1"/>
  <c r="AT340" i="2" s="1"/>
  <c r="AY340" i="2"/>
  <c r="AU340" i="2" s="1"/>
  <c r="AP341" i="2" l="1"/>
  <c r="AR341" i="2"/>
  <c r="AQ341" i="2"/>
  <c r="AS341" i="2"/>
  <c r="BD341" i="2" l="1"/>
  <c r="BA341" i="2" s="1"/>
  <c r="BB341" i="2"/>
  <c r="AW341" i="2" s="1"/>
  <c r="BC341" i="2"/>
  <c r="AY341" i="2" s="1"/>
  <c r="AZ341" i="2"/>
  <c r="AV341" i="2" l="1"/>
  <c r="AX341" i="2"/>
  <c r="AU341" i="2"/>
  <c r="AS342" i="2" l="1"/>
  <c r="AQ342" i="2"/>
  <c r="AT341" i="2"/>
  <c r="AP342" i="2" l="1"/>
  <c r="AR342" i="2"/>
  <c r="BC342" i="2" l="1"/>
  <c r="AY342" i="2" s="1"/>
  <c r="BD342" i="2"/>
  <c r="BB342" i="2"/>
  <c r="AW342" i="2" s="1"/>
  <c r="AX342" i="2"/>
  <c r="AV342" i="2" l="1"/>
  <c r="AZ342" i="2"/>
  <c r="BA342" i="2"/>
  <c r="AU342" i="2" s="1"/>
  <c r="AS343" i="2" l="1"/>
  <c r="AQ343" i="2"/>
  <c r="AT342" i="2"/>
  <c r="AR343" i="2" l="1"/>
  <c r="AP343" i="2"/>
  <c r="BC343" i="2" l="1"/>
  <c r="AY343" i="2" s="1"/>
  <c r="BB343" i="2"/>
  <c r="AW343" i="2" s="1"/>
  <c r="BD343" i="2"/>
  <c r="AV343" i="2" l="1"/>
  <c r="AZ343" i="2"/>
  <c r="BA343" i="2"/>
  <c r="AU343" i="2" s="1"/>
  <c r="AX343" i="2"/>
  <c r="AS344" i="2" l="1"/>
  <c r="AQ344" i="2"/>
  <c r="AT343" i="2"/>
  <c r="AP344" i="2" l="1"/>
  <c r="AR344" i="2"/>
  <c r="BD344" i="2" l="1"/>
  <c r="BC344" i="2"/>
  <c r="AY344" i="2" s="1"/>
  <c r="BB344" i="2"/>
  <c r="AW344" i="2" s="1"/>
  <c r="AZ344" i="2" l="1"/>
  <c r="BA344" i="2"/>
  <c r="AU344" i="2" s="1"/>
  <c r="AX344" i="2"/>
  <c r="AV344" i="2"/>
  <c r="AT344" i="2" l="1"/>
  <c r="AS345" i="2"/>
  <c r="AQ345" i="2"/>
  <c r="AR345" i="2" l="1"/>
  <c r="AP345" i="2"/>
  <c r="BD345" i="2" l="1"/>
  <c r="BA345" i="2" s="1"/>
  <c r="BB345" i="2"/>
  <c r="BC345" i="2"/>
  <c r="AX345" i="2" l="1"/>
  <c r="AY345" i="2"/>
  <c r="AV345" i="2"/>
  <c r="AW345" i="2"/>
  <c r="AU345" i="2" s="1"/>
  <c r="AZ345" i="2"/>
  <c r="AQ346" i="2" l="1"/>
  <c r="AS346" i="2"/>
  <c r="AT345" i="2"/>
  <c r="AR346" i="2" l="1"/>
  <c r="AP346" i="2"/>
  <c r="BC346" i="2" l="1"/>
  <c r="AY346" i="2" s="1"/>
  <c r="BB346" i="2"/>
  <c r="AW346" i="2" s="1"/>
  <c r="AU346" i="2" s="1"/>
  <c r="BD346" i="2"/>
  <c r="BA346" i="2" s="1"/>
  <c r="AX346" i="2" l="1"/>
  <c r="AS347" i="2"/>
  <c r="AQ347" i="2"/>
  <c r="AZ346" i="2"/>
  <c r="AV346" i="2"/>
  <c r="AT346" i="2" l="1"/>
  <c r="AR347" i="2" l="1"/>
  <c r="AP347" i="2"/>
  <c r="BC347" i="2" l="1"/>
  <c r="BB347" i="2"/>
  <c r="BD347" i="2"/>
  <c r="AZ347" i="2" l="1"/>
  <c r="BA347" i="2"/>
  <c r="AV347" i="2"/>
  <c r="AT347" i="2" s="1"/>
  <c r="AW347" i="2"/>
  <c r="AX347" i="2"/>
  <c r="AY347" i="2"/>
  <c r="AR348" i="2" l="1"/>
  <c r="AP348" i="2"/>
  <c r="AU347" i="2"/>
  <c r="AS348" i="2" l="1"/>
  <c r="AQ348" i="2"/>
  <c r="BD348" i="2" s="1"/>
  <c r="AZ348" i="2" s="1"/>
  <c r="BC348" i="2"/>
  <c r="AX348" i="2" s="1"/>
  <c r="AY348" i="2" l="1"/>
  <c r="BA348" i="2"/>
  <c r="BB348" i="2"/>
  <c r="AV348" i="2" s="1"/>
  <c r="AT348" i="2" s="1"/>
  <c r="AW348" i="2" l="1"/>
  <c r="AU348" i="2" s="1"/>
  <c r="AR349" i="2"/>
  <c r="AP349" i="2"/>
  <c r="AS349" i="2" l="1"/>
  <c r="AQ349" i="2"/>
  <c r="BD349" i="2" l="1"/>
  <c r="AZ349" i="2" s="1"/>
  <c r="BC349" i="2"/>
  <c r="AX349" i="2" s="1"/>
  <c r="BB349" i="2"/>
  <c r="AV349" i="2" s="1"/>
  <c r="AT349" i="2" s="1"/>
  <c r="AP350" i="2" l="1"/>
  <c r="AR350" i="2"/>
  <c r="AW349" i="2"/>
  <c r="AU349" i="2" s="1"/>
  <c r="AY349" i="2"/>
  <c r="BA349" i="2"/>
  <c r="AQ350" i="2" l="1"/>
  <c r="AS350" i="2"/>
  <c r="BB350" i="2"/>
  <c r="AV350" i="2" s="1"/>
  <c r="BD350" i="2"/>
  <c r="AZ350" i="2" s="1"/>
  <c r="BC350" i="2"/>
  <c r="AX350" i="2" s="1"/>
  <c r="AT350" i="2" l="1"/>
  <c r="AW350" i="2"/>
  <c r="BA350" i="2"/>
  <c r="AY350" i="2"/>
  <c r="AU350" i="2" l="1"/>
  <c r="AR351" i="2"/>
  <c r="AP351" i="2"/>
  <c r="AS351" i="2" l="1"/>
  <c r="AQ351" i="2"/>
  <c r="BD351" i="2" s="1"/>
  <c r="AZ351" i="2" s="1"/>
  <c r="BC351" i="2" l="1"/>
  <c r="AX351" i="2" s="1"/>
  <c r="BB351" i="2"/>
  <c r="AV351" i="2" s="1"/>
  <c r="AT351" i="2" s="1"/>
  <c r="BA351" i="2"/>
  <c r="AY351" i="2"/>
  <c r="AW351" i="2" l="1"/>
  <c r="AU351" i="2" s="1"/>
  <c r="AR352" i="2"/>
  <c r="AP352" i="2"/>
  <c r="AQ352" i="2" l="1"/>
  <c r="AS352" i="2"/>
  <c r="BB352" i="2"/>
  <c r="AV352" i="2" s="1"/>
  <c r="BC352" i="2"/>
  <c r="AY352" i="2" s="1"/>
  <c r="BD352" i="2"/>
  <c r="AZ352" i="2" s="1"/>
  <c r="AX352" i="2" l="1"/>
  <c r="AT352" i="2" s="1"/>
  <c r="AW352" i="2"/>
  <c r="BA352" i="2"/>
  <c r="AU352" i="2" l="1"/>
  <c r="AP353" i="2"/>
  <c r="AR353" i="2"/>
  <c r="AQ353" i="2" l="1"/>
  <c r="AS353" i="2"/>
  <c r="BD353" i="2" l="1"/>
  <c r="BB353" i="2"/>
  <c r="AV353" i="2" s="1"/>
  <c r="BC353" i="2"/>
  <c r="BA353" i="2" l="1"/>
  <c r="AZ353" i="2"/>
  <c r="AY353" i="2"/>
  <c r="AX353" i="2"/>
  <c r="AT353" i="2" s="1"/>
  <c r="AW353" i="2"/>
  <c r="AP354" i="2" l="1"/>
  <c r="AR354" i="2"/>
  <c r="AU353" i="2"/>
  <c r="AS354" i="2" l="1"/>
  <c r="AQ354" i="2"/>
  <c r="BC354" i="2" s="1"/>
  <c r="AY354" i="2" l="1"/>
  <c r="AX354" i="2"/>
  <c r="BB354" i="2"/>
  <c r="BD354" i="2"/>
  <c r="BA354" i="2" l="1"/>
  <c r="AZ354" i="2"/>
  <c r="AW354" i="2"/>
  <c r="AU354" i="2" s="1"/>
  <c r="AV354" i="2"/>
  <c r="AT354" i="2" s="1"/>
  <c r="AR355" i="2" l="1"/>
  <c r="AP355" i="2"/>
  <c r="AQ355" i="2"/>
  <c r="AS355" i="2"/>
  <c r="BB355" i="2" l="1"/>
  <c r="AW355" i="2" s="1"/>
  <c r="BD355" i="2"/>
  <c r="BA355" i="2" s="1"/>
  <c r="BC355" i="2"/>
  <c r="AY355" i="2" s="1"/>
  <c r="AZ355" i="2"/>
  <c r="AX355" i="2" l="1"/>
  <c r="AU355" i="2"/>
  <c r="AV355" i="2"/>
  <c r="AT355" i="2" s="1"/>
  <c r="AS356" i="2" l="1"/>
  <c r="AQ356" i="2"/>
  <c r="AP356" i="2"/>
  <c r="AR356" i="2"/>
  <c r="BC356" i="2" l="1"/>
  <c r="AX356" i="2" s="1"/>
  <c r="BB356" i="2"/>
  <c r="AW356" i="2" s="1"/>
  <c r="BD356" i="2"/>
  <c r="BA356" i="2" s="1"/>
  <c r="AV356" i="2"/>
  <c r="AZ356" i="2" l="1"/>
  <c r="AT356" i="2" s="1"/>
  <c r="AY356" i="2"/>
  <c r="AU356" i="2" s="1"/>
  <c r="AR357" i="2" l="1"/>
  <c r="AP357" i="2"/>
  <c r="AS357" i="2"/>
  <c r="AQ357" i="2"/>
  <c r="BC357" i="2" l="1"/>
  <c r="AY357" i="2" s="1"/>
  <c r="BB357" i="2"/>
  <c r="AW357" i="2" s="1"/>
  <c r="BD357" i="2"/>
  <c r="BA357" i="2" s="1"/>
  <c r="AV357" i="2"/>
  <c r="AX357" i="2"/>
  <c r="AT357" i="2" s="1"/>
  <c r="AP358" i="2" s="1"/>
  <c r="AZ357" i="2"/>
  <c r="AR358" i="2" l="1"/>
  <c r="AU357" i="2"/>
  <c r="AQ358" i="2" l="1"/>
  <c r="AS358" i="2"/>
  <c r="AY358" i="2" l="1"/>
  <c r="BC358" i="2"/>
  <c r="AX358" i="2" s="1"/>
  <c r="BB358" i="2"/>
  <c r="AV358" i="2" s="1"/>
  <c r="BD358" i="2"/>
  <c r="BA358" i="2" l="1"/>
  <c r="AZ358" i="2"/>
  <c r="AT358" i="2" s="1"/>
  <c r="AW358" i="2"/>
  <c r="AU358" i="2" s="1"/>
  <c r="AR359" i="2" l="1"/>
  <c r="AP359" i="2"/>
  <c r="AS359" i="2"/>
  <c r="AQ359" i="2"/>
  <c r="BC359" i="2" l="1"/>
  <c r="AY359" i="2" s="1"/>
  <c r="BB359" i="2"/>
  <c r="AW359" i="2" s="1"/>
  <c r="AU359" i="2" s="1"/>
  <c r="AQ360" i="2" s="1"/>
  <c r="BD359" i="2"/>
  <c r="BA359" i="2" s="1"/>
  <c r="AZ359" i="2" l="1"/>
  <c r="AX359" i="2"/>
  <c r="AS360" i="2"/>
  <c r="AV359" i="2"/>
  <c r="AT359" i="2" l="1"/>
  <c r="AR360" i="2" l="1"/>
  <c r="AP360" i="2"/>
  <c r="BC360" i="2" l="1"/>
  <c r="AY360" i="2" s="1"/>
  <c r="BD360" i="2"/>
  <c r="BA360" i="2" s="1"/>
  <c r="BB360" i="2"/>
  <c r="AW360" i="2" s="1"/>
  <c r="AV360" i="2"/>
  <c r="AZ360" i="2" l="1"/>
  <c r="AU360" i="2"/>
  <c r="AX360" i="2"/>
  <c r="AT360" i="2" s="1"/>
  <c r="AR361" i="2" l="1"/>
  <c r="AP361" i="2"/>
  <c r="AS361" i="2"/>
  <c r="AQ361" i="2"/>
  <c r="BD361" i="2" l="1"/>
  <c r="BA361" i="2" s="1"/>
  <c r="BC361" i="2"/>
  <c r="AY361" i="2" s="1"/>
  <c r="BB361" i="2"/>
  <c r="AW361" i="2" s="1"/>
  <c r="AU361" i="2" s="1"/>
  <c r="AS362" i="2" s="1"/>
  <c r="AV361" i="2" l="1"/>
  <c r="AX361" i="2"/>
  <c r="AZ361" i="2"/>
  <c r="AQ362" i="2"/>
  <c r="AT361" i="2" l="1"/>
  <c r="AR362" i="2" l="1"/>
  <c r="AP362" i="2"/>
  <c r="BD362" i="2" l="1"/>
  <c r="BA362" i="2" s="1"/>
  <c r="BC362" i="2"/>
  <c r="AY362" i="2" s="1"/>
  <c r="BB362" i="2"/>
  <c r="AW362" i="2" s="1"/>
  <c r="AU362" i="2" s="1"/>
  <c r="AZ362" i="2"/>
  <c r="AX362" i="2"/>
  <c r="AV362" i="2" l="1"/>
  <c r="AT362" i="2" s="1"/>
  <c r="AS363" i="2"/>
  <c r="AQ363" i="2"/>
  <c r="AP363" i="2" l="1"/>
  <c r="AR363" i="2"/>
  <c r="BC363" i="2" l="1"/>
  <c r="AY363" i="2" s="1"/>
  <c r="BB363" i="2"/>
  <c r="BD363" i="2"/>
  <c r="AX363" i="2" l="1"/>
  <c r="AV363" i="2"/>
  <c r="AT363" i="2" s="1"/>
  <c r="AW363" i="2"/>
  <c r="AZ363" i="2"/>
  <c r="BA363" i="2"/>
  <c r="AR364" i="2" l="1"/>
  <c r="AP364" i="2"/>
  <c r="AU363" i="2"/>
  <c r="AQ364" i="2" l="1"/>
  <c r="AS364" i="2"/>
  <c r="BC364" i="2" l="1"/>
  <c r="BB364" i="2"/>
  <c r="BD364" i="2"/>
  <c r="BA364" i="2" l="1"/>
  <c r="AZ364" i="2"/>
  <c r="AW364" i="2"/>
  <c r="AU364" i="2" s="1"/>
  <c r="AV364" i="2"/>
  <c r="AY364" i="2"/>
  <c r="AX364" i="2"/>
  <c r="AT364" i="2" l="1"/>
  <c r="AS365" i="2"/>
  <c r="AQ365" i="2"/>
  <c r="AR365" i="2" l="1"/>
  <c r="AP365" i="2"/>
  <c r="BD365" i="2" l="1"/>
  <c r="BA365" i="2" s="1"/>
  <c r="BC365" i="2"/>
  <c r="AY365" i="2" s="1"/>
  <c r="BB365" i="2"/>
  <c r="AW365" i="2" s="1"/>
  <c r="AU365" i="2" l="1"/>
  <c r="AX365" i="2"/>
  <c r="AT365" i="2" s="1"/>
  <c r="AV365" i="2"/>
  <c r="AZ365" i="2"/>
  <c r="AR366" i="2" l="1"/>
  <c r="AP366" i="2"/>
  <c r="AS366" i="2"/>
  <c r="AQ366" i="2"/>
  <c r="BC366" i="2" l="1"/>
  <c r="AY366" i="2" s="1"/>
  <c r="BD366" i="2"/>
  <c r="BA366" i="2" s="1"/>
  <c r="BB366" i="2"/>
  <c r="AV366" i="2" s="1"/>
  <c r="AZ366" i="2" l="1"/>
  <c r="AX366" i="2"/>
  <c r="AT366" i="2" s="1"/>
  <c r="AW366" i="2"/>
  <c r="AU366" i="2" s="1"/>
  <c r="AR367" i="2" l="1"/>
  <c r="AP367" i="2"/>
  <c r="AS367" i="2"/>
  <c r="AQ367" i="2"/>
  <c r="BD367" i="2" l="1"/>
  <c r="AZ367" i="2" s="1"/>
  <c r="BC367" i="2"/>
  <c r="AY367" i="2" s="1"/>
  <c r="BB367" i="2"/>
  <c r="AV367" i="2" s="1"/>
  <c r="AX367" i="2"/>
  <c r="AT367" i="2" l="1"/>
  <c r="BA367" i="2"/>
  <c r="AW367" i="2"/>
  <c r="AU367" i="2" s="1"/>
  <c r="AS368" i="2" l="1"/>
  <c r="AQ368" i="2"/>
  <c r="AR368" i="2"/>
  <c r="AP368" i="2"/>
  <c r="BD368" i="2" l="1"/>
  <c r="BA368" i="2" s="1"/>
  <c r="BC368" i="2"/>
  <c r="AY368" i="2" s="1"/>
  <c r="BB368" i="2"/>
  <c r="AW368" i="2" s="1"/>
  <c r="AU368" i="2" s="1"/>
  <c r="AQ369" i="2" s="1"/>
  <c r="AZ368" i="2"/>
  <c r="AV368" i="2" l="1"/>
  <c r="AX368" i="2"/>
  <c r="AS369" i="2"/>
  <c r="AT368" i="2" l="1"/>
  <c r="AP369" i="2" l="1"/>
  <c r="AR369" i="2"/>
  <c r="BC369" i="2" l="1"/>
  <c r="AY369" i="2" s="1"/>
  <c r="BB369" i="2"/>
  <c r="AW369" i="2" s="1"/>
  <c r="BD369" i="2"/>
  <c r="BA369" i="2" s="1"/>
  <c r="AZ369" i="2"/>
  <c r="AU369" i="2" l="1"/>
  <c r="AX369" i="2"/>
  <c r="AT369" i="2" s="1"/>
  <c r="AV369" i="2"/>
  <c r="AR370" i="2" l="1"/>
  <c r="AP370" i="2"/>
  <c r="AS370" i="2"/>
  <c r="AQ370" i="2"/>
  <c r="BD370" i="2" l="1"/>
  <c r="BA370" i="2" s="1"/>
  <c r="BB370" i="2"/>
  <c r="AV370" i="2" s="1"/>
  <c r="BC370" i="2"/>
  <c r="AX370" i="2" s="1"/>
  <c r="AZ370" i="2" l="1"/>
  <c r="AT370" i="2" s="1"/>
  <c r="AY370" i="2"/>
  <c r="AW370" i="2"/>
  <c r="AU370" i="2" s="1"/>
  <c r="AS371" i="2" l="1"/>
  <c r="AQ371" i="2"/>
  <c r="AR371" i="2"/>
  <c r="AP371" i="2"/>
  <c r="BB371" i="2" l="1"/>
  <c r="AW371" i="2" s="1"/>
  <c r="BD371" i="2"/>
  <c r="BA371" i="2" s="1"/>
  <c r="BC371" i="2"/>
  <c r="AX371" i="2" s="1"/>
  <c r="AV371" i="2"/>
  <c r="AZ371" i="2"/>
  <c r="AY371" i="2"/>
  <c r="AT371" i="2" l="1"/>
  <c r="AU371" i="2"/>
  <c r="AQ372" i="2" l="1"/>
  <c r="AS372" i="2"/>
  <c r="AP372" i="2"/>
  <c r="AR372" i="2"/>
  <c r="BB372" i="2" l="1"/>
  <c r="AW372" i="2" s="1"/>
  <c r="BC372" i="2"/>
  <c r="AY372" i="2" s="1"/>
  <c r="BD372" i="2"/>
  <c r="BA372" i="2" s="1"/>
  <c r="AV372" i="2" l="1"/>
  <c r="AZ372" i="2"/>
  <c r="AU372" i="2"/>
  <c r="AX372" i="2"/>
  <c r="AS373" i="2" l="1"/>
  <c r="AQ373" i="2"/>
  <c r="AT372" i="2"/>
  <c r="AR373" i="2" l="1"/>
  <c r="AP373" i="2"/>
  <c r="BD373" i="2" l="1"/>
  <c r="BA373" i="2" s="1"/>
  <c r="BB373" i="2"/>
  <c r="AW373" i="2" s="1"/>
  <c r="AU373" i="2" s="1"/>
  <c r="BC373" i="2"/>
  <c r="AY373" i="2" s="1"/>
  <c r="AZ373" i="2"/>
  <c r="AX373" i="2"/>
  <c r="AV373" i="2" l="1"/>
  <c r="AT373" i="2" s="1"/>
  <c r="AS374" i="2"/>
  <c r="AQ374" i="2"/>
  <c r="AP374" i="2" l="1"/>
  <c r="AR374" i="2"/>
  <c r="BD374" i="2" l="1"/>
  <c r="BA374" i="2" s="1"/>
  <c r="BB374" i="2"/>
  <c r="AW374" i="2" s="1"/>
  <c r="AU374" i="2" s="1"/>
  <c r="BC374" i="2"/>
  <c r="AY374" i="2" s="1"/>
  <c r="AX374" i="2" l="1"/>
  <c r="AQ375" i="2"/>
  <c r="AS375" i="2"/>
  <c r="AV374" i="2"/>
  <c r="AZ374" i="2"/>
  <c r="AT374" i="2" l="1"/>
  <c r="AR375" i="2" l="1"/>
  <c r="AP375" i="2"/>
  <c r="BC375" i="2" l="1"/>
  <c r="AY375" i="2" s="1"/>
  <c r="BD375" i="2"/>
  <c r="BA375" i="2" s="1"/>
  <c r="BB375" i="2"/>
  <c r="AW375" i="2" s="1"/>
  <c r="AU375" i="2" s="1"/>
  <c r="AZ375" i="2" l="1"/>
  <c r="AV375" i="2"/>
  <c r="AX375" i="2"/>
  <c r="AS376" i="2"/>
  <c r="AQ376" i="2"/>
  <c r="AT375" i="2" l="1"/>
  <c r="AP376" i="2" l="1"/>
  <c r="AR376" i="2"/>
  <c r="BB376" i="2" l="1"/>
  <c r="AW376" i="2" s="1"/>
  <c r="BC376" i="2"/>
  <c r="AY376" i="2" s="1"/>
  <c r="AU376" i="2" s="1"/>
  <c r="BD376" i="2"/>
  <c r="BA376" i="2" s="1"/>
  <c r="AS377" i="2" l="1"/>
  <c r="AQ377" i="2"/>
  <c r="AZ376" i="2"/>
  <c r="AX376" i="2"/>
  <c r="AV376" i="2"/>
  <c r="AT376" i="2" l="1"/>
  <c r="AR377" i="2" l="1"/>
  <c r="AP377" i="2"/>
  <c r="BB377" i="2" l="1"/>
  <c r="AW377" i="2" s="1"/>
  <c r="BD377" i="2"/>
  <c r="BA377" i="2" s="1"/>
  <c r="BC377" i="2"/>
  <c r="AY377" i="2" s="1"/>
  <c r="AZ377" i="2"/>
  <c r="AV377" i="2"/>
  <c r="AX377" i="2" l="1"/>
  <c r="AT377" i="2" s="1"/>
  <c r="AU377" i="2"/>
  <c r="AR378" i="2" l="1"/>
  <c r="AP378" i="2"/>
  <c r="AS378" i="2"/>
  <c r="AQ378" i="2"/>
  <c r="BB378" i="2" l="1"/>
  <c r="AW378" i="2" s="1"/>
  <c r="BC378" i="2"/>
  <c r="AX378" i="2" s="1"/>
  <c r="BD378" i="2"/>
  <c r="AZ378" i="2" s="1"/>
  <c r="BA378" i="2" l="1"/>
  <c r="AV378" i="2"/>
  <c r="AT378" i="2" s="1"/>
  <c r="AY378" i="2"/>
  <c r="AU378" i="2" s="1"/>
  <c r="AS379" i="2" l="1"/>
  <c r="AQ379" i="2"/>
  <c r="AR379" i="2"/>
  <c r="AP379" i="2"/>
  <c r="BB379" i="2" l="1"/>
  <c r="AW379" i="2" s="1"/>
  <c r="BD379" i="2"/>
  <c r="AZ379" i="2" s="1"/>
  <c r="BC379" i="2"/>
  <c r="AX379" i="2" s="1"/>
  <c r="AV379" i="2"/>
  <c r="AY379" i="2"/>
  <c r="BA379" i="2"/>
  <c r="AT379" i="2" l="1"/>
  <c r="AU379" i="2"/>
  <c r="AS380" i="2" l="1"/>
  <c r="AQ380" i="2"/>
  <c r="AP380" i="2"/>
  <c r="AR380" i="2"/>
  <c r="BD380" i="2" l="1"/>
  <c r="BA380" i="2" s="1"/>
  <c r="BC380" i="2"/>
  <c r="AX380" i="2" s="1"/>
  <c r="BB380" i="2"/>
  <c r="AV380" i="2" s="1"/>
  <c r="AW380" i="2" l="1"/>
  <c r="AY380" i="2"/>
  <c r="AZ380" i="2"/>
  <c r="AT380" i="2" s="1"/>
  <c r="AR381" i="2" l="1"/>
  <c r="AP381" i="2"/>
  <c r="AU380" i="2"/>
  <c r="BC381" i="2" l="1"/>
  <c r="AX381" i="2" s="1"/>
  <c r="AQ381" i="2"/>
  <c r="BD381" i="2" s="1"/>
  <c r="AZ381" i="2" s="1"/>
  <c r="AS381" i="2"/>
  <c r="BA381" i="2" l="1"/>
  <c r="AY381" i="2"/>
  <c r="BB381" i="2"/>
  <c r="AV381" i="2" s="1"/>
  <c r="AT381" i="2" s="1"/>
  <c r="AR382" i="2" l="1"/>
  <c r="AP382" i="2"/>
  <c r="AW381" i="2"/>
  <c r="AU381" i="2" s="1"/>
  <c r="AS382" i="2" l="1"/>
  <c r="AQ382" i="2"/>
  <c r="BD382" i="2" s="1"/>
  <c r="AZ382" i="2" s="1"/>
  <c r="BC382" i="2"/>
  <c r="AX382" i="2" s="1"/>
  <c r="AY382" i="2" l="1"/>
  <c r="BA382" i="2"/>
  <c r="BB382" i="2"/>
  <c r="AV382" i="2" s="1"/>
  <c r="AT382" i="2" s="1"/>
  <c r="AW382" i="2" l="1"/>
  <c r="AU382" i="2" s="1"/>
  <c r="AP383" i="2"/>
  <c r="AR383" i="2"/>
  <c r="AS383" i="2" l="1"/>
  <c r="AQ383" i="2"/>
  <c r="BC383" i="2" s="1"/>
  <c r="AY383" i="2" l="1"/>
  <c r="AX383" i="2"/>
  <c r="BB383" i="2"/>
  <c r="BD383" i="2"/>
  <c r="AW383" i="2" l="1"/>
  <c r="AV383" i="2"/>
  <c r="BA383" i="2"/>
  <c r="AZ383" i="2"/>
  <c r="AT383" i="2" s="1"/>
  <c r="AR384" i="2" l="1"/>
  <c r="AP384" i="2"/>
  <c r="AU383" i="2"/>
  <c r="AS384" i="2" l="1"/>
  <c r="AQ384" i="2"/>
  <c r="BB384" i="2" l="1"/>
  <c r="BD384" i="2"/>
  <c r="AZ384" i="2" s="1"/>
  <c r="BC384" i="2"/>
  <c r="AW384" i="2" l="1"/>
  <c r="AV384" i="2"/>
  <c r="AY384" i="2"/>
  <c r="AX384" i="2"/>
  <c r="AT384" i="2" s="1"/>
  <c r="BA384" i="2"/>
  <c r="AR385" i="2" l="1"/>
  <c r="AP385" i="2"/>
  <c r="AU384" i="2"/>
  <c r="BB385" i="2" l="1"/>
  <c r="AW385" i="2" s="1"/>
  <c r="BD385" i="2"/>
  <c r="BA385" i="2" s="1"/>
  <c r="AS385" i="2"/>
  <c r="AQ385" i="2"/>
  <c r="AZ385" i="2" l="1"/>
  <c r="AV385" i="2"/>
  <c r="BC385" i="2"/>
  <c r="AY385" i="2" l="1"/>
  <c r="AU385" i="2" s="1"/>
  <c r="AX385" i="2"/>
  <c r="AT385" i="2" s="1"/>
  <c r="AP386" i="2" l="1"/>
  <c r="AR386" i="2"/>
  <c r="AQ386" i="2"/>
  <c r="AS386" i="2"/>
  <c r="BC386" i="2" l="1"/>
  <c r="AY386" i="2" s="1"/>
  <c r="BB386" i="2"/>
  <c r="AW386" i="2" s="1"/>
  <c r="BD386" i="2"/>
  <c r="BA386" i="2" s="1"/>
  <c r="AV386" i="2"/>
  <c r="AX386" i="2"/>
  <c r="AZ386" i="2" l="1"/>
  <c r="AT386" i="2" s="1"/>
  <c r="AU386" i="2"/>
  <c r="AR387" i="2" l="1"/>
  <c r="AP387" i="2"/>
  <c r="AS387" i="2"/>
  <c r="AQ387" i="2"/>
  <c r="BC387" i="2" l="1"/>
  <c r="AY387" i="2" s="1"/>
  <c r="AU387" i="2" s="1"/>
  <c r="BB387" i="2"/>
  <c r="AW387" i="2" s="1"/>
  <c r="BD387" i="2"/>
  <c r="BA387" i="2" s="1"/>
  <c r="AQ388" i="2" l="1"/>
  <c r="AS388" i="2"/>
  <c r="AX387" i="2"/>
  <c r="AV387" i="2"/>
  <c r="AZ387" i="2"/>
  <c r="AT387" i="2" l="1"/>
  <c r="AP388" i="2" l="1"/>
  <c r="AR388" i="2"/>
  <c r="BD388" i="2" l="1"/>
  <c r="BA388" i="2" s="1"/>
  <c r="BC388" i="2"/>
  <c r="AY388" i="2" s="1"/>
  <c r="BB388" i="2"/>
  <c r="AW388" i="2" s="1"/>
  <c r="AU388" i="2" l="1"/>
  <c r="AV388" i="2"/>
  <c r="AX388" i="2"/>
  <c r="AZ388" i="2"/>
  <c r="AT388" i="2" l="1"/>
  <c r="AS389" i="2"/>
  <c r="AQ389" i="2"/>
  <c r="AR389" i="2" l="1"/>
  <c r="AP389" i="2"/>
  <c r="BC389" i="2" l="1"/>
  <c r="BD389" i="2"/>
  <c r="BB389" i="2"/>
  <c r="AW389" i="2" s="1"/>
  <c r="AV389" i="2" l="1"/>
  <c r="AZ389" i="2"/>
  <c r="BA389" i="2"/>
  <c r="AU389" i="2" s="1"/>
  <c r="AX389" i="2"/>
  <c r="AY389" i="2"/>
  <c r="AS390" i="2" l="1"/>
  <c r="AQ390" i="2"/>
  <c r="AT389" i="2"/>
  <c r="AP390" i="2" l="1"/>
  <c r="AR390" i="2"/>
  <c r="BB390" i="2" l="1"/>
  <c r="BD390" i="2"/>
  <c r="BA390" i="2" s="1"/>
  <c r="BC390" i="2"/>
  <c r="AZ390" i="2" l="1"/>
  <c r="AX390" i="2"/>
  <c r="AY390" i="2"/>
  <c r="AV390" i="2"/>
  <c r="AT390" i="2" s="1"/>
  <c r="AW390" i="2"/>
  <c r="AP391" i="2" l="1"/>
  <c r="AR391" i="2"/>
  <c r="AU390" i="2"/>
  <c r="AS391" i="2" l="1"/>
  <c r="AQ391" i="2"/>
  <c r="BC391" i="2" s="1"/>
  <c r="AX391" i="2" s="1"/>
  <c r="AY391" i="2" l="1"/>
  <c r="BB391" i="2"/>
  <c r="BD391" i="2"/>
  <c r="AZ391" i="2" s="1"/>
  <c r="AW391" i="2" l="1"/>
  <c r="AV391" i="2"/>
  <c r="AT391" i="2" s="1"/>
  <c r="BA391" i="2"/>
  <c r="AU391" i="2" s="1"/>
  <c r="AS392" i="2" l="1"/>
  <c r="AQ392" i="2"/>
  <c r="AR392" i="2"/>
  <c r="AP392" i="2"/>
  <c r="BD392" i="2" l="1"/>
  <c r="BB392" i="2"/>
  <c r="AW392" i="2" s="1"/>
  <c r="BC392" i="2"/>
  <c r="AX392" i="2" s="1"/>
  <c r="AZ392" i="2"/>
  <c r="BA392" i="2"/>
  <c r="AV392" i="2" l="1"/>
  <c r="AT392" i="2" s="1"/>
  <c r="AY392" i="2"/>
  <c r="AU392" i="2" s="1"/>
  <c r="AS393" i="2" l="1"/>
  <c r="AQ393" i="2"/>
  <c r="AP393" i="2"/>
  <c r="AR393" i="2"/>
  <c r="BC393" i="2" l="1"/>
  <c r="AY393" i="2" s="1"/>
  <c r="BB393" i="2"/>
  <c r="AW393" i="2" s="1"/>
  <c r="BD393" i="2"/>
  <c r="AZ393" i="2" s="1"/>
  <c r="AV393" i="2"/>
  <c r="AX393" i="2" l="1"/>
  <c r="AT393" i="2" s="1"/>
  <c r="BA393" i="2"/>
  <c r="AU393" i="2" s="1"/>
  <c r="AS394" i="2" l="1"/>
  <c r="AQ394" i="2"/>
  <c r="AR394" i="2"/>
  <c r="AP394" i="2"/>
  <c r="BB394" i="2" l="1"/>
  <c r="AW394" i="2" s="1"/>
  <c r="BD394" i="2"/>
  <c r="BA394" i="2" s="1"/>
  <c r="BC394" i="2"/>
  <c r="AY394" i="2" s="1"/>
  <c r="AZ394" i="2"/>
  <c r="AV394" i="2"/>
  <c r="AX394" i="2" l="1"/>
  <c r="AT394" i="2"/>
  <c r="AU394" i="2"/>
  <c r="AS395" i="2" l="1"/>
  <c r="AQ395" i="2"/>
  <c r="AR395" i="2"/>
  <c r="AP395" i="2"/>
  <c r="BD395" i="2" l="1"/>
  <c r="BA395" i="2" s="1"/>
  <c r="BC395" i="2"/>
  <c r="AY395" i="2" s="1"/>
  <c r="BB395" i="2"/>
  <c r="AW395" i="2" s="1"/>
  <c r="AZ395" i="2"/>
  <c r="AV395" i="2" l="1"/>
  <c r="AX395" i="2"/>
  <c r="AT395" i="2" s="1"/>
  <c r="AU395" i="2"/>
  <c r="AR396" i="2" l="1"/>
  <c r="AP396" i="2"/>
  <c r="AS396" i="2"/>
  <c r="AQ396" i="2"/>
  <c r="BB396" i="2" l="1"/>
  <c r="AW396" i="2" s="1"/>
  <c r="BC396" i="2"/>
  <c r="AY396" i="2" s="1"/>
  <c r="BD396" i="2"/>
  <c r="BA396" i="2" s="1"/>
  <c r="AV396" i="2"/>
  <c r="AX396" i="2"/>
  <c r="AZ396" i="2" l="1"/>
  <c r="AU396" i="2"/>
  <c r="AT396" i="2"/>
  <c r="AR397" i="2" l="1"/>
  <c r="AP397" i="2"/>
  <c r="AQ397" i="2"/>
  <c r="AS397" i="2"/>
  <c r="BC397" i="2" l="1"/>
  <c r="AY397" i="2" s="1"/>
  <c r="BD397" i="2"/>
  <c r="BA397" i="2" s="1"/>
  <c r="BB397" i="2"/>
  <c r="AW397" i="2" s="1"/>
  <c r="AU397" i="2" l="1"/>
  <c r="AX397" i="2"/>
  <c r="AV397" i="2"/>
  <c r="AT397" i="2" s="1"/>
  <c r="AZ397" i="2"/>
  <c r="AR398" i="2" l="1"/>
  <c r="AP398" i="2"/>
  <c r="AS398" i="2"/>
  <c r="AQ398" i="2"/>
  <c r="BB398" i="2" l="1"/>
  <c r="AW398" i="2" s="1"/>
  <c r="AU398" i="2" s="1"/>
  <c r="AQ399" i="2" s="1"/>
  <c r="BD398" i="2"/>
  <c r="BA398" i="2" s="1"/>
  <c r="BC398" i="2"/>
  <c r="AY398" i="2" s="1"/>
  <c r="AX398" i="2"/>
  <c r="AZ398" i="2"/>
  <c r="AV398" i="2" l="1"/>
  <c r="AT398" i="2" s="1"/>
  <c r="AS399" i="2"/>
  <c r="AR399" i="2" l="1"/>
  <c r="AP399" i="2"/>
  <c r="BD399" i="2" l="1"/>
  <c r="BC399" i="2"/>
  <c r="AY399" i="2" s="1"/>
  <c r="BB399" i="2"/>
  <c r="AW399" i="2" s="1"/>
  <c r="AV399" i="2" l="1"/>
  <c r="AX399" i="2"/>
  <c r="AZ399" i="2"/>
  <c r="BA399" i="2"/>
  <c r="AU399" i="2" s="1"/>
  <c r="AQ400" i="2" l="1"/>
  <c r="AS400" i="2"/>
  <c r="AT399" i="2"/>
  <c r="AP400" i="2" l="1"/>
  <c r="AR400" i="2"/>
  <c r="BB400" i="2" l="1"/>
  <c r="AW400" i="2" s="1"/>
  <c r="BC400" i="2"/>
  <c r="AY400" i="2" s="1"/>
  <c r="AV400" i="2"/>
  <c r="BD400" i="2"/>
  <c r="BA400" i="2" s="1"/>
  <c r="AX400" i="2" l="1"/>
  <c r="AZ400" i="2"/>
  <c r="AU400" i="2"/>
  <c r="AS401" i="2" l="1"/>
  <c r="AQ401" i="2"/>
  <c r="AT400" i="2"/>
  <c r="AR401" i="2" l="1"/>
  <c r="AP401" i="2"/>
  <c r="BD401" i="2" l="1"/>
  <c r="BA401" i="2" s="1"/>
  <c r="BB401" i="2"/>
  <c r="AW401" i="2" s="1"/>
  <c r="BC401" i="2"/>
  <c r="AY401" i="2" s="1"/>
  <c r="AX401" i="2"/>
  <c r="AZ401" i="2" l="1"/>
  <c r="AU401" i="2"/>
  <c r="AV401" i="2"/>
  <c r="AT401" i="2" s="1"/>
  <c r="AP402" i="2" l="1"/>
  <c r="AR402" i="2"/>
  <c r="AS402" i="2"/>
  <c r="AQ402" i="2"/>
  <c r="BB402" i="2" l="1"/>
  <c r="AW402" i="2" s="1"/>
  <c r="AU402" i="2" s="1"/>
  <c r="AQ403" i="2" s="1"/>
  <c r="BD402" i="2"/>
  <c r="BA402" i="2" s="1"/>
  <c r="BC402" i="2"/>
  <c r="AY402" i="2" s="1"/>
  <c r="AV402" i="2"/>
  <c r="AZ402" i="2"/>
  <c r="AX402" i="2" l="1"/>
  <c r="AT402" i="2" s="1"/>
  <c r="AS403" i="2"/>
  <c r="AR403" i="2" l="1"/>
  <c r="AP403" i="2"/>
  <c r="BD403" i="2" l="1"/>
  <c r="BA403" i="2" s="1"/>
  <c r="BB403" i="2"/>
  <c r="AW403" i="2" s="1"/>
  <c r="AU403" i="2" s="1"/>
  <c r="BC403" i="2"/>
  <c r="AY403" i="2" s="1"/>
  <c r="AZ403" i="2"/>
  <c r="AS404" i="2" l="1"/>
  <c r="AQ404" i="2"/>
  <c r="AX403" i="2"/>
  <c r="AV403" i="2"/>
  <c r="AT403" i="2" s="1"/>
  <c r="AP404" i="2" l="1"/>
  <c r="AR404" i="2"/>
  <c r="BC404" i="2" l="1"/>
  <c r="AV404" i="2"/>
  <c r="BD404" i="2"/>
  <c r="BA404" i="2" s="1"/>
  <c r="BB404" i="2"/>
  <c r="AW404" i="2" s="1"/>
  <c r="AZ404" i="2"/>
  <c r="AX404" i="2" l="1"/>
  <c r="AT404" i="2" s="1"/>
  <c r="AY404" i="2"/>
  <c r="AU404" i="2" s="1"/>
  <c r="AR405" i="2" l="1"/>
  <c r="AP405" i="2"/>
  <c r="AS405" i="2"/>
  <c r="AQ405" i="2"/>
  <c r="BC405" i="2" l="1"/>
  <c r="AY405" i="2" s="1"/>
  <c r="BD405" i="2"/>
  <c r="AZ405" i="2" s="1"/>
  <c r="BB405" i="2"/>
  <c r="AW405" i="2" s="1"/>
  <c r="AV405" i="2"/>
  <c r="AX405" i="2"/>
  <c r="AT405" i="2" l="1"/>
  <c r="BA405" i="2"/>
  <c r="AU405" i="2" s="1"/>
  <c r="AS406" i="2" l="1"/>
  <c r="AQ406" i="2"/>
  <c r="AR406" i="2"/>
  <c r="AP406" i="2"/>
  <c r="BC406" i="2" l="1"/>
  <c r="AY406" i="2" s="1"/>
  <c r="BD406" i="2"/>
  <c r="AZ406" i="2" s="1"/>
  <c r="BB406" i="2"/>
  <c r="AW406" i="2" s="1"/>
  <c r="BA406" i="2" l="1"/>
  <c r="AU406" i="2" s="1"/>
  <c r="AX406" i="2"/>
  <c r="AV406" i="2"/>
  <c r="AT406" i="2" s="1"/>
  <c r="AR407" i="2" l="1"/>
  <c r="AP407" i="2"/>
  <c r="AQ407" i="2"/>
  <c r="AS407" i="2"/>
  <c r="BD407" i="2" l="1"/>
  <c r="BA407" i="2" s="1"/>
  <c r="BC407" i="2"/>
  <c r="AY407" i="2" s="1"/>
  <c r="BB407" i="2"/>
  <c r="AW407" i="2" s="1"/>
  <c r="AZ407" i="2"/>
  <c r="AX407" i="2" l="1"/>
  <c r="AV407" i="2"/>
  <c r="AT407" i="2" s="1"/>
  <c r="AU407" i="2"/>
  <c r="AS408" i="2" l="1"/>
  <c r="AQ408" i="2"/>
  <c r="AP408" i="2"/>
  <c r="AR408" i="2"/>
  <c r="BD408" i="2" l="1"/>
  <c r="BA408" i="2" s="1"/>
  <c r="BB408" i="2"/>
  <c r="AW408" i="2" s="1"/>
  <c r="BC408" i="2"/>
  <c r="AY408" i="2" s="1"/>
  <c r="AU408" i="2" l="1"/>
  <c r="AZ408" i="2"/>
  <c r="AV408" i="2"/>
  <c r="AT408" i="2" s="1"/>
  <c r="AX408" i="2"/>
  <c r="AR409" i="2" l="1"/>
  <c r="AP409" i="2"/>
  <c r="AQ409" i="2"/>
  <c r="AS409" i="2"/>
  <c r="BB409" i="2" l="1"/>
  <c r="AW409" i="2" s="1"/>
  <c r="AU409" i="2" s="1"/>
  <c r="AS410" i="2" s="1"/>
  <c r="BC409" i="2"/>
  <c r="AY409" i="2" s="1"/>
  <c r="BD409" i="2"/>
  <c r="BA409" i="2" s="1"/>
  <c r="AZ409" i="2"/>
  <c r="AV409" i="2" l="1"/>
  <c r="AQ410" i="2"/>
  <c r="AX409" i="2"/>
  <c r="AT409" i="2" l="1"/>
  <c r="AP410" i="2" l="1"/>
  <c r="AR410" i="2"/>
  <c r="BB410" i="2" l="1"/>
  <c r="AW410" i="2" s="1"/>
  <c r="AU410" i="2" s="1"/>
  <c r="BD410" i="2"/>
  <c r="BA410" i="2" s="1"/>
  <c r="BC410" i="2"/>
  <c r="AY410" i="2" s="1"/>
  <c r="AX410" i="2" l="1"/>
  <c r="AS411" i="2"/>
  <c r="AQ411" i="2"/>
  <c r="AV410" i="2"/>
  <c r="AT410" i="2" s="1"/>
  <c r="AZ410" i="2"/>
  <c r="AR411" i="2" l="1"/>
  <c r="AP411" i="2"/>
  <c r="BC411" i="2" l="1"/>
  <c r="AY411" i="2" s="1"/>
  <c r="BB411" i="2"/>
  <c r="AW411" i="2" s="1"/>
  <c r="AX411" i="2"/>
  <c r="BD411" i="2"/>
  <c r="BA411" i="2" s="1"/>
  <c r="AV411" i="2"/>
  <c r="AZ411" i="2"/>
  <c r="AU411" i="2" l="1"/>
  <c r="AT411" i="2"/>
  <c r="AP412" i="2" l="1"/>
  <c r="AR412" i="2"/>
  <c r="AQ412" i="2"/>
  <c r="AS412" i="2"/>
  <c r="BD412" i="2" l="1"/>
  <c r="AZ412" i="2" s="1"/>
  <c r="BB412" i="2"/>
  <c r="AW412" i="2" s="1"/>
  <c r="BC412" i="2"/>
  <c r="AY412" i="2" s="1"/>
  <c r="BA412" i="2" l="1"/>
  <c r="AU412" i="2" s="1"/>
  <c r="AV412" i="2"/>
  <c r="AT412" i="2" s="1"/>
  <c r="AX412" i="2"/>
  <c r="AS413" i="2" l="1"/>
  <c r="AQ413" i="2"/>
  <c r="AR413" i="2"/>
  <c r="AP413" i="2"/>
  <c r="BB413" i="2" l="1"/>
  <c r="AW413" i="2" s="1"/>
  <c r="BC413" i="2"/>
  <c r="AY413" i="2" s="1"/>
  <c r="BD413" i="2"/>
  <c r="AZ413" i="2" s="1"/>
  <c r="AV413" i="2"/>
  <c r="AX413" i="2"/>
  <c r="BA413" i="2"/>
  <c r="AU413" i="2" s="1"/>
  <c r="AQ414" i="2" s="1"/>
  <c r="AS414" i="2" l="1"/>
  <c r="AT413" i="2"/>
  <c r="AR414" i="2" l="1"/>
  <c r="AP414" i="2"/>
  <c r="BB414" i="2" l="1"/>
  <c r="AW414" i="2" s="1"/>
  <c r="BC414" i="2"/>
  <c r="AY414" i="2" s="1"/>
  <c r="BD414" i="2"/>
  <c r="AZ414" i="2" l="1"/>
  <c r="BA414" i="2"/>
  <c r="AU414" i="2" s="1"/>
  <c r="AV414" i="2"/>
  <c r="AT414" i="2" s="1"/>
  <c r="AX414" i="2"/>
  <c r="AR415" i="2" l="1"/>
  <c r="AP415" i="2"/>
  <c r="AQ415" i="2"/>
  <c r="AS415" i="2"/>
  <c r="BB415" i="2" l="1"/>
  <c r="AW415" i="2" s="1"/>
  <c r="BC415" i="2"/>
  <c r="AY415" i="2" s="1"/>
  <c r="BD415" i="2"/>
  <c r="BA415" i="2" s="1"/>
  <c r="AZ415" i="2"/>
  <c r="AV415" i="2"/>
  <c r="AX415" i="2" l="1"/>
  <c r="AT415" i="2" s="1"/>
  <c r="AU415" i="2"/>
  <c r="AR416" i="2" l="1"/>
  <c r="AP416" i="2"/>
  <c r="AS416" i="2"/>
  <c r="AQ416" i="2"/>
  <c r="BC416" i="2" l="1"/>
  <c r="AY416" i="2" s="1"/>
  <c r="BD416" i="2"/>
  <c r="BA416" i="2" s="1"/>
  <c r="BB416" i="2"/>
  <c r="AW416" i="2" s="1"/>
  <c r="AU416" i="2" s="1"/>
  <c r="AQ417" i="2" s="1"/>
  <c r="AV416" i="2"/>
  <c r="AZ416" i="2" l="1"/>
  <c r="AS417" i="2"/>
  <c r="AX416" i="2"/>
  <c r="AT416" i="2" s="1"/>
  <c r="AR417" i="2" l="1"/>
  <c r="AP417" i="2"/>
  <c r="BC417" i="2" l="1"/>
  <c r="AY417" i="2" s="1"/>
  <c r="BB417" i="2"/>
  <c r="AW417" i="2" s="1"/>
  <c r="BD417" i="2"/>
  <c r="BA417" i="2" s="1"/>
  <c r="AV417" i="2"/>
  <c r="AX417" i="2"/>
  <c r="AZ417" i="2" l="1"/>
  <c r="AT417" i="2" s="1"/>
  <c r="AU417" i="2"/>
  <c r="AP418" i="2" l="1"/>
  <c r="AR418" i="2"/>
  <c r="AS418" i="2"/>
  <c r="AQ418" i="2"/>
  <c r="BB418" i="2" l="1"/>
  <c r="AW418" i="2" s="1"/>
  <c r="BC418" i="2"/>
  <c r="AY418" i="2" s="1"/>
  <c r="BD418" i="2"/>
  <c r="BA418" i="2" s="1"/>
  <c r="AX418" i="2"/>
  <c r="AZ418" i="2"/>
  <c r="AV418" i="2"/>
  <c r="AT418" i="2" l="1"/>
  <c r="AU418" i="2"/>
  <c r="AQ419" i="2" l="1"/>
  <c r="AS419" i="2"/>
  <c r="AR419" i="2"/>
  <c r="AP419" i="2"/>
  <c r="BB419" i="2" l="1"/>
  <c r="AW419" i="2" s="1"/>
  <c r="BD419" i="2"/>
  <c r="BA419" i="2" s="1"/>
  <c r="BC419" i="2"/>
  <c r="AY419" i="2" s="1"/>
  <c r="AV419" i="2"/>
  <c r="AZ419" i="2"/>
  <c r="AX419" i="2" l="1"/>
  <c r="AT419" i="2" s="1"/>
  <c r="AU419" i="2"/>
  <c r="AP420" i="2" l="1"/>
  <c r="AR420" i="2"/>
  <c r="AS420" i="2"/>
  <c r="AQ420" i="2"/>
  <c r="BB420" i="2" l="1"/>
  <c r="AW420" i="2" s="1"/>
  <c r="BD420" i="2"/>
  <c r="AZ420" i="2" s="1"/>
  <c r="BC420" i="2"/>
  <c r="AY420" i="2" s="1"/>
  <c r="AX420" i="2" l="1"/>
  <c r="AV420" i="2"/>
  <c r="AT420" i="2" s="1"/>
  <c r="BA420" i="2"/>
  <c r="AU420" i="2" s="1"/>
  <c r="AQ421" i="2" l="1"/>
  <c r="AS421" i="2"/>
  <c r="AP421" i="2"/>
  <c r="AR421" i="2"/>
  <c r="BB421" i="2" l="1"/>
  <c r="AW421" i="2" s="1"/>
  <c r="BC421" i="2"/>
  <c r="AY421" i="2" s="1"/>
  <c r="BD421" i="2"/>
  <c r="BA421" i="2" s="1"/>
  <c r="AU421" i="2" l="1"/>
  <c r="AV421" i="2"/>
  <c r="AX421" i="2"/>
  <c r="AZ421" i="2"/>
  <c r="AT421" i="2" l="1"/>
  <c r="AS422" i="2"/>
  <c r="AQ422" i="2"/>
  <c r="AR422" i="2" l="1"/>
  <c r="AP422" i="2"/>
  <c r="BD422" i="2" l="1"/>
  <c r="BA422" i="2" s="1"/>
  <c r="BB422" i="2"/>
  <c r="AW422" i="2" s="1"/>
  <c r="AU422" i="2" s="1"/>
  <c r="BC422" i="2"/>
  <c r="AY422" i="2" s="1"/>
  <c r="AZ422" i="2"/>
  <c r="AQ423" i="2" l="1"/>
  <c r="AS423" i="2"/>
  <c r="AV422" i="2"/>
  <c r="AT422" i="2" s="1"/>
  <c r="AX422" i="2"/>
  <c r="AP423" i="2" l="1"/>
  <c r="AR423" i="2"/>
  <c r="BC423" i="2" l="1"/>
  <c r="BB423" i="2"/>
  <c r="BD423" i="2"/>
  <c r="BA423" i="2" s="1"/>
  <c r="AZ423" i="2" l="1"/>
  <c r="AV423" i="2"/>
  <c r="AW423" i="2"/>
  <c r="AU423" i="2" s="1"/>
  <c r="AX423" i="2"/>
  <c r="AY423" i="2"/>
  <c r="AS424" i="2" l="1"/>
  <c r="AQ424" i="2"/>
  <c r="AT423" i="2"/>
  <c r="AP424" i="2" l="1"/>
  <c r="AR424" i="2"/>
  <c r="BD424" i="2" l="1"/>
  <c r="BA424" i="2" s="1"/>
  <c r="BC424" i="2"/>
  <c r="AY424" i="2" s="1"/>
  <c r="BB424" i="2"/>
  <c r="AX424" i="2" l="1"/>
  <c r="AZ424" i="2"/>
  <c r="AV424" i="2"/>
  <c r="AT424" i="2" s="1"/>
  <c r="AW424" i="2"/>
  <c r="AU424" i="2" s="1"/>
  <c r="AS425" i="2" l="1"/>
  <c r="AQ425" i="2"/>
  <c r="AR425" i="2"/>
  <c r="AP425" i="2"/>
  <c r="BB425" i="2" l="1"/>
  <c r="AV425" i="2" s="1"/>
  <c r="BD425" i="2"/>
  <c r="BA425" i="2" s="1"/>
  <c r="BC425" i="2"/>
  <c r="AY425" i="2" s="1"/>
  <c r="AZ425" i="2"/>
  <c r="AW425" i="2"/>
  <c r="AU425" i="2" l="1"/>
  <c r="AX425" i="2"/>
  <c r="AT425" i="2" s="1"/>
  <c r="AP426" i="2" l="1"/>
  <c r="AR426" i="2"/>
  <c r="AQ426" i="2"/>
  <c r="AS426" i="2"/>
  <c r="BD426" i="2" l="1"/>
  <c r="AZ426" i="2" s="1"/>
  <c r="BC426" i="2"/>
  <c r="AY426" i="2" s="1"/>
  <c r="BB426" i="2"/>
  <c r="AV426" i="2" s="1"/>
  <c r="AW426" i="2" l="1"/>
  <c r="BA426" i="2"/>
  <c r="AX426" i="2"/>
  <c r="AT426" i="2" s="1"/>
  <c r="AR427" i="2" l="1"/>
  <c r="AP427" i="2"/>
  <c r="AU426" i="2"/>
  <c r="AS427" i="2" l="1"/>
  <c r="AQ427" i="2"/>
  <c r="BC427" i="2" l="1"/>
  <c r="AX427" i="2" s="1"/>
  <c r="BD427" i="2"/>
  <c r="BB427" i="2"/>
  <c r="AV427" i="2" s="1"/>
  <c r="AW427" i="2" l="1"/>
  <c r="BA427" i="2"/>
  <c r="AZ427" i="2"/>
  <c r="AT427" i="2" s="1"/>
  <c r="AY427" i="2"/>
  <c r="AP428" i="2" l="1"/>
  <c r="AR428" i="2"/>
  <c r="AU427" i="2"/>
  <c r="AS428" i="2" l="1"/>
  <c r="AQ428" i="2"/>
  <c r="BD428" i="2" s="1"/>
  <c r="AZ428" i="2" s="1"/>
  <c r="BA428" i="2" l="1"/>
  <c r="BC428" i="2"/>
  <c r="AX428" i="2" s="1"/>
  <c r="BB428" i="2"/>
  <c r="AV428" i="2" s="1"/>
  <c r="AT428" i="2" s="1"/>
  <c r="AR429" i="2" l="1"/>
  <c r="AP429" i="2"/>
  <c r="AY428" i="2"/>
  <c r="AW428" i="2"/>
  <c r="AU428" i="2" s="1"/>
  <c r="AS429" i="2" l="1"/>
  <c r="AQ429" i="2"/>
  <c r="BB429" i="2" s="1"/>
  <c r="AV429" i="2" s="1"/>
  <c r="BC429" i="2"/>
  <c r="AX429" i="2" s="1"/>
  <c r="AW429" i="2" l="1"/>
  <c r="AY429" i="2"/>
  <c r="BD429" i="2"/>
  <c r="BA429" i="2" l="1"/>
  <c r="AZ429" i="2"/>
  <c r="AT429" i="2" s="1"/>
  <c r="AU429" i="2"/>
  <c r="AS430" i="2" l="1"/>
  <c r="AQ430" i="2"/>
  <c r="AP430" i="2"/>
  <c r="AR430" i="2"/>
  <c r="BC430" i="2" l="1"/>
  <c r="AX430" i="2" s="1"/>
  <c r="BD430" i="2"/>
  <c r="AZ430" i="2" s="1"/>
  <c r="BB430" i="2"/>
  <c r="AV430" i="2" s="1"/>
  <c r="AT430" i="2" l="1"/>
  <c r="AW430" i="2"/>
  <c r="AY430" i="2"/>
  <c r="BA430" i="2"/>
  <c r="AU430" i="2" l="1"/>
  <c r="AR431" i="2"/>
  <c r="AP431" i="2"/>
  <c r="AQ431" i="2" l="1"/>
  <c r="AS431" i="2"/>
  <c r="BB431" i="2" l="1"/>
  <c r="AV431" i="2" s="1"/>
  <c r="BC431" i="2"/>
  <c r="AX431" i="2" s="1"/>
  <c r="BD431" i="2"/>
  <c r="AZ431" i="2" s="1"/>
  <c r="BA431" i="2" l="1"/>
  <c r="AT431" i="2"/>
  <c r="AW431" i="2"/>
  <c r="AU431" i="2" s="1"/>
  <c r="AY431" i="2"/>
  <c r="AQ432" i="2" l="1"/>
  <c r="AS432" i="2"/>
  <c r="AR432" i="2"/>
  <c r="AP432" i="2"/>
  <c r="BD432" i="2" l="1"/>
  <c r="AZ432" i="2" s="1"/>
  <c r="BB432" i="2"/>
  <c r="AV432" i="2" s="1"/>
  <c r="BC432" i="2"/>
  <c r="AX432" i="2" s="1"/>
  <c r="BA432" i="2"/>
  <c r="AT432" i="2" l="1"/>
  <c r="AW432" i="2"/>
  <c r="AU432" i="2" s="1"/>
  <c r="AY432" i="2"/>
  <c r="AQ433" i="2" l="1"/>
  <c r="AS433" i="2"/>
  <c r="AP433" i="2"/>
  <c r="AR433" i="2"/>
  <c r="BB433" i="2" l="1"/>
  <c r="AW433" i="2" s="1"/>
  <c r="BC433" i="2"/>
  <c r="AY433" i="2" s="1"/>
  <c r="BD433" i="2"/>
  <c r="BA433" i="2" s="1"/>
  <c r="AX433" i="2"/>
  <c r="AZ433" i="2"/>
  <c r="AV433" i="2" l="1"/>
  <c r="AT433" i="2" s="1"/>
  <c r="AU433" i="2"/>
  <c r="AR434" i="2" l="1"/>
  <c r="AP434" i="2"/>
  <c r="AS434" i="2"/>
  <c r="AQ434" i="2"/>
  <c r="BB434" i="2" l="1"/>
  <c r="AW434" i="2" s="1"/>
  <c r="AU434" i="2" s="1"/>
  <c r="AQ435" i="2" s="1"/>
  <c r="BC434" i="2"/>
  <c r="AY434" i="2" s="1"/>
  <c r="BD434" i="2"/>
  <c r="BA434" i="2" s="1"/>
  <c r="AX434" i="2"/>
  <c r="AZ434" i="2"/>
  <c r="AV434" i="2" l="1"/>
  <c r="AT434" i="2" s="1"/>
  <c r="AS435" i="2"/>
  <c r="AR435" i="2" l="1"/>
  <c r="AP435" i="2"/>
  <c r="BC435" i="2" l="1"/>
  <c r="AY435" i="2" s="1"/>
  <c r="BD435" i="2"/>
  <c r="AX435" i="2"/>
  <c r="BB435" i="2"/>
  <c r="AW435" i="2" s="1"/>
  <c r="AZ435" i="2" l="1"/>
  <c r="BA435" i="2"/>
  <c r="AU435" i="2" s="1"/>
  <c r="AV435" i="2"/>
  <c r="AT435" i="2" s="1"/>
  <c r="AR436" i="2" l="1"/>
  <c r="AP436" i="2"/>
  <c r="AQ436" i="2"/>
  <c r="AS436" i="2"/>
  <c r="BB436" i="2" l="1"/>
  <c r="AW436" i="2" s="1"/>
  <c r="BD436" i="2"/>
  <c r="BA436" i="2" s="1"/>
  <c r="BC436" i="2"/>
  <c r="AY436" i="2" s="1"/>
  <c r="AZ436" i="2" l="1"/>
  <c r="AX436" i="2"/>
  <c r="AV436" i="2"/>
  <c r="AU436" i="2"/>
  <c r="AS437" i="2" l="1"/>
  <c r="AQ437" i="2"/>
  <c r="AT436" i="2"/>
  <c r="AP437" i="2" l="1"/>
  <c r="AR437" i="2"/>
  <c r="BD437" i="2" l="1"/>
  <c r="BA437" i="2" s="1"/>
  <c r="BB437" i="2"/>
  <c r="AW437" i="2" s="1"/>
  <c r="AU437" i="2" s="1"/>
  <c r="BC437" i="2"/>
  <c r="AY437" i="2" s="1"/>
  <c r="AZ437" i="2"/>
  <c r="AQ438" i="2" l="1"/>
  <c r="AS438" i="2"/>
  <c r="AX437" i="2"/>
  <c r="AV437" i="2"/>
  <c r="AT437" i="2" l="1"/>
  <c r="AP438" i="2" l="1"/>
  <c r="AR438" i="2"/>
  <c r="BB438" i="2" l="1"/>
  <c r="AW438" i="2" s="1"/>
  <c r="AX438" i="2"/>
  <c r="BD438" i="2"/>
  <c r="BA438" i="2" s="1"/>
  <c r="BC438" i="2"/>
  <c r="AY438" i="2" s="1"/>
  <c r="AV438" i="2"/>
  <c r="AZ438" i="2"/>
  <c r="AT438" i="2" s="1"/>
  <c r="AR439" i="2" s="1"/>
  <c r="AP439" i="2" l="1"/>
  <c r="AU438" i="2"/>
  <c r="AQ439" i="2" l="1"/>
  <c r="AS439" i="2"/>
  <c r="BC439" i="2"/>
  <c r="AY439" i="2" s="1"/>
  <c r="BD439" i="2"/>
  <c r="BA439" i="2" s="1"/>
  <c r="BB439" i="2"/>
  <c r="AW439" i="2" s="1"/>
  <c r="AV439" i="2"/>
  <c r="AX439" i="2"/>
  <c r="AZ439" i="2"/>
  <c r="AT439" i="2" l="1"/>
  <c r="AU439" i="2"/>
  <c r="AS440" i="2" s="1"/>
  <c r="AQ440" i="2"/>
  <c r="AR440" i="2" l="1"/>
  <c r="AP440" i="2"/>
  <c r="BC440" i="2" l="1"/>
  <c r="AY440" i="2" s="1"/>
  <c r="BD440" i="2"/>
  <c r="AX440" i="2"/>
  <c r="BB440" i="2"/>
  <c r="AV440" i="2" l="1"/>
  <c r="AW440" i="2"/>
  <c r="AZ440" i="2"/>
  <c r="BA440" i="2"/>
  <c r="AU440" i="2" l="1"/>
  <c r="AT440" i="2"/>
  <c r="AP441" i="2" l="1"/>
  <c r="AR441" i="2"/>
  <c r="AS441" i="2"/>
  <c r="AQ441" i="2"/>
  <c r="BC441" i="2" l="1"/>
  <c r="AY441" i="2" s="1"/>
  <c r="BB441" i="2"/>
  <c r="AW441" i="2" s="1"/>
  <c r="BD441" i="2"/>
  <c r="BA441" i="2" s="1"/>
  <c r="AX441" i="2"/>
  <c r="AU441" i="2" l="1"/>
  <c r="AV441" i="2"/>
  <c r="AZ441" i="2"/>
  <c r="AT441" i="2" l="1"/>
  <c r="AQ442" i="2"/>
  <c r="AS442" i="2"/>
  <c r="AP442" i="2" l="1"/>
  <c r="AR442" i="2"/>
  <c r="BD442" i="2" l="1"/>
  <c r="BA442" i="2" s="1"/>
  <c r="BC442" i="2"/>
  <c r="AY442" i="2" s="1"/>
  <c r="BB442" i="2"/>
  <c r="AW442" i="2" s="1"/>
  <c r="AV442" i="2"/>
  <c r="AX442" i="2" l="1"/>
  <c r="AZ442" i="2"/>
  <c r="AT442" i="2" s="1"/>
  <c r="AU442" i="2"/>
  <c r="AR443" i="2" l="1"/>
  <c r="AP443" i="2"/>
  <c r="AQ443" i="2"/>
  <c r="AS443" i="2"/>
  <c r="BB443" i="2" l="1"/>
  <c r="AW443" i="2" s="1"/>
  <c r="BC443" i="2"/>
  <c r="AX443" i="2" s="1"/>
  <c r="BD443" i="2"/>
  <c r="BA443" i="2" s="1"/>
  <c r="AV443" i="2"/>
  <c r="AY443" i="2" l="1"/>
  <c r="AU443" i="2" s="1"/>
  <c r="AZ443" i="2"/>
  <c r="AT443" i="2"/>
  <c r="AR444" i="2" l="1"/>
  <c r="AP444" i="2"/>
  <c r="AS444" i="2"/>
  <c r="AQ444" i="2"/>
  <c r="BB444" i="2" l="1"/>
  <c r="AV444" i="2" s="1"/>
  <c r="BD444" i="2"/>
  <c r="AZ444" i="2" s="1"/>
  <c r="BC444" i="2"/>
  <c r="AY444" i="2" s="1"/>
  <c r="AX444" i="2" l="1"/>
  <c r="AT444" i="2" s="1"/>
  <c r="AW444" i="2"/>
  <c r="BA444" i="2"/>
  <c r="AU444" i="2" l="1"/>
  <c r="AR445" i="2"/>
  <c r="AP445" i="2"/>
  <c r="BD445" i="2" l="1"/>
  <c r="BA445" i="2" s="1"/>
  <c r="BC445" i="2"/>
  <c r="AX445" i="2" s="1"/>
  <c r="AS445" i="2"/>
  <c r="AQ445" i="2"/>
  <c r="BB445" i="2" s="1"/>
  <c r="AV445" i="2" s="1"/>
  <c r="AZ445" i="2" l="1"/>
  <c r="AT445" i="2" s="1"/>
  <c r="AY445" i="2"/>
  <c r="AW445" i="2"/>
  <c r="AU445" i="2" s="1"/>
  <c r="AS446" i="2" s="1"/>
  <c r="AR446" i="2" l="1"/>
  <c r="AP446" i="2"/>
  <c r="AQ446" i="2"/>
  <c r="BB446" i="2" l="1"/>
  <c r="AV446" i="2" s="1"/>
  <c r="BD446" i="2"/>
  <c r="BA446" i="2" s="1"/>
  <c r="BC446" i="2"/>
  <c r="AX446" i="2" s="1"/>
  <c r="AY446" i="2" l="1"/>
  <c r="AW446" i="2"/>
  <c r="AU446" i="2" s="1"/>
  <c r="AZ446" i="2"/>
  <c r="AT446" i="2" s="1"/>
  <c r="AR447" i="2" l="1"/>
  <c r="AP447" i="2"/>
  <c r="AS447" i="2"/>
  <c r="AQ447" i="2"/>
  <c r="BD447" i="2" l="1"/>
  <c r="BA447" i="2" s="1"/>
  <c r="BC447" i="2"/>
  <c r="AY447" i="2" s="1"/>
  <c r="BB447" i="2"/>
  <c r="AV447" i="2" s="1"/>
  <c r="AZ447" i="2" l="1"/>
  <c r="AX447" i="2"/>
  <c r="AT447" i="2"/>
  <c r="AW447" i="2"/>
  <c r="AU447" i="2" s="1"/>
  <c r="AS448" i="2" l="1"/>
  <c r="AQ448" i="2"/>
  <c r="AR448" i="2"/>
  <c r="AP448" i="2"/>
  <c r="BB448" i="2" l="1"/>
  <c r="AW448" i="2" s="1"/>
  <c r="BC448" i="2"/>
  <c r="AY448" i="2" s="1"/>
  <c r="BD448" i="2"/>
  <c r="BA448" i="2" s="1"/>
  <c r="AV448" i="2"/>
  <c r="AZ448" i="2" l="1"/>
  <c r="AX448" i="2"/>
  <c r="AT448" i="2" s="1"/>
  <c r="AU448" i="2"/>
  <c r="AR449" i="2" l="1"/>
  <c r="AP449" i="2"/>
  <c r="AS449" i="2"/>
  <c r="AQ449" i="2"/>
  <c r="BC449" i="2" l="1"/>
  <c r="AY449" i="2" s="1"/>
  <c r="BD449" i="2"/>
  <c r="BA449" i="2" s="1"/>
  <c r="BB449" i="2"/>
  <c r="AW449" i="2" s="1"/>
  <c r="AU449" i="2" s="1"/>
  <c r="AQ450" i="2" s="1"/>
  <c r="AZ449" i="2"/>
  <c r="AX449" i="2" l="1"/>
  <c r="AV449" i="2"/>
  <c r="AT449" i="2" s="1"/>
  <c r="AS450" i="2"/>
  <c r="AP450" i="2" l="1"/>
  <c r="AR450" i="2"/>
  <c r="BB450" i="2" l="1"/>
  <c r="AW450" i="2" s="1"/>
  <c r="BC450" i="2"/>
  <c r="AY450" i="2" s="1"/>
  <c r="BD450" i="2"/>
  <c r="BA450" i="2" s="1"/>
  <c r="AV450" i="2"/>
  <c r="AX450" i="2"/>
  <c r="AZ450" i="2"/>
  <c r="AT450" i="2" l="1"/>
  <c r="AU450" i="2"/>
  <c r="AQ451" i="2" l="1"/>
  <c r="AS451" i="2"/>
  <c r="AP451" i="2"/>
  <c r="AR451" i="2"/>
  <c r="BB451" i="2" l="1"/>
  <c r="AV451" i="2" s="1"/>
  <c r="BD451" i="2"/>
  <c r="AZ451" i="2" s="1"/>
  <c r="BC451" i="2"/>
  <c r="AY451" i="2" s="1"/>
  <c r="BA451" i="2"/>
  <c r="AW451" i="2"/>
  <c r="AU451" i="2" s="1"/>
  <c r="AQ452" i="2" s="1"/>
  <c r="AX451" i="2" l="1"/>
  <c r="AT451" i="2" s="1"/>
  <c r="AS452" i="2"/>
  <c r="AR452" i="2" l="1"/>
  <c r="AP452" i="2"/>
  <c r="BB452" i="2" l="1"/>
  <c r="BD452" i="2"/>
  <c r="BA452" i="2" s="1"/>
  <c r="BC452" i="2"/>
  <c r="AX452" i="2" l="1"/>
  <c r="AY452" i="2"/>
  <c r="AZ452" i="2"/>
  <c r="AV452" i="2"/>
  <c r="AW452" i="2"/>
  <c r="AU452" i="2" s="1"/>
  <c r="AT452" i="2" l="1"/>
  <c r="AQ453" i="2"/>
  <c r="AS453" i="2"/>
  <c r="AP453" i="2" l="1"/>
  <c r="AR453" i="2"/>
  <c r="BD453" i="2" l="1"/>
  <c r="BC453" i="2"/>
  <c r="BB453" i="2"/>
  <c r="AV453" i="2" l="1"/>
  <c r="AW453" i="2"/>
  <c r="AX453" i="2"/>
  <c r="AY453" i="2"/>
  <c r="AZ453" i="2"/>
  <c r="BA453" i="2"/>
  <c r="AU453" i="2" l="1"/>
  <c r="AT453" i="2"/>
  <c r="AP454" i="2" l="1"/>
  <c r="AR454" i="2"/>
  <c r="AS454" i="2"/>
  <c r="AQ454" i="2"/>
  <c r="BB454" i="2" l="1"/>
  <c r="AV454" i="2" s="1"/>
  <c r="BD454" i="2"/>
  <c r="AZ454" i="2" s="1"/>
  <c r="AT454" i="2" s="1"/>
  <c r="BC454" i="2"/>
  <c r="AX454" i="2" s="1"/>
  <c r="AR455" i="2" l="1"/>
  <c r="AP455" i="2"/>
  <c r="BA454" i="2"/>
  <c r="AW454" i="2"/>
  <c r="AY454" i="2"/>
  <c r="AU454" i="2" l="1"/>
  <c r="AS455" i="2" l="1"/>
  <c r="AQ455" i="2"/>
  <c r="BB455" i="2" l="1"/>
  <c r="BC455" i="2"/>
  <c r="AX455" i="2" s="1"/>
  <c r="BD455" i="2"/>
  <c r="AW455" i="2" l="1"/>
  <c r="AV455" i="2"/>
  <c r="BA455" i="2"/>
  <c r="AZ455" i="2"/>
  <c r="AY455" i="2"/>
  <c r="AT455" i="2" l="1"/>
  <c r="AU455" i="2"/>
  <c r="AQ456" i="2" l="1"/>
  <c r="AS456" i="2"/>
  <c r="AR456" i="2"/>
  <c r="AP456" i="2"/>
  <c r="BC456" i="2" l="1"/>
  <c r="AY456" i="2" s="1"/>
  <c r="BB456" i="2"/>
  <c r="AW456" i="2" s="1"/>
  <c r="BD456" i="2"/>
  <c r="BA456" i="2" s="1"/>
  <c r="AX456" i="2"/>
  <c r="AV456" i="2"/>
  <c r="AZ456" i="2" l="1"/>
  <c r="AT456" i="2"/>
  <c r="AU456" i="2"/>
  <c r="AS457" i="2" l="1"/>
  <c r="AQ457" i="2"/>
  <c r="AP457" i="2"/>
  <c r="AR457" i="2"/>
  <c r="BD457" i="2" l="1"/>
  <c r="BA457" i="2" s="1"/>
  <c r="AU457" i="2" s="1"/>
  <c r="AQ458" i="2" s="1"/>
  <c r="BB457" i="2"/>
  <c r="AW457" i="2" s="1"/>
  <c r="BC457" i="2"/>
  <c r="AY457" i="2" s="1"/>
  <c r="AX457" i="2"/>
  <c r="AZ457" i="2"/>
  <c r="AS458" i="2" l="1"/>
  <c r="AV457" i="2"/>
  <c r="AT457" i="2" s="1"/>
  <c r="AR458" i="2" l="1"/>
  <c r="AP458" i="2"/>
  <c r="BC458" i="2" l="1"/>
  <c r="AY458" i="2" s="1"/>
  <c r="BD458" i="2"/>
  <c r="BA458" i="2" s="1"/>
  <c r="BB458" i="2"/>
  <c r="AW458" i="2" s="1"/>
  <c r="AZ458" i="2"/>
  <c r="AV458" i="2"/>
  <c r="AX458" i="2" l="1"/>
  <c r="AT458" i="2" s="1"/>
  <c r="AU458" i="2"/>
  <c r="AR459" i="2" l="1"/>
  <c r="AP459" i="2"/>
  <c r="AS459" i="2"/>
  <c r="AQ459" i="2"/>
  <c r="BB459" i="2" l="1"/>
  <c r="AW459" i="2" s="1"/>
  <c r="AU459" i="2" s="1"/>
  <c r="AQ460" i="2" s="1"/>
  <c r="BD459" i="2"/>
  <c r="BA459" i="2" s="1"/>
  <c r="BC459" i="2"/>
  <c r="AY459" i="2" s="1"/>
  <c r="AV459" i="2"/>
  <c r="AX459" i="2"/>
  <c r="AZ459" i="2" l="1"/>
  <c r="AT459" i="2" s="1"/>
  <c r="AS460" i="2"/>
  <c r="AR460" i="2" l="1"/>
  <c r="AP460" i="2"/>
  <c r="BB460" i="2" l="1"/>
  <c r="AW460" i="2" s="1"/>
  <c r="BD460" i="2"/>
  <c r="BC460" i="2"/>
  <c r="AY460" i="2" s="1"/>
  <c r="AV460" i="2" l="1"/>
  <c r="AT460" i="2" s="1"/>
  <c r="AX460" i="2"/>
  <c r="AZ460" i="2"/>
  <c r="BA460" i="2"/>
  <c r="AU460" i="2"/>
  <c r="AQ461" i="2" l="1"/>
  <c r="AS461" i="2"/>
  <c r="AP461" i="2"/>
  <c r="AR461" i="2"/>
  <c r="BC461" i="2" l="1"/>
  <c r="AY461" i="2" s="1"/>
  <c r="BD461" i="2"/>
  <c r="BA461" i="2" s="1"/>
  <c r="AU461" i="2" s="1"/>
  <c r="AS462" i="2" s="1"/>
  <c r="BB461" i="2"/>
  <c r="AW461" i="2" s="1"/>
  <c r="AX461" i="2"/>
  <c r="AZ461" i="2"/>
  <c r="AQ462" i="2"/>
  <c r="AV461" i="2" l="1"/>
  <c r="AT461" i="2" s="1"/>
  <c r="AR462" i="2" l="1"/>
  <c r="AP462" i="2"/>
  <c r="BC462" i="2" l="1"/>
  <c r="AY462" i="2" s="1"/>
  <c r="BD462" i="2"/>
  <c r="BA462" i="2" s="1"/>
  <c r="BB462" i="2"/>
  <c r="AW462" i="2" s="1"/>
  <c r="AU462" i="2" s="1"/>
  <c r="AZ462" i="2"/>
  <c r="AV462" i="2" l="1"/>
  <c r="AT462" i="2" s="1"/>
  <c r="AX462" i="2"/>
  <c r="AS463" i="2"/>
  <c r="AQ463" i="2"/>
  <c r="AP463" i="2" l="1"/>
  <c r="AR463" i="2"/>
  <c r="BD463" i="2" l="1"/>
  <c r="BA463" i="2" s="1"/>
  <c r="BC463" i="2"/>
  <c r="AY463" i="2" s="1"/>
  <c r="BB463" i="2"/>
  <c r="AW463" i="2" s="1"/>
  <c r="AU463" i="2" l="1"/>
  <c r="AX463" i="2"/>
  <c r="AZ463" i="2"/>
  <c r="AV463" i="2"/>
  <c r="AT463" i="2" l="1"/>
  <c r="AQ464" i="2"/>
  <c r="AS464" i="2"/>
  <c r="AR464" i="2" l="1"/>
  <c r="AP464" i="2"/>
  <c r="BC464" i="2" l="1"/>
  <c r="AY464" i="2" s="1"/>
  <c r="BB464" i="2"/>
  <c r="AW464" i="2" s="1"/>
  <c r="BD464" i="2"/>
  <c r="BA464" i="2" s="1"/>
  <c r="AX464" i="2"/>
  <c r="AV464" i="2" l="1"/>
  <c r="AZ464" i="2"/>
  <c r="AU464" i="2"/>
  <c r="AS465" i="2" l="1"/>
  <c r="AQ465" i="2"/>
  <c r="AT464" i="2"/>
  <c r="AR465" i="2" l="1"/>
  <c r="AP465" i="2"/>
  <c r="BB465" i="2" l="1"/>
  <c r="AW465" i="2" s="1"/>
  <c r="AU465" i="2" s="1"/>
  <c r="BD465" i="2"/>
  <c r="BA465" i="2" s="1"/>
  <c r="BC465" i="2"/>
  <c r="AY465" i="2" s="1"/>
  <c r="AZ465" i="2"/>
  <c r="AX465" i="2"/>
  <c r="AV465" i="2" l="1"/>
  <c r="AT465" i="2"/>
  <c r="AQ466" i="2"/>
  <c r="AS466" i="2"/>
  <c r="AP466" i="2" l="1"/>
  <c r="AR466" i="2"/>
  <c r="BD466" i="2" l="1"/>
  <c r="BA466" i="2" s="1"/>
  <c r="BB466" i="2"/>
  <c r="AW466" i="2" s="1"/>
  <c r="AU466" i="2" s="1"/>
  <c r="BC466" i="2"/>
  <c r="AY466" i="2" s="1"/>
  <c r="AS467" i="2" l="1"/>
  <c r="AQ467" i="2"/>
  <c r="AX466" i="2"/>
  <c r="AZ466" i="2"/>
  <c r="AV466" i="2"/>
  <c r="AT466" i="2" l="1"/>
  <c r="AR467" i="2" l="1"/>
  <c r="AP467" i="2"/>
  <c r="BD467" i="2" l="1"/>
  <c r="BA467" i="2" s="1"/>
  <c r="BB467" i="2"/>
  <c r="AW467" i="2" s="1"/>
  <c r="BC467" i="2"/>
  <c r="AY467" i="2" s="1"/>
  <c r="AV467" i="2"/>
  <c r="AX467" i="2"/>
  <c r="AZ467" i="2" l="1"/>
  <c r="AT467" i="2" s="1"/>
  <c r="AU467" i="2"/>
  <c r="AP468" i="2" l="1"/>
  <c r="AR468" i="2"/>
  <c r="AQ468" i="2"/>
  <c r="AS468" i="2"/>
  <c r="BB468" i="2" l="1"/>
  <c r="AW468" i="2" s="1"/>
  <c r="BD468" i="2"/>
  <c r="BA468" i="2" s="1"/>
  <c r="BC468" i="2"/>
  <c r="AY468" i="2" s="1"/>
  <c r="AZ468" i="2"/>
  <c r="AV468" i="2" l="1"/>
  <c r="AX468" i="2"/>
  <c r="AU468" i="2"/>
  <c r="AQ469" i="2" l="1"/>
  <c r="AS469" i="2"/>
  <c r="AT468" i="2"/>
  <c r="AR469" i="2" l="1"/>
  <c r="AP469" i="2"/>
  <c r="BB469" i="2" l="1"/>
  <c r="AW469" i="2" s="1"/>
  <c r="BC469" i="2"/>
  <c r="AY469" i="2" s="1"/>
  <c r="BD469" i="2"/>
  <c r="BA469" i="2" s="1"/>
  <c r="AV469" i="2"/>
  <c r="AZ469" i="2"/>
  <c r="AX469" i="2" l="1"/>
  <c r="AU469" i="2"/>
  <c r="AT469" i="2"/>
  <c r="AR470" i="2" l="1"/>
  <c r="AP470" i="2"/>
  <c r="AS470" i="2"/>
  <c r="AQ470" i="2"/>
  <c r="BB470" i="2" l="1"/>
  <c r="AW470" i="2" s="1"/>
  <c r="BC470" i="2"/>
  <c r="AY470" i="2" s="1"/>
  <c r="BD470" i="2"/>
  <c r="BA470" i="2" s="1"/>
  <c r="AV470" i="2"/>
  <c r="AX470" i="2"/>
  <c r="AZ470" i="2" l="1"/>
  <c r="AT470" i="2" s="1"/>
  <c r="AU470" i="2"/>
  <c r="AR471" i="2" l="1"/>
  <c r="AP471" i="2"/>
  <c r="AQ471" i="2"/>
  <c r="AS471" i="2"/>
  <c r="BC471" i="2" l="1"/>
  <c r="AY471" i="2" s="1"/>
  <c r="BD471" i="2"/>
  <c r="BA471" i="2" s="1"/>
  <c r="BB471" i="2"/>
  <c r="AW471" i="2" s="1"/>
  <c r="AZ471" i="2" l="1"/>
  <c r="AV471" i="2"/>
  <c r="AX471" i="2"/>
  <c r="AU471" i="2"/>
  <c r="AS472" i="2" l="1"/>
  <c r="AQ472" i="2"/>
  <c r="AT471" i="2"/>
  <c r="AR472" i="2" l="1"/>
  <c r="AP472" i="2"/>
  <c r="BC472" i="2" l="1"/>
  <c r="AY472" i="2" s="1"/>
  <c r="BD472" i="2"/>
  <c r="BA472" i="2" s="1"/>
  <c r="BB472" i="2"/>
  <c r="AW472" i="2" s="1"/>
  <c r="AU472" i="2" s="1"/>
  <c r="AX472" i="2"/>
  <c r="AZ472" i="2"/>
  <c r="AQ473" i="2" l="1"/>
  <c r="AS473" i="2"/>
  <c r="AV472" i="2"/>
  <c r="AT472" i="2" s="1"/>
  <c r="AP473" i="2" l="1"/>
  <c r="AR473" i="2"/>
  <c r="BD473" i="2" l="1"/>
  <c r="BA473" i="2" s="1"/>
  <c r="BC473" i="2"/>
  <c r="AY473" i="2" s="1"/>
  <c r="BB473" i="2"/>
  <c r="AZ473" i="2"/>
  <c r="AV473" i="2" l="1"/>
  <c r="AW473" i="2"/>
  <c r="AU473" i="2" s="1"/>
  <c r="AX473" i="2"/>
  <c r="AS474" i="2" l="1"/>
  <c r="AQ474" i="2"/>
  <c r="AT473" i="2"/>
  <c r="AR474" i="2" l="1"/>
  <c r="AP474" i="2"/>
  <c r="BB474" i="2" l="1"/>
  <c r="AW474" i="2" s="1"/>
  <c r="BC474" i="2"/>
  <c r="AY474" i="2" s="1"/>
  <c r="BD474" i="2"/>
  <c r="BA474" i="2" s="1"/>
  <c r="AU474" i="2" l="1"/>
  <c r="AV474" i="2"/>
  <c r="AX474" i="2"/>
  <c r="AZ474" i="2"/>
  <c r="AT474" i="2" l="1"/>
  <c r="AQ475" i="2"/>
  <c r="AS475" i="2"/>
  <c r="AR475" i="2" l="1"/>
  <c r="AP475" i="2"/>
  <c r="BC475" i="2" l="1"/>
  <c r="AY475" i="2" s="1"/>
  <c r="BD475" i="2"/>
  <c r="BA475" i="2" s="1"/>
  <c r="BB475" i="2"/>
  <c r="AW475" i="2" s="1"/>
  <c r="AV475" i="2"/>
  <c r="AZ475" i="2" l="1"/>
  <c r="AX475" i="2"/>
  <c r="AU475" i="2"/>
  <c r="AQ476" i="2" l="1"/>
  <c r="AS476" i="2"/>
  <c r="AT475" i="2"/>
  <c r="AR476" i="2" l="1"/>
  <c r="AP476" i="2"/>
  <c r="BC476" i="2" l="1"/>
  <c r="AY476" i="2" s="1"/>
  <c r="BD476" i="2"/>
  <c r="BA476" i="2" s="1"/>
  <c r="AX476" i="2"/>
  <c r="BB476" i="2"/>
  <c r="AW476" i="2" s="1"/>
  <c r="AU476" i="2" s="1"/>
  <c r="AZ476" i="2"/>
  <c r="AS477" i="2" l="1"/>
  <c r="AQ477" i="2"/>
  <c r="AV476" i="2"/>
  <c r="AT476" i="2" s="1"/>
  <c r="AP477" i="2" l="1"/>
  <c r="AR477" i="2"/>
  <c r="BB477" i="2" l="1"/>
  <c r="AW477" i="2" s="1"/>
  <c r="AZ477" i="2"/>
  <c r="BC477" i="2"/>
  <c r="AY477" i="2" s="1"/>
  <c r="AU477" i="2" s="1"/>
  <c r="BD477" i="2"/>
  <c r="BA477" i="2" s="1"/>
  <c r="AX477" i="2"/>
  <c r="AV477" i="2"/>
  <c r="AT477" i="2" s="1"/>
  <c r="AR478" i="2" s="1"/>
  <c r="AP478" i="2" l="1"/>
  <c r="AQ478" i="2"/>
  <c r="AS478" i="2"/>
  <c r="BC478" i="2" l="1"/>
  <c r="AY478" i="2" s="1"/>
  <c r="BB478" i="2"/>
  <c r="AV478" i="2" s="1"/>
  <c r="BD478" i="2"/>
  <c r="BA478" i="2" s="1"/>
  <c r="AX478" i="2" l="1"/>
  <c r="AZ478" i="2"/>
  <c r="AT478" i="2" s="1"/>
  <c r="AW478" i="2"/>
  <c r="AU478" i="2" s="1"/>
  <c r="AS479" i="2" l="1"/>
  <c r="AQ479" i="2"/>
  <c r="AR479" i="2"/>
  <c r="AP479" i="2"/>
  <c r="BC479" i="2" l="1"/>
  <c r="AX479" i="2" s="1"/>
  <c r="BD479" i="2"/>
  <c r="AZ479" i="2" s="1"/>
  <c r="BB479" i="2"/>
  <c r="AV479" i="2" s="1"/>
  <c r="AT479" i="2" s="1"/>
  <c r="AR480" i="2" s="1"/>
  <c r="AY479" i="2"/>
  <c r="AW479" i="2" l="1"/>
  <c r="BA479" i="2"/>
  <c r="AP480" i="2"/>
  <c r="AU479" i="2" l="1"/>
  <c r="AS480" i="2" l="1"/>
  <c r="AQ480" i="2"/>
  <c r="BB480" i="2" l="1"/>
  <c r="AV480" i="2" s="1"/>
  <c r="AW480" i="2"/>
  <c r="BC480" i="2"/>
  <c r="AX480" i="2" s="1"/>
  <c r="BD480" i="2"/>
  <c r="AZ480" i="2" s="1"/>
  <c r="BA480" i="2" l="1"/>
  <c r="AY480" i="2"/>
  <c r="AT480" i="2"/>
  <c r="AR481" i="2" l="1"/>
  <c r="AP481" i="2"/>
  <c r="AU480" i="2"/>
  <c r="BB481" i="2" l="1"/>
  <c r="AV481" i="2" s="1"/>
  <c r="AS481" i="2"/>
  <c r="AQ481" i="2"/>
  <c r="BC481" i="2" s="1"/>
  <c r="AY481" i="2" l="1"/>
  <c r="AX481" i="2"/>
  <c r="AT481" i="2" s="1"/>
  <c r="AW481" i="2"/>
  <c r="BD481" i="2"/>
  <c r="AZ481" i="2" s="1"/>
  <c r="AR482" i="2" l="1"/>
  <c r="AP482" i="2"/>
  <c r="BA481" i="2"/>
  <c r="AU481" i="2" s="1"/>
  <c r="AQ482" i="2" l="1"/>
  <c r="AS482" i="2"/>
  <c r="BC482" i="2"/>
  <c r="AY482" i="2" s="1"/>
  <c r="BD482" i="2"/>
  <c r="BA482" i="2" s="1"/>
  <c r="BB482" i="2"/>
  <c r="AW482" i="2" s="1"/>
  <c r="AV482" i="2"/>
  <c r="AX482" i="2"/>
  <c r="AZ482" i="2" l="1"/>
  <c r="AT482" i="2" s="1"/>
  <c r="AU482" i="2"/>
  <c r="AQ483" i="2" s="1"/>
  <c r="AP483" i="2" l="1"/>
  <c r="AR483" i="2"/>
  <c r="AS483" i="2"/>
  <c r="BC483" i="2" l="1"/>
  <c r="AY483" i="2" s="1"/>
  <c r="BB483" i="2"/>
  <c r="AW483" i="2" s="1"/>
  <c r="BD483" i="2"/>
  <c r="BA483" i="2" s="1"/>
  <c r="AX483" i="2" l="1"/>
  <c r="AZ483" i="2"/>
  <c r="AV483" i="2"/>
  <c r="AU483" i="2"/>
  <c r="AQ484" i="2" l="1"/>
  <c r="AS484" i="2"/>
  <c r="AT483" i="2"/>
  <c r="AR484" i="2" l="1"/>
  <c r="AP484" i="2"/>
  <c r="BC484" i="2" l="1"/>
  <c r="AY484" i="2" s="1"/>
  <c r="BD484" i="2"/>
  <c r="BA484" i="2" s="1"/>
  <c r="BB484" i="2"/>
  <c r="AZ484" i="2"/>
  <c r="AX484" i="2"/>
  <c r="AV484" i="2" l="1"/>
  <c r="AT484" i="2" s="1"/>
  <c r="AW484" i="2"/>
  <c r="AU484" i="2" s="1"/>
  <c r="AP485" i="2" l="1"/>
  <c r="AR485" i="2"/>
  <c r="AQ485" i="2"/>
  <c r="AS485" i="2"/>
  <c r="BC485" i="2" l="1"/>
  <c r="AX485" i="2" s="1"/>
  <c r="BB485" i="2"/>
  <c r="AV485" i="2" s="1"/>
  <c r="AT485" i="2" s="1"/>
  <c r="AR486" i="2" s="1"/>
  <c r="BD485" i="2"/>
  <c r="AZ485" i="2" s="1"/>
  <c r="AY485" i="2" l="1"/>
  <c r="AP486" i="2"/>
  <c r="AW485" i="2"/>
  <c r="AU485" i="2" s="1"/>
  <c r="BA485" i="2"/>
  <c r="BC486" i="2" l="1"/>
  <c r="AX486" i="2" s="1"/>
  <c r="AS486" i="2"/>
  <c r="AQ486" i="2"/>
  <c r="AY486" i="2" l="1"/>
  <c r="BD486" i="2"/>
  <c r="BB486" i="2"/>
  <c r="AV486" i="2" s="1"/>
  <c r="BA486" i="2" l="1"/>
  <c r="AZ486" i="2"/>
  <c r="AT486" i="2" s="1"/>
  <c r="AW486" i="2"/>
  <c r="AU486" i="2" s="1"/>
  <c r="AR487" i="2" l="1"/>
  <c r="AP487" i="2"/>
  <c r="AS487" i="2"/>
  <c r="AQ487" i="2"/>
  <c r="BD487" i="2" l="1"/>
  <c r="AZ487" i="2" s="1"/>
  <c r="BB487" i="2"/>
  <c r="AV487" i="2" s="1"/>
  <c r="BC487" i="2"/>
  <c r="AX487" i="2" s="1"/>
  <c r="AW487" i="2"/>
  <c r="AT487" i="2" l="1"/>
  <c r="AY487" i="2"/>
  <c r="AU487" i="2" s="1"/>
  <c r="BA487" i="2"/>
  <c r="AS488" i="2" l="1"/>
  <c r="AQ488" i="2"/>
  <c r="AP488" i="2"/>
  <c r="AR488" i="2"/>
  <c r="BD488" i="2" l="1"/>
  <c r="AZ488" i="2" s="1"/>
  <c r="BC488" i="2"/>
  <c r="AX488" i="2" s="1"/>
  <c r="BB488" i="2"/>
  <c r="AV488" i="2" s="1"/>
  <c r="BA488" i="2"/>
  <c r="AY488" i="2"/>
  <c r="AW488" i="2"/>
  <c r="AU488" i="2" l="1"/>
  <c r="AT488" i="2"/>
  <c r="AR489" i="2" l="1"/>
  <c r="AP489" i="2"/>
  <c r="AS489" i="2"/>
  <c r="AQ489" i="2"/>
  <c r="BB489" i="2" l="1"/>
  <c r="AW489" i="2" s="1"/>
  <c r="AU489" i="2" s="1"/>
  <c r="AQ490" i="2" s="1"/>
  <c r="BC489" i="2"/>
  <c r="AY489" i="2" s="1"/>
  <c r="BD489" i="2"/>
  <c r="BA489" i="2" s="1"/>
  <c r="AZ489" i="2" l="1"/>
  <c r="AV489" i="2"/>
  <c r="AX489" i="2"/>
  <c r="AS490" i="2"/>
  <c r="AT489" i="2" l="1"/>
  <c r="AP490" i="2" l="1"/>
  <c r="AR490" i="2"/>
  <c r="BB490" i="2" l="1"/>
  <c r="AW490" i="2" s="1"/>
  <c r="BD490" i="2"/>
  <c r="BA490" i="2" s="1"/>
  <c r="BC490" i="2"/>
  <c r="AY490" i="2" s="1"/>
  <c r="AV490" i="2" l="1"/>
  <c r="AU490" i="2"/>
  <c r="AX490" i="2"/>
  <c r="AZ490" i="2"/>
  <c r="AS491" i="2" l="1"/>
  <c r="AQ491" i="2"/>
  <c r="AT490" i="2"/>
  <c r="AR491" i="2" l="1"/>
  <c r="AP491" i="2"/>
  <c r="BB491" i="2" l="1"/>
  <c r="AW491" i="2" s="1"/>
  <c r="BC491" i="2"/>
  <c r="AY491" i="2" s="1"/>
  <c r="BD491" i="2"/>
  <c r="BA491" i="2" s="1"/>
  <c r="AX491" i="2"/>
  <c r="AV491" i="2"/>
  <c r="AZ491" i="2" l="1"/>
  <c r="AT491" i="2" s="1"/>
  <c r="AU491" i="2"/>
  <c r="AS492" i="2" l="1"/>
  <c r="AQ492" i="2"/>
  <c r="AR492" i="2"/>
  <c r="AP492" i="2"/>
  <c r="BB492" i="2" l="1"/>
  <c r="AW492" i="2" s="1"/>
  <c r="BC492" i="2"/>
  <c r="AY492" i="2" s="1"/>
  <c r="BD492" i="2"/>
  <c r="BA492" i="2" s="1"/>
  <c r="AV492" i="2"/>
  <c r="AX492" i="2"/>
  <c r="AZ492" i="2" l="1"/>
  <c r="AT492" i="2"/>
  <c r="AU492" i="2"/>
  <c r="AQ493" i="2" l="1"/>
  <c r="AS493" i="2"/>
  <c r="AP493" i="2"/>
  <c r="AR493" i="2"/>
  <c r="BB493" i="2" l="1"/>
  <c r="AW493" i="2" s="1"/>
  <c r="AU493" i="2" s="1"/>
  <c r="AS494" i="2" s="1"/>
  <c r="BD493" i="2"/>
  <c r="BA493" i="2" s="1"/>
  <c r="BC493" i="2"/>
  <c r="AY493" i="2" s="1"/>
  <c r="AX493" i="2"/>
  <c r="AZ493" i="2" l="1"/>
  <c r="AQ494" i="2"/>
  <c r="AV493" i="2"/>
  <c r="AT493" i="2" s="1"/>
  <c r="AR494" i="2" l="1"/>
  <c r="AP494" i="2"/>
  <c r="BB494" i="2" l="1"/>
  <c r="AW494" i="2" s="1"/>
  <c r="BD494" i="2"/>
  <c r="BA494" i="2" s="1"/>
  <c r="BC494" i="2"/>
  <c r="AY494" i="2" s="1"/>
  <c r="AV494" i="2"/>
  <c r="AX494" i="2" l="1"/>
  <c r="AT494" i="2" s="1"/>
  <c r="AZ494" i="2"/>
  <c r="AU494" i="2"/>
  <c r="AP495" i="2" l="1"/>
  <c r="AR495" i="2"/>
  <c r="AS495" i="2"/>
  <c r="AQ495" i="2"/>
  <c r="BB495" i="2" l="1"/>
  <c r="AW495" i="2" s="1"/>
  <c r="BD495" i="2"/>
  <c r="BA495" i="2" s="1"/>
  <c r="BC495" i="2"/>
  <c r="AY495" i="2" s="1"/>
  <c r="AZ495" i="2"/>
  <c r="AU495" i="2" l="1"/>
  <c r="AV495" i="2"/>
  <c r="AX495" i="2"/>
  <c r="AT495" i="2" s="1"/>
  <c r="AR496" i="2" l="1"/>
  <c r="AP496" i="2"/>
  <c r="AQ496" i="2"/>
  <c r="AS496" i="2"/>
  <c r="BC496" i="2" l="1"/>
  <c r="AY496" i="2" s="1"/>
  <c r="BD496" i="2"/>
  <c r="BA496" i="2" s="1"/>
  <c r="BB496" i="2"/>
  <c r="AW496" i="2" s="1"/>
  <c r="AV496" i="2"/>
  <c r="AX496" i="2"/>
  <c r="AZ496" i="2" l="1"/>
  <c r="AT496" i="2" s="1"/>
  <c r="AU496" i="2"/>
  <c r="AR497" i="2" l="1"/>
  <c r="AP497" i="2"/>
  <c r="AS497" i="2"/>
  <c r="AQ497" i="2"/>
  <c r="BB497" i="2" l="1"/>
  <c r="AW497" i="2" s="1"/>
  <c r="AU497" i="2" s="1"/>
  <c r="BC497" i="2"/>
  <c r="AY497" i="2" s="1"/>
  <c r="BD497" i="2"/>
  <c r="BA497" i="2" s="1"/>
  <c r="AZ497" i="2"/>
  <c r="AQ498" i="2" l="1"/>
  <c r="AS498" i="2"/>
  <c r="AV497" i="2"/>
  <c r="AT497" i="2" s="1"/>
  <c r="AX497" i="2"/>
  <c r="AP498" i="2" l="1"/>
  <c r="AR498" i="2"/>
  <c r="BB498" i="2" l="1"/>
  <c r="AW498" i="2" s="1"/>
  <c r="BC498" i="2"/>
  <c r="BD498" i="2"/>
  <c r="BA498" i="2" s="1"/>
  <c r="AZ498" i="2" l="1"/>
  <c r="AV498" i="2"/>
  <c r="AX498" i="2"/>
  <c r="AY498" i="2"/>
  <c r="AU498" i="2" s="1"/>
  <c r="AQ499" i="2" l="1"/>
  <c r="AS499" i="2"/>
  <c r="AT498" i="2"/>
  <c r="AR499" i="2" l="1"/>
  <c r="AP499" i="2"/>
  <c r="BC499" i="2" l="1"/>
  <c r="AY499" i="2" s="1"/>
  <c r="BB499" i="2"/>
  <c r="BD499" i="2"/>
  <c r="BA499" i="2" s="1"/>
  <c r="AX499" i="2"/>
  <c r="AZ499" i="2" l="1"/>
  <c r="AV499" i="2"/>
  <c r="AT499" i="2" s="1"/>
  <c r="AW499" i="2"/>
  <c r="AU499" i="2" s="1"/>
  <c r="AQ500" i="2" l="1"/>
  <c r="AS500" i="2"/>
  <c r="AR500" i="2"/>
  <c r="AP500" i="2"/>
  <c r="BC500" i="2" l="1"/>
  <c r="AY500" i="2" s="1"/>
  <c r="BB500" i="2"/>
  <c r="AW500" i="2" s="1"/>
  <c r="BD500" i="2"/>
  <c r="BA500" i="2" s="1"/>
  <c r="AX500" i="2"/>
  <c r="AV500" i="2"/>
  <c r="AU500" i="2" l="1"/>
  <c r="AZ500" i="2"/>
  <c r="AT500" i="2" s="1"/>
  <c r="AP501" i="2" l="1"/>
  <c r="AR501" i="2"/>
  <c r="AS501" i="2"/>
  <c r="AQ501" i="2"/>
  <c r="BC501" i="2" l="1"/>
  <c r="AY501" i="2" s="1"/>
  <c r="BB501" i="2"/>
  <c r="AW501" i="2" s="1"/>
  <c r="BD501" i="2"/>
  <c r="BA501" i="2" s="1"/>
  <c r="AX501" i="2"/>
  <c r="AV501" i="2"/>
  <c r="AZ501" i="2" l="1"/>
  <c r="AT501" i="2" s="1"/>
  <c r="AU501" i="2"/>
  <c r="AR502" i="2" l="1"/>
  <c r="AP502" i="2"/>
  <c r="AQ502" i="2"/>
  <c r="AS502" i="2"/>
  <c r="BD502" i="2" l="1"/>
  <c r="BA502" i="2" s="1"/>
  <c r="BB502" i="2"/>
  <c r="AW502" i="2" s="1"/>
  <c r="BC502" i="2"/>
  <c r="AY502" i="2" s="1"/>
  <c r="AX502" i="2" l="1"/>
  <c r="AV502" i="2"/>
  <c r="AU502" i="2"/>
  <c r="AZ502" i="2"/>
  <c r="AS503" i="2" l="1"/>
  <c r="AQ503" i="2"/>
  <c r="AT502" i="2"/>
  <c r="AP503" i="2" l="1"/>
  <c r="AR503" i="2"/>
  <c r="BB503" i="2" l="1"/>
  <c r="AW503" i="2" s="1"/>
  <c r="BD503" i="2"/>
  <c r="BA503" i="2" s="1"/>
  <c r="BC503" i="2"/>
  <c r="AY503" i="2" s="1"/>
  <c r="AU503" i="2" l="1"/>
  <c r="AX503" i="2"/>
  <c r="AV503" i="2"/>
  <c r="AT503" i="2" s="1"/>
  <c r="AZ503" i="2"/>
  <c r="AR504" i="2" l="1"/>
  <c r="AP504" i="2"/>
  <c r="AQ504" i="2"/>
  <c r="AS504" i="2"/>
  <c r="BB504" i="2" l="1"/>
  <c r="AW504" i="2" s="1"/>
  <c r="AU504" i="2" s="1"/>
  <c r="AS505" i="2" s="1"/>
  <c r="BD504" i="2"/>
  <c r="BA504" i="2" s="1"/>
  <c r="BC504" i="2"/>
  <c r="AY504" i="2" s="1"/>
  <c r="AZ504" i="2" l="1"/>
  <c r="AV504" i="2"/>
  <c r="AX504" i="2"/>
  <c r="AQ505" i="2"/>
  <c r="AT504" i="2" l="1"/>
  <c r="AR505" i="2" l="1"/>
  <c r="AP505" i="2"/>
  <c r="BC505" i="2" l="1"/>
  <c r="AY505" i="2" s="1"/>
  <c r="BB505" i="2"/>
  <c r="AW505" i="2" s="1"/>
  <c r="BD505" i="2"/>
  <c r="BA505" i="2" s="1"/>
  <c r="AX505" i="2"/>
  <c r="AV505" i="2"/>
  <c r="AZ505" i="2" l="1"/>
  <c r="AT505" i="2" s="1"/>
  <c r="AU505" i="2"/>
  <c r="AP506" i="2" l="1"/>
  <c r="AR506" i="2"/>
  <c r="AS506" i="2"/>
  <c r="AQ506" i="2"/>
  <c r="BC506" i="2" l="1"/>
  <c r="AY506" i="2" s="1"/>
  <c r="BB506" i="2"/>
  <c r="AW506" i="2" s="1"/>
  <c r="BD506" i="2"/>
  <c r="BA506" i="2" s="1"/>
  <c r="AX506" i="2"/>
  <c r="AU506" i="2" l="1"/>
  <c r="AZ506" i="2"/>
  <c r="AV506" i="2"/>
  <c r="AT506" i="2" l="1"/>
  <c r="AQ507" i="2"/>
  <c r="AS507" i="2"/>
  <c r="AR507" i="2" l="1"/>
  <c r="AP507" i="2"/>
  <c r="BD507" i="2" l="1"/>
  <c r="BA507" i="2" s="1"/>
  <c r="BC507" i="2"/>
  <c r="AY507" i="2" s="1"/>
  <c r="BB507" i="2"/>
  <c r="AW507" i="2" s="1"/>
  <c r="AZ507" i="2"/>
  <c r="AV507" i="2"/>
  <c r="AX507" i="2" l="1"/>
  <c r="AT507" i="2" s="1"/>
  <c r="AU507" i="2"/>
  <c r="AP508" i="2" l="1"/>
  <c r="AR508" i="2"/>
  <c r="AQ508" i="2"/>
  <c r="AS508" i="2"/>
  <c r="BD508" i="2" l="1"/>
  <c r="BA508" i="2" s="1"/>
  <c r="BB508" i="2"/>
  <c r="AW508" i="2" s="1"/>
  <c r="BC508" i="2"/>
  <c r="AY508" i="2" s="1"/>
  <c r="AZ508" i="2"/>
  <c r="AU508" i="2" l="1"/>
  <c r="AV508" i="2"/>
  <c r="AT508" i="2" s="1"/>
  <c r="AX508" i="2"/>
  <c r="AP509" i="2" l="1"/>
  <c r="AR509" i="2"/>
  <c r="AS509" i="2"/>
  <c r="AQ509" i="2"/>
  <c r="BB509" i="2" l="1"/>
  <c r="AV509" i="2" s="1"/>
  <c r="BC509" i="2"/>
  <c r="AY509" i="2" s="1"/>
  <c r="BD509" i="2"/>
  <c r="BA509" i="2" s="1"/>
  <c r="AZ509" i="2"/>
  <c r="AW509" i="2" l="1"/>
  <c r="AU509" i="2" s="1"/>
  <c r="AX509" i="2"/>
  <c r="AT509" i="2" s="1"/>
  <c r="AP510" i="2" l="1"/>
  <c r="AR510" i="2"/>
  <c r="AS510" i="2"/>
  <c r="AQ510" i="2"/>
  <c r="BC510" i="2" l="1"/>
  <c r="AX510" i="2" s="1"/>
  <c r="BD510" i="2"/>
  <c r="BA510" i="2" s="1"/>
  <c r="BB510" i="2"/>
  <c r="AV510" i="2" s="1"/>
  <c r="AZ510" i="2" l="1"/>
  <c r="AT510" i="2" s="1"/>
  <c r="AW510" i="2"/>
  <c r="AY510" i="2"/>
  <c r="AU510" i="2" l="1"/>
  <c r="AR511" i="2"/>
  <c r="AP511" i="2"/>
  <c r="AQ511" i="2" l="1"/>
  <c r="AS511" i="2"/>
  <c r="BC511" i="2" l="1"/>
  <c r="AX511" i="2" s="1"/>
  <c r="BB511" i="2"/>
  <c r="AV511" i="2" s="1"/>
  <c r="BD511" i="2"/>
  <c r="BA511" i="2" l="1"/>
  <c r="AZ511" i="2"/>
  <c r="AT511" i="2" s="1"/>
  <c r="AY511" i="2"/>
  <c r="AW511" i="2"/>
  <c r="AR512" i="2" l="1"/>
  <c r="AP512" i="2"/>
  <c r="AU511" i="2"/>
  <c r="AQ512" i="2" l="1"/>
  <c r="AS512" i="2"/>
  <c r="BB512" i="2"/>
  <c r="AW512" i="2" s="1"/>
  <c r="AU512" i="2" s="1"/>
  <c r="AS513" i="2" s="1"/>
  <c r="BD512" i="2"/>
  <c r="BA512" i="2" s="1"/>
  <c r="BC512" i="2"/>
  <c r="AY512" i="2" s="1"/>
  <c r="AX512" i="2" l="1"/>
  <c r="AZ512" i="2"/>
  <c r="AV512" i="2"/>
  <c r="AQ513" i="2"/>
  <c r="AT512" i="2" l="1"/>
  <c r="AP513" i="2" l="1"/>
  <c r="AR513" i="2"/>
  <c r="BC513" i="2" l="1"/>
  <c r="AY513" i="2" s="1"/>
  <c r="AX513" i="2"/>
  <c r="BD513" i="2"/>
  <c r="BA513" i="2" s="1"/>
  <c r="BB513" i="2"/>
  <c r="AW513" i="2" s="1"/>
  <c r="AZ513" i="2"/>
  <c r="AV513" i="2"/>
  <c r="AT513" i="2" s="1"/>
  <c r="AR514" i="2" s="1"/>
  <c r="AP514" i="2" l="1"/>
  <c r="AU513" i="2"/>
  <c r="AS514" i="2" l="1"/>
  <c r="AQ514" i="2"/>
  <c r="BD514" i="2" s="1"/>
  <c r="BC514" i="2"/>
  <c r="AY514" i="2" s="1"/>
  <c r="BB514" i="2"/>
  <c r="AW514" i="2" s="1"/>
  <c r="BA514" i="2" l="1"/>
  <c r="AZ514" i="2"/>
  <c r="AX514" i="2"/>
  <c r="AU514" i="2"/>
  <c r="AQ515" i="2" s="1"/>
  <c r="AV514" i="2"/>
  <c r="AS515" i="2"/>
  <c r="AT514" i="2" l="1"/>
  <c r="AR515" i="2" l="1"/>
  <c r="AP515" i="2"/>
  <c r="BD515" i="2" l="1"/>
  <c r="BA515" i="2" s="1"/>
  <c r="BB515" i="2"/>
  <c r="AW515" i="2" s="1"/>
  <c r="BC515" i="2"/>
  <c r="AY515" i="2" s="1"/>
  <c r="AV515" i="2"/>
  <c r="AX515" i="2" l="1"/>
  <c r="AT515" i="2" s="1"/>
  <c r="AZ515" i="2"/>
  <c r="AU515" i="2"/>
  <c r="AP516" i="2" l="1"/>
  <c r="AR516" i="2"/>
  <c r="AQ516" i="2"/>
  <c r="AS516" i="2"/>
  <c r="BC516" i="2" l="1"/>
  <c r="AY516" i="2" s="1"/>
  <c r="BD516" i="2"/>
  <c r="BA516" i="2" s="1"/>
  <c r="BB516" i="2"/>
  <c r="AW516" i="2" s="1"/>
  <c r="AU516" i="2" s="1"/>
  <c r="AS517" i="2" s="1"/>
  <c r="AX516" i="2"/>
  <c r="AZ516" i="2"/>
  <c r="AV516" i="2" l="1"/>
  <c r="AT516" i="2" s="1"/>
  <c r="AQ517" i="2"/>
  <c r="AR517" i="2" l="1"/>
  <c r="AP517" i="2"/>
  <c r="BB517" i="2" l="1"/>
  <c r="AW517" i="2" s="1"/>
  <c r="BD517" i="2"/>
  <c r="BA517" i="2" s="1"/>
  <c r="BC517" i="2"/>
  <c r="AY517" i="2" s="1"/>
  <c r="AV517" i="2"/>
  <c r="AX517" i="2" l="1"/>
  <c r="AZ517" i="2"/>
  <c r="AU517" i="2"/>
  <c r="AS518" i="2" l="1"/>
  <c r="AQ518" i="2"/>
  <c r="AT517" i="2"/>
  <c r="AP518" i="2" l="1"/>
  <c r="AR518" i="2"/>
  <c r="BD518" i="2" l="1"/>
  <c r="BA518" i="2" s="1"/>
  <c r="BC518" i="2"/>
  <c r="AY518" i="2" s="1"/>
  <c r="BB518" i="2"/>
  <c r="AW518" i="2" s="1"/>
  <c r="AZ518" i="2"/>
  <c r="AX518" i="2" l="1"/>
  <c r="AV518" i="2"/>
  <c r="AT518" i="2"/>
  <c r="AU518" i="2"/>
  <c r="AQ519" i="2" l="1"/>
  <c r="AS519" i="2"/>
  <c r="AP519" i="2"/>
  <c r="AR519" i="2"/>
  <c r="BD519" i="2" l="1"/>
  <c r="BA519" i="2" s="1"/>
  <c r="BC519" i="2"/>
  <c r="AY519" i="2" s="1"/>
  <c r="BB519" i="2"/>
  <c r="AW519" i="2" s="1"/>
  <c r="AU519" i="2" s="1"/>
  <c r="AS520" i="2" s="1"/>
  <c r="AV519" i="2"/>
  <c r="AZ519" i="2" l="1"/>
  <c r="AQ520" i="2"/>
  <c r="AX519" i="2"/>
  <c r="AT519" i="2" s="1"/>
  <c r="AR520" i="2" l="1"/>
  <c r="AP520" i="2"/>
  <c r="BD520" i="2" l="1"/>
  <c r="BA520" i="2" s="1"/>
  <c r="BB520" i="2"/>
  <c r="AW520" i="2" s="1"/>
  <c r="AU520" i="2" s="1"/>
  <c r="BC520" i="2"/>
  <c r="AY520" i="2" s="1"/>
  <c r="AZ520" i="2"/>
  <c r="AS521" i="2" l="1"/>
  <c r="AQ521" i="2"/>
  <c r="AX520" i="2"/>
  <c r="AV520" i="2"/>
  <c r="AT520" i="2" l="1"/>
  <c r="AP521" i="2" l="1"/>
  <c r="AR521" i="2"/>
  <c r="BD521" i="2" l="1"/>
  <c r="BA521" i="2" s="1"/>
  <c r="BC521" i="2"/>
  <c r="AY521" i="2" s="1"/>
  <c r="BB521" i="2"/>
  <c r="AW521" i="2" s="1"/>
  <c r="AV521" i="2"/>
  <c r="AX521" i="2"/>
  <c r="AZ521" i="2" l="1"/>
  <c r="AT521" i="2" s="1"/>
  <c r="AU521" i="2"/>
  <c r="AR522" i="2" l="1"/>
  <c r="AP522" i="2"/>
  <c r="AS522" i="2"/>
  <c r="AQ522" i="2"/>
  <c r="BC522" i="2" l="1"/>
  <c r="AY522" i="2" s="1"/>
  <c r="BB522" i="2"/>
  <c r="AW522" i="2" s="1"/>
  <c r="AU522" i="2" s="1"/>
  <c r="AQ523" i="2" s="1"/>
  <c r="BD522" i="2"/>
  <c r="BA522" i="2" s="1"/>
  <c r="AZ522" i="2"/>
  <c r="AV522" i="2"/>
  <c r="AS523" i="2" l="1"/>
  <c r="AX522" i="2"/>
  <c r="AT522" i="2" s="1"/>
  <c r="AR523" i="2" l="1"/>
  <c r="AP523" i="2"/>
  <c r="BC523" i="2" l="1"/>
  <c r="AY523" i="2" s="1"/>
  <c r="BD523" i="2"/>
  <c r="BA523" i="2" s="1"/>
  <c r="BB523" i="2"/>
  <c r="AW523" i="2" s="1"/>
  <c r="AU523" i="2" s="1"/>
  <c r="AQ524" i="2" l="1"/>
  <c r="AS524" i="2"/>
  <c r="AX523" i="2"/>
  <c r="AV523" i="2"/>
  <c r="AZ523" i="2"/>
  <c r="AT523" i="2" l="1"/>
  <c r="AP524" i="2" l="1"/>
  <c r="AR524" i="2"/>
  <c r="BD524" i="2" l="1"/>
  <c r="BA524" i="2" s="1"/>
  <c r="BB524" i="2"/>
  <c r="AW524" i="2" s="1"/>
  <c r="AU524" i="2" s="1"/>
  <c r="BC524" i="2"/>
  <c r="AY524" i="2" s="1"/>
  <c r="AZ524" i="2"/>
  <c r="AX524" i="2"/>
  <c r="AV524" i="2" l="1"/>
  <c r="AQ525" i="2"/>
  <c r="AS525" i="2"/>
  <c r="AT524" i="2"/>
  <c r="AR525" i="2" l="1"/>
  <c r="AP525" i="2"/>
  <c r="BD525" i="2" l="1"/>
  <c r="BA525" i="2" s="1"/>
  <c r="BB525" i="2"/>
  <c r="AW525" i="2" s="1"/>
  <c r="BC525" i="2"/>
  <c r="AY525" i="2" s="1"/>
  <c r="AZ525" i="2"/>
  <c r="AV525" i="2"/>
  <c r="AX525" i="2"/>
  <c r="AU525" i="2" l="1"/>
  <c r="AT525" i="2"/>
  <c r="AP526" i="2" l="1"/>
  <c r="AR526" i="2"/>
  <c r="AQ526" i="2"/>
  <c r="AS526" i="2"/>
  <c r="BB526" i="2" l="1"/>
  <c r="AW526" i="2" s="1"/>
  <c r="AU526" i="2" s="1"/>
  <c r="AS527" i="2" s="1"/>
  <c r="BD526" i="2"/>
  <c r="BA526" i="2" s="1"/>
  <c r="BC526" i="2"/>
  <c r="AY526" i="2" s="1"/>
  <c r="AZ526" i="2"/>
  <c r="AX526" i="2"/>
  <c r="AV526" i="2"/>
  <c r="AQ527" i="2" l="1"/>
  <c r="AT526" i="2"/>
  <c r="AR527" i="2" l="1"/>
  <c r="AP527" i="2"/>
  <c r="BB527" i="2" l="1"/>
  <c r="AW527" i="2" s="1"/>
  <c r="BC527" i="2"/>
  <c r="AY527" i="2" s="1"/>
  <c r="BD527" i="2"/>
  <c r="BA527" i="2" s="1"/>
  <c r="AV527" i="2" l="1"/>
  <c r="AU527" i="2"/>
  <c r="AX527" i="2"/>
  <c r="AZ527" i="2"/>
  <c r="AS528" i="2" l="1"/>
  <c r="AQ528" i="2"/>
  <c r="AT527" i="2"/>
  <c r="AR528" i="2" l="1"/>
  <c r="AP528" i="2"/>
  <c r="BC528" i="2" l="1"/>
  <c r="AY528" i="2" s="1"/>
  <c r="BB528" i="2"/>
  <c r="AW528" i="2" s="1"/>
  <c r="AX528" i="2"/>
  <c r="BD528" i="2"/>
  <c r="AZ528" i="2" l="1"/>
  <c r="BA528" i="2"/>
  <c r="AU528" i="2" s="1"/>
  <c r="AV528" i="2"/>
  <c r="AT528" i="2" s="1"/>
  <c r="AP529" i="2" l="1"/>
  <c r="AR529" i="2"/>
  <c r="AS529" i="2"/>
  <c r="AQ529" i="2"/>
  <c r="AY529" i="2" l="1"/>
  <c r="BD529" i="2"/>
  <c r="AZ529" i="2" s="1"/>
  <c r="BB529" i="2"/>
  <c r="AW529" i="2" s="1"/>
  <c r="BC529" i="2"/>
  <c r="AX529" i="2"/>
  <c r="AV529" i="2" l="1"/>
  <c r="AT529" i="2" s="1"/>
  <c r="BA529" i="2"/>
  <c r="AU529" i="2" s="1"/>
  <c r="AS530" i="2" l="1"/>
  <c r="AQ530" i="2"/>
  <c r="AP530" i="2"/>
  <c r="AR530" i="2"/>
  <c r="BD530" i="2" l="1"/>
  <c r="BA530" i="2" s="1"/>
  <c r="BC530" i="2"/>
  <c r="AY530" i="2" s="1"/>
  <c r="BB530" i="2"/>
  <c r="AV530" i="2" s="1"/>
  <c r="AZ530" i="2"/>
  <c r="AX530" i="2"/>
  <c r="AT530" i="2" l="1"/>
  <c r="AW530" i="2"/>
  <c r="AU530" i="2" s="1"/>
  <c r="AS531" i="2" l="1"/>
  <c r="AQ531" i="2"/>
  <c r="AR531" i="2"/>
  <c r="AP531" i="2"/>
  <c r="BD531" i="2" l="1"/>
  <c r="BA531" i="2" s="1"/>
  <c r="BB531" i="2"/>
  <c r="AW531" i="2" s="1"/>
  <c r="AU531" i="2" s="1"/>
  <c r="AS532" i="2" s="1"/>
  <c r="BC531" i="2"/>
  <c r="AY531" i="2" s="1"/>
  <c r="AQ532" i="2" l="1"/>
  <c r="AV531" i="2"/>
  <c r="AX531" i="2"/>
  <c r="AZ531" i="2"/>
  <c r="AT531" i="2" l="1"/>
  <c r="AR532" i="2" l="1"/>
  <c r="AP532" i="2"/>
  <c r="BC532" i="2" l="1"/>
  <c r="AY532" i="2" s="1"/>
  <c r="BD532" i="2"/>
  <c r="BA532" i="2" s="1"/>
  <c r="BB532" i="2"/>
  <c r="AW532" i="2" s="1"/>
  <c r="AU532" i="2" s="1"/>
  <c r="AS533" i="2" l="1"/>
  <c r="AQ533" i="2"/>
  <c r="AX532" i="2"/>
  <c r="AV532" i="2"/>
  <c r="AZ532" i="2"/>
  <c r="AT532" i="2" l="1"/>
  <c r="AP533" i="2" l="1"/>
  <c r="AR533" i="2"/>
  <c r="BB533" i="2" l="1"/>
  <c r="AW533" i="2" s="1"/>
  <c r="BD533" i="2"/>
  <c r="BA533" i="2" s="1"/>
  <c r="BC533" i="2"/>
  <c r="AY533" i="2" s="1"/>
  <c r="AV533" i="2"/>
  <c r="AX533" i="2" l="1"/>
  <c r="AT533" i="2" s="1"/>
  <c r="AU533" i="2"/>
  <c r="AZ533" i="2"/>
  <c r="AR534" i="2" l="1"/>
  <c r="AP534" i="2"/>
  <c r="AS534" i="2"/>
  <c r="AQ534" i="2"/>
  <c r="BB534" i="2" l="1"/>
  <c r="AV534" i="2" s="1"/>
  <c r="BD534" i="2"/>
  <c r="AZ534" i="2" s="1"/>
  <c r="BC534" i="2"/>
  <c r="AX534" i="2" s="1"/>
  <c r="AT534" i="2" s="1"/>
  <c r="AP535" i="2" s="1"/>
  <c r="AR535" i="2" l="1"/>
  <c r="AY534" i="2"/>
  <c r="BA534" i="2"/>
  <c r="AW534" i="2"/>
  <c r="AU534" i="2" l="1"/>
  <c r="AQ535" i="2" l="1"/>
  <c r="AS535" i="2"/>
  <c r="BC535" i="2" l="1"/>
  <c r="BB535" i="2"/>
  <c r="AV535" i="2" s="1"/>
  <c r="BD535" i="2"/>
  <c r="AY535" i="2" l="1"/>
  <c r="AX535" i="2"/>
  <c r="BA535" i="2"/>
  <c r="AZ535" i="2"/>
  <c r="AT535" i="2" s="1"/>
  <c r="AW535" i="2"/>
  <c r="AP536" i="2" l="1"/>
  <c r="AR536" i="2"/>
  <c r="AU535" i="2"/>
  <c r="AS536" i="2" l="1"/>
  <c r="AQ536" i="2"/>
  <c r="BB536" i="2" s="1"/>
  <c r="AV536" i="2" s="1"/>
  <c r="AW536" i="2" l="1"/>
  <c r="BD536" i="2"/>
  <c r="BC536" i="2"/>
  <c r="AY536" i="2" l="1"/>
  <c r="AU536" i="2" s="1"/>
  <c r="AX536" i="2"/>
  <c r="AT536" i="2" s="1"/>
  <c r="BA536" i="2"/>
  <c r="AZ536" i="2"/>
  <c r="AQ537" i="2" l="1"/>
  <c r="AS537" i="2"/>
  <c r="AR537" i="2"/>
  <c r="AP537" i="2"/>
  <c r="BD537" i="2" l="1"/>
  <c r="BA537" i="2" s="1"/>
  <c r="BC537" i="2"/>
  <c r="AY537" i="2" s="1"/>
  <c r="BB537" i="2"/>
  <c r="AW537" i="2" s="1"/>
  <c r="AU537" i="2" s="1"/>
  <c r="AQ538" i="2" s="1"/>
  <c r="AV537" i="2"/>
  <c r="AZ537" i="2"/>
  <c r="AS538" i="2" l="1"/>
  <c r="AX537" i="2"/>
  <c r="AT537" i="2" s="1"/>
  <c r="AP538" i="2" l="1"/>
  <c r="AR538" i="2"/>
  <c r="BC538" i="2" l="1"/>
  <c r="AY538" i="2" s="1"/>
  <c r="BD538" i="2"/>
  <c r="BA538" i="2" s="1"/>
  <c r="BB538" i="2"/>
  <c r="AW538" i="2" s="1"/>
  <c r="AU538" i="2" l="1"/>
  <c r="AV538" i="2"/>
  <c r="AZ538" i="2"/>
  <c r="AX538" i="2"/>
  <c r="AT538" i="2" l="1"/>
  <c r="AQ539" i="2"/>
  <c r="AS539" i="2"/>
  <c r="AR539" i="2" l="1"/>
  <c r="AP539" i="2"/>
  <c r="BB539" i="2" l="1"/>
  <c r="AW539" i="2" s="1"/>
  <c r="BC539" i="2"/>
  <c r="AY539" i="2" s="1"/>
  <c r="BD539" i="2"/>
  <c r="BA539" i="2" s="1"/>
  <c r="AV539" i="2"/>
  <c r="AX539" i="2" l="1"/>
  <c r="AT539" i="2" s="1"/>
  <c r="AZ539" i="2"/>
  <c r="AU539" i="2"/>
  <c r="AP540" i="2" l="1"/>
  <c r="AR540" i="2"/>
  <c r="AQ540" i="2"/>
  <c r="AS540" i="2"/>
  <c r="BC540" i="2" l="1"/>
  <c r="AY540" i="2" s="1"/>
  <c r="BD540" i="2"/>
  <c r="BA540" i="2" s="1"/>
  <c r="BB540" i="2"/>
  <c r="AW540" i="2" s="1"/>
  <c r="AU540" i="2" s="1"/>
  <c r="AS541" i="2" s="1"/>
  <c r="AZ540" i="2"/>
  <c r="AX540" i="2"/>
  <c r="AV540" i="2"/>
  <c r="AQ541" i="2" l="1"/>
  <c r="AT540" i="2"/>
  <c r="AP541" i="2" l="1"/>
  <c r="AR541" i="2"/>
  <c r="BB541" i="2" l="1"/>
  <c r="BD541" i="2"/>
  <c r="BA541" i="2" s="1"/>
  <c r="BC541" i="2"/>
  <c r="AY541" i="2" s="1"/>
  <c r="AZ541" i="2" l="1"/>
  <c r="AX541" i="2"/>
  <c r="AV541" i="2"/>
  <c r="AT541" i="2" s="1"/>
  <c r="AW541" i="2"/>
  <c r="AU541" i="2" s="1"/>
  <c r="AS542" i="2" l="1"/>
  <c r="AQ542" i="2"/>
  <c r="AR542" i="2"/>
  <c r="AP542" i="2"/>
  <c r="BD542" i="2" l="1"/>
  <c r="BA542" i="2" s="1"/>
  <c r="BB542" i="2"/>
  <c r="AV542" i="2" s="1"/>
  <c r="BC542" i="2"/>
  <c r="AY542" i="2" s="1"/>
  <c r="AX542" i="2" l="1"/>
  <c r="AW542" i="2"/>
  <c r="AU542" i="2" s="1"/>
  <c r="AZ542" i="2"/>
  <c r="AT542" i="2" s="1"/>
  <c r="AP543" i="2" l="1"/>
  <c r="AR543" i="2"/>
  <c r="AS543" i="2"/>
  <c r="AQ543" i="2"/>
  <c r="BC543" i="2" l="1"/>
  <c r="AX543" i="2" s="1"/>
  <c r="BB543" i="2"/>
  <c r="AV543" i="2" s="1"/>
  <c r="BD543" i="2"/>
  <c r="AZ543" i="2" s="1"/>
  <c r="AT543" i="2" l="1"/>
  <c r="AW543" i="2"/>
  <c r="BA543" i="2"/>
  <c r="AU543" i="2" s="1"/>
  <c r="AY543" i="2"/>
  <c r="AQ544" i="2" l="1"/>
  <c r="AS544" i="2"/>
  <c r="AR544" i="2"/>
  <c r="AP544" i="2"/>
  <c r="BC544" i="2" l="1"/>
  <c r="AY544" i="2" s="1"/>
  <c r="BB544" i="2"/>
  <c r="AW544" i="2" s="1"/>
  <c r="BD544" i="2"/>
  <c r="BA544" i="2" s="1"/>
  <c r="AX544" i="2"/>
  <c r="AV544" i="2"/>
  <c r="AU544" i="2" l="1"/>
  <c r="AZ544" i="2"/>
  <c r="AT544" i="2" s="1"/>
  <c r="AR545" i="2" l="1"/>
  <c r="AP545" i="2"/>
  <c r="AS545" i="2"/>
  <c r="AQ545" i="2"/>
  <c r="BD545" i="2" l="1"/>
  <c r="BA545" i="2" s="1"/>
  <c r="BC545" i="2"/>
  <c r="AY545" i="2" s="1"/>
  <c r="BB545" i="2"/>
  <c r="AW545" i="2" s="1"/>
  <c r="AV545" i="2" l="1"/>
  <c r="AX545" i="2"/>
  <c r="AU545" i="2"/>
  <c r="AZ545" i="2"/>
  <c r="AQ546" i="2" l="1"/>
  <c r="AS546" i="2"/>
  <c r="AT545" i="2"/>
  <c r="AP546" i="2" l="1"/>
  <c r="AR546" i="2"/>
  <c r="BD546" i="2" l="1"/>
  <c r="BA546" i="2" s="1"/>
  <c r="BC546" i="2"/>
  <c r="AY546" i="2" s="1"/>
  <c r="BB546" i="2"/>
  <c r="AZ546" i="2"/>
  <c r="AV546" i="2" l="1"/>
  <c r="AW546" i="2"/>
  <c r="AU546" i="2" s="1"/>
  <c r="AX546" i="2"/>
  <c r="AT546" i="2" s="1"/>
  <c r="AR547" i="2" l="1"/>
  <c r="AP547" i="2"/>
  <c r="AQ547" i="2"/>
  <c r="AS547" i="2"/>
  <c r="BB547" i="2" l="1"/>
  <c r="AV547" i="2" s="1"/>
  <c r="BD547" i="2"/>
  <c r="BA547" i="2" s="1"/>
  <c r="BC547" i="2"/>
  <c r="AX547" i="2" s="1"/>
  <c r="AY547" i="2"/>
  <c r="AW547" i="2" l="1"/>
  <c r="AU547" i="2" s="1"/>
  <c r="AZ547" i="2"/>
  <c r="AT547" i="2" s="1"/>
  <c r="AS548" i="2" l="1"/>
  <c r="AQ548" i="2"/>
  <c r="AP548" i="2"/>
  <c r="AR548" i="2"/>
  <c r="AW548" i="2" l="1"/>
  <c r="BC548" i="2"/>
  <c r="AX548" i="2" s="1"/>
  <c r="AZ548" i="2"/>
  <c r="BD548" i="2"/>
  <c r="BA548" i="2" s="1"/>
  <c r="BB548" i="2"/>
  <c r="AV548" i="2" s="1"/>
  <c r="AY548" i="2" l="1"/>
  <c r="AU548" i="2" s="1"/>
  <c r="AT548" i="2"/>
  <c r="AS549" i="2" l="1"/>
  <c r="AQ549" i="2"/>
  <c r="AR549" i="2"/>
  <c r="AP549" i="2"/>
  <c r="BB549" i="2" l="1"/>
  <c r="AV549" i="2" s="1"/>
  <c r="BD549" i="2"/>
  <c r="BA549" i="2" s="1"/>
  <c r="BC549" i="2"/>
  <c r="AX549" i="2" s="1"/>
  <c r="AY549" i="2" l="1"/>
  <c r="AW549" i="2"/>
  <c r="AZ549" i="2"/>
  <c r="AT549" i="2" s="1"/>
  <c r="AR550" i="2" l="1"/>
  <c r="AP550" i="2"/>
  <c r="AU549" i="2"/>
  <c r="AS550" i="2" l="1"/>
  <c r="AQ550" i="2"/>
  <c r="BB550" i="2" s="1"/>
  <c r="BC550" i="2"/>
  <c r="AY550" i="2" s="1"/>
  <c r="AW550" i="2" l="1"/>
  <c r="AV550" i="2"/>
  <c r="AX550" i="2"/>
  <c r="BD550" i="2"/>
  <c r="BA550" i="2" l="1"/>
  <c r="AU550" i="2" s="1"/>
  <c r="AZ550" i="2"/>
  <c r="AT550" i="2" s="1"/>
  <c r="AP551" i="2" l="1"/>
  <c r="AR551" i="2"/>
  <c r="AS551" i="2"/>
  <c r="AQ551" i="2"/>
  <c r="BB551" i="2" l="1"/>
  <c r="AW551" i="2" s="1"/>
  <c r="BC551" i="2"/>
  <c r="AY551" i="2" s="1"/>
  <c r="BD551" i="2"/>
  <c r="BA551" i="2" s="1"/>
  <c r="AX551" i="2"/>
  <c r="AV551" i="2"/>
  <c r="AU551" i="2" l="1"/>
  <c r="AZ551" i="2"/>
  <c r="AT551" i="2" s="1"/>
  <c r="AR552" i="2" l="1"/>
  <c r="AP552" i="2"/>
  <c r="AQ552" i="2"/>
  <c r="AS552" i="2"/>
  <c r="BA552" i="2" l="1"/>
  <c r="BD552" i="2"/>
  <c r="BB552" i="2"/>
  <c r="AW552" i="2" s="1"/>
  <c r="BC552" i="2"/>
  <c r="AY552" i="2" s="1"/>
  <c r="AZ552" i="2"/>
  <c r="AV552" i="2" l="1"/>
  <c r="AU552" i="2"/>
  <c r="AX552" i="2"/>
  <c r="AS553" i="2" l="1"/>
  <c r="AQ553" i="2"/>
  <c r="AT552" i="2"/>
  <c r="AP553" i="2" l="1"/>
  <c r="AR553" i="2"/>
  <c r="BB553" i="2" l="1"/>
  <c r="AW553" i="2" s="1"/>
  <c r="AU553" i="2" s="1"/>
  <c r="BD553" i="2"/>
  <c r="BA553" i="2" s="1"/>
  <c r="BC553" i="2"/>
  <c r="AY553" i="2" s="1"/>
  <c r="AZ553" i="2" l="1"/>
  <c r="AQ554" i="2"/>
  <c r="AS554" i="2"/>
  <c r="AV553" i="2"/>
  <c r="AX553" i="2"/>
  <c r="AT553" i="2" l="1"/>
  <c r="AR554" i="2" l="1"/>
  <c r="AP554" i="2"/>
  <c r="BC554" i="2" l="1"/>
  <c r="AY554" i="2" s="1"/>
  <c r="BD554" i="2"/>
  <c r="BA554" i="2" s="1"/>
  <c r="BB554" i="2"/>
  <c r="AW554" i="2" s="1"/>
  <c r="AU554" i="2" l="1"/>
  <c r="AV554" i="2"/>
  <c r="AT554" i="2" s="1"/>
  <c r="AX554" i="2"/>
  <c r="AZ554" i="2"/>
  <c r="AP555" i="2" l="1"/>
  <c r="AR555" i="2"/>
  <c r="AS555" i="2"/>
  <c r="AQ555" i="2"/>
  <c r="BC555" i="2" l="1"/>
  <c r="AY555" i="2" s="1"/>
  <c r="BB555" i="2"/>
  <c r="AW555" i="2" s="1"/>
  <c r="BD555" i="2"/>
  <c r="BA555" i="2" s="1"/>
  <c r="AU555" i="2" l="1"/>
  <c r="AV555" i="2"/>
  <c r="AX555" i="2"/>
  <c r="AZ555" i="2"/>
  <c r="AT555" i="2" l="1"/>
  <c r="AS556" i="2"/>
  <c r="AQ556" i="2"/>
  <c r="AR556" i="2" l="1"/>
  <c r="AP556" i="2"/>
  <c r="BB556" i="2" l="1"/>
  <c r="BC556" i="2"/>
  <c r="AY556" i="2" s="1"/>
  <c r="BD556" i="2"/>
  <c r="AZ556" i="2" l="1"/>
  <c r="BA556" i="2"/>
  <c r="AX556" i="2"/>
  <c r="AT556" i="2" s="1"/>
  <c r="AV556" i="2"/>
  <c r="AW556" i="2"/>
  <c r="AU556" i="2" s="1"/>
  <c r="AS557" i="2" l="1"/>
  <c r="AQ557" i="2"/>
  <c r="AR557" i="2"/>
  <c r="AP557" i="2"/>
  <c r="BC557" i="2" l="1"/>
  <c r="AY557" i="2" s="1"/>
  <c r="BD557" i="2"/>
  <c r="BA557" i="2" s="1"/>
  <c r="AX557" i="2"/>
  <c r="BB557" i="2"/>
  <c r="AW557" i="2" s="1"/>
  <c r="AV557" i="2" l="1"/>
  <c r="AZ557" i="2"/>
  <c r="AU557" i="2"/>
  <c r="AS558" i="2" l="1"/>
  <c r="AQ558" i="2"/>
  <c r="AT557" i="2"/>
  <c r="AP558" i="2" l="1"/>
  <c r="AR558" i="2"/>
  <c r="BD558" i="2" l="1"/>
  <c r="BA558" i="2" s="1"/>
  <c r="BC558" i="2"/>
  <c r="AY558" i="2" s="1"/>
  <c r="BB558" i="2"/>
  <c r="AW558" i="2" s="1"/>
  <c r="AU558" i="2" s="1"/>
  <c r="AQ559" i="2" l="1"/>
  <c r="AS559" i="2"/>
  <c r="AV558" i="2"/>
  <c r="AT558" i="2" s="1"/>
  <c r="AZ558" i="2"/>
  <c r="AX558" i="2"/>
  <c r="AP559" i="2" l="1"/>
  <c r="AR559" i="2"/>
  <c r="BC559" i="2" l="1"/>
  <c r="AY559" i="2" s="1"/>
  <c r="BD559" i="2"/>
  <c r="BA559" i="2" s="1"/>
  <c r="BB559" i="2"/>
  <c r="AW559" i="2" s="1"/>
  <c r="AV559" i="2"/>
  <c r="AX559" i="2" l="1"/>
  <c r="AT559" i="2" s="1"/>
  <c r="AU559" i="2"/>
  <c r="AZ559" i="2"/>
  <c r="AR560" i="2" l="1"/>
  <c r="AP560" i="2"/>
  <c r="AS560" i="2"/>
  <c r="AQ560" i="2"/>
  <c r="BB560" i="2" l="1"/>
  <c r="AW560" i="2" s="1"/>
  <c r="BD560" i="2"/>
  <c r="BA560" i="2" s="1"/>
  <c r="BC560" i="2"/>
  <c r="AY560" i="2" s="1"/>
  <c r="AU560" i="2" s="1"/>
  <c r="AX560" i="2"/>
  <c r="AZ560" i="2"/>
  <c r="AS561" i="2" l="1"/>
  <c r="AQ561" i="2"/>
  <c r="AV560" i="2"/>
  <c r="AT560" i="2" s="1"/>
  <c r="AP561" i="2" l="1"/>
  <c r="AR561" i="2"/>
  <c r="BB561" i="2" l="1"/>
  <c r="AW561" i="2" s="1"/>
  <c r="BC561" i="2"/>
  <c r="AY561" i="2" s="1"/>
  <c r="BD561" i="2"/>
  <c r="BA561" i="2" s="1"/>
  <c r="AV561" i="2"/>
  <c r="AX561" i="2"/>
  <c r="AZ561" i="2" l="1"/>
  <c r="AT561" i="2" s="1"/>
  <c r="AU561" i="2"/>
  <c r="AR562" i="2" l="1"/>
  <c r="AP562" i="2"/>
  <c r="AQ562" i="2"/>
  <c r="AS562" i="2"/>
  <c r="BC562" i="2" l="1"/>
  <c r="AX562" i="2" s="1"/>
  <c r="BD562" i="2"/>
  <c r="BA562" i="2" s="1"/>
  <c r="BB562" i="2"/>
  <c r="AW562" i="2" s="1"/>
  <c r="AZ562" i="2" l="1"/>
  <c r="AY562" i="2"/>
  <c r="AU562" i="2" s="1"/>
  <c r="AV562" i="2"/>
  <c r="AS563" i="2" l="1"/>
  <c r="AQ563" i="2"/>
  <c r="AT562" i="2"/>
  <c r="AR563" i="2" l="1"/>
  <c r="AP563" i="2"/>
  <c r="BD563" i="2" l="1"/>
  <c r="BB563" i="2"/>
  <c r="AW563" i="2" s="1"/>
  <c r="BC563" i="2"/>
  <c r="AY563" i="2" s="1"/>
  <c r="AV563" i="2" l="1"/>
  <c r="AX563" i="2"/>
  <c r="AZ563" i="2"/>
  <c r="BA563" i="2"/>
  <c r="AU563" i="2" s="1"/>
  <c r="AS564" i="2" l="1"/>
  <c r="AQ564" i="2"/>
  <c r="AT563" i="2"/>
  <c r="AP564" i="2" l="1"/>
  <c r="AR564" i="2"/>
  <c r="BD564" i="2" l="1"/>
  <c r="BA564" i="2" s="1"/>
  <c r="BC564" i="2"/>
  <c r="AY564" i="2" s="1"/>
  <c r="BB564" i="2"/>
  <c r="AW564" i="2" s="1"/>
  <c r="AU564" i="2" s="1"/>
  <c r="AZ564" i="2"/>
  <c r="AX564" i="2"/>
  <c r="AQ565" i="2" l="1"/>
  <c r="AS565" i="2"/>
  <c r="AV564" i="2"/>
  <c r="AT564" i="2" s="1"/>
  <c r="AP565" i="2" l="1"/>
  <c r="AR565" i="2"/>
  <c r="BC565" i="2" l="1"/>
  <c r="AY565" i="2" s="1"/>
  <c r="BB565" i="2"/>
  <c r="AW565" i="2" s="1"/>
  <c r="AX565" i="2"/>
  <c r="BD565" i="2"/>
  <c r="BA565" i="2" s="1"/>
  <c r="AV565" i="2"/>
  <c r="AZ565" i="2"/>
  <c r="AT565" i="2" s="1"/>
  <c r="AP566" i="2" s="1"/>
  <c r="AR566" i="2" l="1"/>
  <c r="AU565" i="2"/>
  <c r="AS566" i="2" l="1"/>
  <c r="AQ566" i="2"/>
  <c r="BB566" i="2" l="1"/>
  <c r="BD566" i="2"/>
  <c r="BC566" i="2"/>
  <c r="BA566" i="2" l="1"/>
  <c r="AZ566" i="2"/>
  <c r="AW566" i="2"/>
  <c r="AU566" i="2" s="1"/>
  <c r="AV566" i="2"/>
  <c r="AY566" i="2"/>
  <c r="AX566" i="2"/>
  <c r="AT566" i="2" l="1"/>
  <c r="AS567" i="2"/>
  <c r="AQ567" i="2"/>
  <c r="AP567" i="2" l="1"/>
  <c r="AR567" i="2"/>
  <c r="BB567" i="2" l="1"/>
  <c r="AW567" i="2" s="1"/>
  <c r="BD567" i="2"/>
  <c r="BA567" i="2" s="1"/>
  <c r="AU567" i="2" s="1"/>
  <c r="BC567" i="2"/>
  <c r="AY567" i="2" s="1"/>
  <c r="AX567" i="2" l="1"/>
  <c r="AS568" i="2"/>
  <c r="AQ568" i="2"/>
  <c r="AV567" i="2"/>
  <c r="AT567" i="2" s="1"/>
  <c r="AZ567" i="2"/>
  <c r="AR568" i="2" l="1"/>
  <c r="AP568" i="2"/>
  <c r="BC568" i="2" l="1"/>
  <c r="AY568" i="2" s="1"/>
  <c r="BB568" i="2"/>
  <c r="AW568" i="2" s="1"/>
  <c r="AU568" i="2" s="1"/>
  <c r="BD568" i="2"/>
  <c r="BA568" i="2" s="1"/>
  <c r="AX568" i="2"/>
  <c r="AQ569" i="2" l="1"/>
  <c r="AS569" i="2"/>
  <c r="AZ568" i="2"/>
  <c r="AT568" i="2" s="1"/>
  <c r="AV568" i="2"/>
  <c r="AP569" i="2" l="1"/>
  <c r="AR569" i="2"/>
  <c r="BC569" i="2" l="1"/>
  <c r="BB569" i="2"/>
  <c r="BD569" i="2"/>
  <c r="BA569" i="2" s="1"/>
  <c r="AZ569" i="2" l="1"/>
  <c r="AV569" i="2"/>
  <c r="AW569" i="2"/>
  <c r="AU569" i="2" s="1"/>
  <c r="AX569" i="2"/>
  <c r="AY569" i="2"/>
  <c r="AS570" i="2" l="1"/>
  <c r="AQ570" i="2"/>
  <c r="AT569" i="2"/>
  <c r="AP570" i="2" l="1"/>
  <c r="AR570" i="2"/>
  <c r="BD570" i="2" l="1"/>
  <c r="BC570" i="2"/>
  <c r="AY570" i="2" s="1"/>
  <c r="BB570" i="2"/>
  <c r="AX570" i="2" l="1"/>
  <c r="AZ570" i="2"/>
  <c r="BA570" i="2"/>
  <c r="AV570" i="2"/>
  <c r="AW570" i="2"/>
  <c r="AU570" i="2" s="1"/>
  <c r="AQ571" i="2" l="1"/>
  <c r="AS571" i="2"/>
  <c r="AT570" i="2"/>
  <c r="AR571" i="2" l="1"/>
  <c r="AP571" i="2"/>
  <c r="BD571" i="2" l="1"/>
  <c r="BA571" i="2" s="1"/>
  <c r="BC571" i="2"/>
  <c r="AY571" i="2" s="1"/>
  <c r="BB571" i="2"/>
  <c r="AZ571" i="2"/>
  <c r="AX571" i="2" l="1"/>
  <c r="AV571" i="2"/>
  <c r="AT571" i="2" s="1"/>
  <c r="AW571" i="2"/>
  <c r="AU571" i="2" s="1"/>
  <c r="AS572" i="2" l="1"/>
  <c r="AQ572" i="2"/>
  <c r="AR572" i="2"/>
  <c r="AP572" i="2"/>
  <c r="BD572" i="2" l="1"/>
  <c r="BA572" i="2" s="1"/>
  <c r="BC572" i="2"/>
  <c r="AY572" i="2" s="1"/>
  <c r="AZ572" i="2"/>
  <c r="BB572" i="2"/>
  <c r="AX572" i="2"/>
  <c r="AV572" i="2"/>
  <c r="AT572" i="2" s="1"/>
  <c r="AR573" i="2" s="1"/>
  <c r="AW572" i="2"/>
  <c r="AU572" i="2" s="1"/>
  <c r="AQ573" i="2" s="1"/>
  <c r="AS573" i="2" l="1"/>
  <c r="AP573" i="2"/>
  <c r="BD573" i="2" l="1"/>
  <c r="BA573" i="2" s="1"/>
  <c r="BB573" i="2"/>
  <c r="BC573" i="2"/>
  <c r="AY573" i="2" s="1"/>
  <c r="AV573" i="2" l="1"/>
  <c r="AW573" i="2"/>
  <c r="AU573" i="2" s="1"/>
  <c r="AZ573" i="2"/>
  <c r="AT573" i="2" s="1"/>
  <c r="AX573" i="2"/>
  <c r="AR574" i="2" l="1"/>
  <c r="AP574" i="2"/>
  <c r="AS574" i="2"/>
  <c r="AQ574" i="2"/>
  <c r="BD574" i="2" l="1"/>
  <c r="BA574" i="2" s="1"/>
  <c r="BC574" i="2"/>
  <c r="AY574" i="2" s="1"/>
  <c r="BB574" i="2"/>
  <c r="AW574" i="2" s="1"/>
  <c r="AX574" i="2"/>
  <c r="AV574" i="2"/>
  <c r="AZ574" i="2" l="1"/>
  <c r="AT574" i="2" s="1"/>
  <c r="AU574" i="2"/>
  <c r="AR575" i="2" l="1"/>
  <c r="AP575" i="2"/>
  <c r="AS575" i="2"/>
  <c r="AQ575" i="2"/>
  <c r="BC575" i="2" l="1"/>
  <c r="AY575" i="2" s="1"/>
  <c r="BD575" i="2"/>
  <c r="BA575" i="2" s="1"/>
  <c r="BB575" i="2"/>
  <c r="AW575" i="2" s="1"/>
  <c r="AU575" i="2" l="1"/>
  <c r="AZ575" i="2"/>
  <c r="AV575" i="2"/>
  <c r="AT575" i="2" s="1"/>
  <c r="AX575" i="2"/>
  <c r="AR576" i="2" l="1"/>
  <c r="AP576" i="2"/>
  <c r="AQ576" i="2"/>
  <c r="AS576" i="2"/>
  <c r="BD576" i="2" l="1"/>
  <c r="BA576" i="2" s="1"/>
  <c r="BC576" i="2"/>
  <c r="AY576" i="2" s="1"/>
  <c r="BB576" i="2"/>
  <c r="AW576" i="2" s="1"/>
  <c r="AU576" i="2" l="1"/>
  <c r="AX576" i="2"/>
  <c r="AV576" i="2"/>
  <c r="AT576" i="2" s="1"/>
  <c r="AZ576" i="2"/>
  <c r="AR577" i="2" l="1"/>
  <c r="AP577" i="2"/>
  <c r="AS577" i="2"/>
  <c r="AQ577" i="2"/>
  <c r="BB577" i="2" l="1"/>
  <c r="AW577" i="2" s="1"/>
  <c r="BC577" i="2"/>
  <c r="AY577" i="2" s="1"/>
  <c r="BD577" i="2"/>
  <c r="BA577" i="2" s="1"/>
  <c r="AX577" i="2"/>
  <c r="AV577" i="2"/>
  <c r="AT577" i="2" s="1"/>
  <c r="AP578" i="2" s="1"/>
  <c r="AZ577" i="2"/>
  <c r="AR578" i="2"/>
  <c r="AU577" i="2" l="1"/>
  <c r="AS578" i="2" l="1"/>
  <c r="AQ578" i="2"/>
  <c r="BB578" i="2" l="1"/>
  <c r="BD578" i="2"/>
  <c r="BC578" i="2"/>
  <c r="AX578" i="2" s="1"/>
  <c r="BA578" i="2" l="1"/>
  <c r="AZ578" i="2"/>
  <c r="AW578" i="2"/>
  <c r="AV578" i="2"/>
  <c r="AY578" i="2"/>
  <c r="AT578" i="2" l="1"/>
  <c r="AU578" i="2"/>
  <c r="AQ579" i="2" l="1"/>
  <c r="AS579" i="2"/>
  <c r="AP579" i="2"/>
  <c r="AR579" i="2"/>
  <c r="BB579" i="2" l="1"/>
  <c r="AW579" i="2" s="1"/>
  <c r="AU579" i="2" s="1"/>
  <c r="AS580" i="2" s="1"/>
  <c r="BC579" i="2"/>
  <c r="AY579" i="2" s="1"/>
  <c r="BD579" i="2"/>
  <c r="BA579" i="2" s="1"/>
  <c r="AZ579" i="2"/>
  <c r="AX579" i="2" l="1"/>
  <c r="AQ580" i="2"/>
  <c r="AV579" i="2"/>
  <c r="AT579" i="2" s="1"/>
  <c r="AR580" i="2" l="1"/>
  <c r="AP580" i="2"/>
  <c r="BC580" i="2" l="1"/>
  <c r="BD580" i="2"/>
  <c r="BA580" i="2" s="1"/>
  <c r="BB580" i="2"/>
  <c r="AW580" i="2" s="1"/>
  <c r="AV580" i="2" l="1"/>
  <c r="AZ580" i="2"/>
  <c r="AX580" i="2"/>
  <c r="AY580" i="2"/>
  <c r="AU580" i="2" s="1"/>
  <c r="AS581" i="2" l="1"/>
  <c r="AQ581" i="2"/>
  <c r="AT580" i="2"/>
  <c r="AP581" i="2" l="1"/>
  <c r="AR581" i="2"/>
  <c r="BD581" i="2" l="1"/>
  <c r="BA581" i="2" s="1"/>
  <c r="BC581" i="2"/>
  <c r="AY581" i="2" s="1"/>
  <c r="AU581" i="2" s="1"/>
  <c r="BB581" i="2"/>
  <c r="AW581" i="2" s="1"/>
  <c r="AX581" i="2" l="1"/>
  <c r="AV581" i="2"/>
  <c r="AQ582" i="2"/>
  <c r="AS582" i="2"/>
  <c r="AZ581" i="2"/>
  <c r="AT581" i="2" l="1"/>
  <c r="AP582" i="2" l="1"/>
  <c r="AR582" i="2"/>
  <c r="BB582" i="2" l="1"/>
  <c r="AW582" i="2" s="1"/>
  <c r="BC582" i="2"/>
  <c r="AY582" i="2" s="1"/>
  <c r="AU582" i="2" s="1"/>
  <c r="BD582" i="2"/>
  <c r="BA582" i="2" s="1"/>
  <c r="AX582" i="2" l="1"/>
  <c r="AS583" i="2"/>
  <c r="AQ583" i="2"/>
  <c r="AV582" i="2"/>
  <c r="AT582" i="2" s="1"/>
  <c r="AZ582" i="2"/>
  <c r="AR583" i="2" l="1"/>
  <c r="AP583" i="2"/>
  <c r="BD583" i="2" l="1"/>
  <c r="BA583" i="2" s="1"/>
  <c r="BC583" i="2"/>
  <c r="AY583" i="2" s="1"/>
  <c r="BB583" i="2"/>
  <c r="AW583" i="2" s="1"/>
  <c r="AU583" i="2" s="1"/>
  <c r="AX583" i="2"/>
  <c r="AZ583" i="2"/>
  <c r="AQ584" i="2" l="1"/>
  <c r="AS584" i="2"/>
  <c r="AV583" i="2"/>
  <c r="AT583" i="2" s="1"/>
  <c r="AP584" i="2" l="1"/>
  <c r="AR584" i="2"/>
  <c r="BC584" i="2" l="1"/>
  <c r="AY584" i="2" s="1"/>
  <c r="BB584" i="2"/>
  <c r="AW584" i="2" s="1"/>
  <c r="BD584" i="2"/>
  <c r="AV584" i="2" l="1"/>
  <c r="AX584" i="2"/>
  <c r="AZ584" i="2"/>
  <c r="BA584" i="2"/>
  <c r="AU584" i="2" s="1"/>
  <c r="AQ585" i="2" l="1"/>
  <c r="AS585" i="2"/>
  <c r="AT584" i="2"/>
  <c r="AR585" i="2" l="1"/>
  <c r="AP585" i="2"/>
  <c r="BC585" i="2" l="1"/>
  <c r="AY585" i="2" s="1"/>
  <c r="BB585" i="2"/>
  <c r="AW585" i="2" s="1"/>
  <c r="BD585" i="2"/>
  <c r="BA585" i="2" s="1"/>
  <c r="AX585" i="2" l="1"/>
  <c r="AU585" i="2"/>
  <c r="AV585" i="2"/>
  <c r="AT585" i="2" s="1"/>
  <c r="AZ585" i="2"/>
  <c r="AP586" i="2" l="1"/>
  <c r="AR586" i="2"/>
  <c r="AQ586" i="2"/>
  <c r="AS586" i="2"/>
  <c r="BD586" i="2" l="1"/>
  <c r="BA586" i="2" s="1"/>
  <c r="BB586" i="2"/>
  <c r="AW586" i="2" s="1"/>
  <c r="BC586" i="2"/>
  <c r="AY586" i="2" s="1"/>
  <c r="AV586" i="2"/>
  <c r="AZ586" i="2"/>
  <c r="AX586" i="2" l="1"/>
  <c r="AT586" i="2" s="1"/>
  <c r="AU586" i="2"/>
  <c r="AR587" i="2" l="1"/>
  <c r="AP587" i="2"/>
  <c r="AS587" i="2"/>
  <c r="AQ587" i="2"/>
  <c r="BB587" i="2" l="1"/>
  <c r="AW587" i="2" s="1"/>
  <c r="BD587" i="2"/>
  <c r="BA587" i="2" s="1"/>
  <c r="BC587" i="2"/>
  <c r="AY587" i="2" s="1"/>
  <c r="AV587" i="2"/>
  <c r="AZ587" i="2"/>
  <c r="AX587" i="2"/>
  <c r="AT587" i="2" l="1"/>
  <c r="AU587" i="2"/>
  <c r="AQ588" i="2" l="1"/>
  <c r="AS588" i="2"/>
  <c r="AP588" i="2"/>
  <c r="AR588" i="2"/>
  <c r="BD588" i="2" l="1"/>
  <c r="AZ588" i="2" s="1"/>
  <c r="BB588" i="2"/>
  <c r="AW588" i="2" s="1"/>
  <c r="AU588" i="2" s="1"/>
  <c r="BC588" i="2"/>
  <c r="AY588" i="2" s="1"/>
  <c r="AX588" i="2"/>
  <c r="AV588" i="2"/>
  <c r="BA588" i="2"/>
  <c r="AQ589" i="2" l="1"/>
  <c r="AS589" i="2"/>
  <c r="AT588" i="2"/>
  <c r="AR589" i="2" l="1"/>
  <c r="AP589" i="2"/>
  <c r="BC589" i="2" l="1"/>
  <c r="AY589" i="2" s="1"/>
  <c r="BB589" i="2"/>
  <c r="AW589" i="2" s="1"/>
  <c r="AU589" i="2" s="1"/>
  <c r="AX589" i="2"/>
  <c r="BD589" i="2"/>
  <c r="BA589" i="2" s="1"/>
  <c r="AS590" i="2" l="1"/>
  <c r="AQ590" i="2"/>
  <c r="AV589" i="2"/>
  <c r="AZ589" i="2"/>
  <c r="AT589" i="2" l="1"/>
  <c r="AP590" i="2" l="1"/>
  <c r="AR590" i="2"/>
  <c r="BC590" i="2" l="1"/>
  <c r="AY590" i="2" s="1"/>
  <c r="BB590" i="2"/>
  <c r="AW590" i="2" s="1"/>
  <c r="AU590" i="2" s="1"/>
  <c r="BD590" i="2"/>
  <c r="BA590" i="2" s="1"/>
  <c r="AV590" i="2" l="1"/>
  <c r="AS591" i="2"/>
  <c r="AQ591" i="2"/>
  <c r="AX590" i="2"/>
  <c r="AZ590" i="2"/>
  <c r="AT590" i="2" l="1"/>
  <c r="AR591" i="2" l="1"/>
  <c r="AP591" i="2"/>
  <c r="BB591" i="2" l="1"/>
  <c r="AW591" i="2" s="1"/>
  <c r="BC591" i="2"/>
  <c r="AY591" i="2" s="1"/>
  <c r="BD591" i="2"/>
  <c r="BA591" i="2" s="1"/>
  <c r="AZ591" i="2"/>
  <c r="AV591" i="2" l="1"/>
  <c r="AT591" i="2" s="1"/>
  <c r="AU591" i="2"/>
  <c r="AX591" i="2"/>
  <c r="AP592" i="2" l="1"/>
  <c r="AR592" i="2"/>
  <c r="AQ592" i="2"/>
  <c r="AS592" i="2"/>
  <c r="BB592" i="2" l="1"/>
  <c r="AW592" i="2" s="1"/>
  <c r="BD592" i="2"/>
  <c r="BA592" i="2" s="1"/>
  <c r="BC592" i="2"/>
  <c r="AY592" i="2" s="1"/>
  <c r="AU592" i="2" l="1"/>
  <c r="AV592" i="2"/>
  <c r="AX592" i="2"/>
  <c r="AZ592" i="2"/>
  <c r="AT592" i="2" l="1"/>
  <c r="AS593" i="2"/>
  <c r="AQ593" i="2"/>
  <c r="AP593" i="2" l="1"/>
  <c r="AR593" i="2"/>
  <c r="BD593" i="2" l="1"/>
  <c r="BA593" i="2" s="1"/>
  <c r="BB593" i="2"/>
  <c r="AW593" i="2" s="1"/>
  <c r="AU593" i="2" s="1"/>
  <c r="BC593" i="2"/>
  <c r="AY593" i="2" s="1"/>
  <c r="AX593" i="2" l="1"/>
  <c r="AS594" i="2"/>
  <c r="AQ594" i="2"/>
  <c r="AZ593" i="2"/>
  <c r="AV593" i="2"/>
  <c r="AT593" i="2" l="1"/>
  <c r="AR594" i="2" l="1"/>
  <c r="AP594" i="2"/>
  <c r="BB594" i="2" l="1"/>
  <c r="AW594" i="2" s="1"/>
  <c r="BC594" i="2"/>
  <c r="AY594" i="2" s="1"/>
  <c r="BD594" i="2"/>
  <c r="BA594" i="2" s="1"/>
  <c r="AV594" i="2"/>
  <c r="AX594" i="2"/>
  <c r="AZ594" i="2"/>
  <c r="AT594" i="2" l="1"/>
  <c r="AU594" i="2"/>
  <c r="AQ595" i="2" l="1"/>
  <c r="AS595" i="2"/>
  <c r="AP595" i="2"/>
  <c r="AR595" i="2"/>
  <c r="BD595" i="2" l="1"/>
  <c r="BA595" i="2" s="1"/>
  <c r="BC595" i="2"/>
  <c r="AY595" i="2" s="1"/>
  <c r="BB595" i="2"/>
  <c r="AW595" i="2" s="1"/>
  <c r="AZ595" i="2"/>
  <c r="AX595" i="2" l="1"/>
  <c r="AV595" i="2"/>
  <c r="AU595" i="2"/>
  <c r="AS596" i="2" l="1"/>
  <c r="AQ596" i="2"/>
  <c r="AT595" i="2"/>
  <c r="AR596" i="2" l="1"/>
  <c r="AP596" i="2"/>
  <c r="BB596" i="2" l="1"/>
  <c r="AW596" i="2" s="1"/>
  <c r="AU596" i="2" s="1"/>
  <c r="BD596" i="2"/>
  <c r="BA596" i="2" s="1"/>
  <c r="BC596" i="2"/>
  <c r="AY596" i="2" s="1"/>
  <c r="AV596" i="2" l="1"/>
  <c r="AS597" i="2"/>
  <c r="AQ597" i="2"/>
  <c r="AZ596" i="2"/>
  <c r="AX596" i="2"/>
  <c r="AT596" i="2" l="1"/>
  <c r="AP597" i="2" l="1"/>
  <c r="AR597" i="2"/>
  <c r="BD597" i="2" l="1"/>
  <c r="BA597" i="2" s="1"/>
  <c r="BB597" i="2"/>
  <c r="AW597" i="2" s="1"/>
  <c r="BC597" i="2"/>
  <c r="AY597" i="2" s="1"/>
  <c r="AU597" i="2" l="1"/>
  <c r="AX597" i="2"/>
  <c r="AZ597" i="2"/>
  <c r="AV597" i="2"/>
  <c r="AT597" i="2" s="1"/>
  <c r="AR598" i="2" l="1"/>
  <c r="AP598" i="2"/>
  <c r="AQ598" i="2"/>
  <c r="AS598" i="2"/>
  <c r="BC598" i="2" l="1"/>
  <c r="AY598" i="2" s="1"/>
  <c r="AU598" i="2" s="1"/>
  <c r="AS599" i="2" s="1"/>
  <c r="BD598" i="2"/>
  <c r="BA598" i="2" s="1"/>
  <c r="BB598" i="2"/>
  <c r="AW598" i="2" s="1"/>
  <c r="AV598" i="2"/>
  <c r="AZ598" i="2"/>
  <c r="AX598" i="2" l="1"/>
  <c r="AT598" i="2" s="1"/>
  <c r="AQ599" i="2"/>
  <c r="AP599" i="2" l="1"/>
  <c r="AR599" i="2"/>
  <c r="BD599" i="2" l="1"/>
  <c r="BA599" i="2" s="1"/>
  <c r="BB599" i="2"/>
  <c r="AW599" i="2" s="1"/>
  <c r="AU599" i="2" s="1"/>
  <c r="BC599" i="2"/>
  <c r="AY599" i="2" s="1"/>
  <c r="AX599" i="2" l="1"/>
  <c r="AS600" i="2"/>
  <c r="AQ600" i="2"/>
  <c r="AZ599" i="2"/>
  <c r="AV599" i="2"/>
  <c r="AT599" i="2" l="1"/>
  <c r="AR600" i="2" l="1"/>
  <c r="AP600" i="2"/>
  <c r="BC600" i="2" l="1"/>
  <c r="AY600" i="2" s="1"/>
  <c r="BB600" i="2"/>
  <c r="AW600" i="2" s="1"/>
  <c r="AU600" i="2" s="1"/>
  <c r="BD600" i="2"/>
  <c r="BA600" i="2" s="1"/>
  <c r="AX600" i="2"/>
  <c r="AQ601" i="2" l="1"/>
  <c r="AS601" i="2"/>
  <c r="AZ600" i="2"/>
  <c r="AV600" i="2"/>
  <c r="AT600" i="2" l="1"/>
  <c r="AR601" i="2" l="1"/>
  <c r="AP601" i="2"/>
  <c r="BD601" i="2" l="1"/>
  <c r="BA601" i="2" s="1"/>
  <c r="BC601" i="2"/>
  <c r="BB601" i="2"/>
  <c r="AZ601" i="2"/>
  <c r="AV601" i="2" l="1"/>
  <c r="AT601" i="2" s="1"/>
  <c r="AW601" i="2"/>
  <c r="AU601" i="2" s="1"/>
  <c r="AX601" i="2"/>
  <c r="AY601" i="2"/>
  <c r="AP602" i="2" l="1"/>
  <c r="AR602" i="2"/>
  <c r="AQ602" i="2"/>
  <c r="AS602" i="2"/>
  <c r="BD602" i="2" l="1"/>
  <c r="BA602" i="2" s="1"/>
  <c r="BC602" i="2"/>
  <c r="AX602" i="2" s="1"/>
  <c r="BB602" i="2"/>
  <c r="AW602" i="2" s="1"/>
  <c r="AY602" i="2" l="1"/>
  <c r="AU602" i="2" s="1"/>
  <c r="AV602" i="2"/>
  <c r="AZ602" i="2"/>
  <c r="AT602" i="2" l="1"/>
  <c r="AS603" i="2"/>
  <c r="AQ603" i="2"/>
  <c r="AR603" i="2" l="1"/>
  <c r="AP603" i="2"/>
  <c r="BC603" i="2" l="1"/>
  <c r="AY603" i="2" s="1"/>
  <c r="BB603" i="2"/>
  <c r="AW603" i="2" s="1"/>
  <c r="BD603" i="2"/>
  <c r="BA603" i="2" s="1"/>
  <c r="AX603" i="2"/>
  <c r="AZ603" i="2"/>
  <c r="AV603" i="2" l="1"/>
  <c r="AT603" i="2"/>
  <c r="AU603" i="2"/>
  <c r="AP604" i="2" l="1"/>
  <c r="AR604" i="2"/>
  <c r="AS604" i="2"/>
  <c r="AQ604" i="2"/>
  <c r="BB604" i="2" l="1"/>
  <c r="AW604" i="2" s="1"/>
  <c r="BD604" i="2"/>
  <c r="BA604" i="2" s="1"/>
  <c r="BC604" i="2"/>
  <c r="AY604" i="2" s="1"/>
  <c r="AU604" i="2" l="1"/>
  <c r="AZ604" i="2"/>
  <c r="AV604" i="2"/>
  <c r="AT604" i="2" s="1"/>
  <c r="AX604" i="2"/>
  <c r="AP605" i="2" l="1"/>
  <c r="AR605" i="2"/>
  <c r="AQ605" i="2"/>
  <c r="AS605" i="2"/>
  <c r="BB605" i="2" l="1"/>
  <c r="AW605" i="2" s="1"/>
  <c r="BD605" i="2"/>
  <c r="BA605" i="2" s="1"/>
  <c r="BC605" i="2"/>
  <c r="AY605" i="2" s="1"/>
  <c r="AZ605" i="2"/>
  <c r="AV605" i="2"/>
  <c r="AU605" i="2" l="1"/>
  <c r="AX605" i="2"/>
  <c r="AT605" i="2" s="1"/>
  <c r="AP606" i="2" l="1"/>
  <c r="AR606" i="2"/>
  <c r="AS606" i="2"/>
  <c r="AQ606" i="2"/>
  <c r="BC606" i="2" l="1"/>
  <c r="AY606" i="2" s="1"/>
  <c r="BD606" i="2"/>
  <c r="BA606" i="2" s="1"/>
  <c r="BB606" i="2"/>
  <c r="AW606" i="2" s="1"/>
  <c r="AU606" i="2" s="1"/>
  <c r="AQ607" i="2" s="1"/>
  <c r="AX606" i="2" l="1"/>
  <c r="AZ606" i="2"/>
  <c r="AT606" i="2" s="1"/>
  <c r="AV606" i="2"/>
  <c r="AS607" i="2"/>
  <c r="AR607" i="2" l="1"/>
  <c r="AP607" i="2"/>
  <c r="BB607" i="2" l="1"/>
  <c r="AW607" i="2" s="1"/>
  <c r="BD607" i="2"/>
  <c r="BA607" i="2" s="1"/>
  <c r="BC607" i="2"/>
  <c r="AY607" i="2" s="1"/>
  <c r="AV607" i="2"/>
  <c r="AZ607" i="2"/>
  <c r="AX607" i="2" l="1"/>
  <c r="AT607" i="2"/>
  <c r="AU607" i="2"/>
  <c r="AS608" i="2" l="1"/>
  <c r="AQ608" i="2"/>
  <c r="AR608" i="2"/>
  <c r="AP608" i="2"/>
  <c r="BB608" i="2" l="1"/>
  <c r="AW608" i="2" s="1"/>
  <c r="BD608" i="2"/>
  <c r="BA608" i="2" s="1"/>
  <c r="BC608" i="2"/>
  <c r="AY608" i="2" s="1"/>
  <c r="AV608" i="2"/>
  <c r="AZ608" i="2" l="1"/>
  <c r="AX608" i="2"/>
  <c r="AT608" i="2" s="1"/>
  <c r="AU608" i="2"/>
  <c r="AP609" i="2" l="1"/>
  <c r="AR609" i="2"/>
  <c r="AS609" i="2"/>
  <c r="AQ609" i="2"/>
  <c r="BC609" i="2" l="1"/>
  <c r="AY609" i="2" s="1"/>
  <c r="BD609" i="2"/>
  <c r="BA609" i="2" s="1"/>
  <c r="BB609" i="2"/>
  <c r="AW609" i="2" s="1"/>
  <c r="AZ609" i="2"/>
  <c r="AV609" i="2"/>
  <c r="AT609" i="2" s="1"/>
  <c r="AP610" i="2" s="1"/>
  <c r="AX609" i="2"/>
  <c r="AR610" i="2" l="1"/>
  <c r="AU609" i="2"/>
  <c r="AQ610" i="2" l="1"/>
  <c r="AS610" i="2"/>
  <c r="BD610" i="2" l="1"/>
  <c r="BC610" i="2"/>
  <c r="BB610" i="2"/>
  <c r="AW610" i="2" l="1"/>
  <c r="AV610" i="2"/>
  <c r="AY610" i="2"/>
  <c r="AX610" i="2"/>
  <c r="BA610" i="2"/>
  <c r="AZ610" i="2"/>
  <c r="AT610" i="2" l="1"/>
  <c r="AU610" i="2"/>
  <c r="AQ611" i="2" l="1"/>
  <c r="AS611" i="2"/>
  <c r="AP611" i="2"/>
  <c r="AR611" i="2"/>
  <c r="BD611" i="2" l="1"/>
  <c r="BA611" i="2" s="1"/>
  <c r="BB611" i="2"/>
  <c r="AW611" i="2" s="1"/>
  <c r="AU611" i="2" s="1"/>
  <c r="AQ612" i="2" s="1"/>
  <c r="BC611" i="2"/>
  <c r="AY611" i="2" s="1"/>
  <c r="AZ611" i="2"/>
  <c r="AS612" i="2" l="1"/>
  <c r="AX611" i="2"/>
  <c r="AV611" i="2"/>
  <c r="AT611" i="2" s="1"/>
  <c r="AR612" i="2" l="1"/>
  <c r="AP612" i="2"/>
  <c r="BD612" i="2" l="1"/>
  <c r="BA612" i="2" s="1"/>
  <c r="BB612" i="2"/>
  <c r="AW612" i="2" s="1"/>
  <c r="BC612" i="2"/>
  <c r="AY612" i="2" s="1"/>
  <c r="AZ612" i="2"/>
  <c r="AV612" i="2"/>
  <c r="AX612" i="2" l="1"/>
  <c r="AU612" i="2"/>
  <c r="AT612" i="2"/>
  <c r="AR613" i="2" l="1"/>
  <c r="AP613" i="2"/>
  <c r="AQ613" i="2"/>
  <c r="AS613" i="2"/>
  <c r="BC613" i="2" l="1"/>
  <c r="AX613" i="2" s="1"/>
  <c r="BD613" i="2"/>
  <c r="AZ613" i="2" s="1"/>
  <c r="BB613" i="2"/>
  <c r="AV613" i="2" s="1"/>
  <c r="AT613" i="2" s="1"/>
  <c r="AP614" i="2" s="1"/>
  <c r="AY613" i="2" l="1"/>
  <c r="AW613" i="2"/>
  <c r="AU613" i="2" s="1"/>
  <c r="AR614" i="2"/>
  <c r="BA613" i="2"/>
  <c r="AS614" i="2" l="1"/>
  <c r="AQ614" i="2"/>
  <c r="BC614" i="2" l="1"/>
  <c r="AX614" i="2" s="1"/>
  <c r="BD614" i="2"/>
  <c r="AZ614" i="2" s="1"/>
  <c r="BB614" i="2"/>
  <c r="AV614" i="2" s="1"/>
  <c r="AT614" i="2" s="1"/>
  <c r="AP615" i="2" l="1"/>
  <c r="AR615" i="2"/>
  <c r="AY614" i="2"/>
  <c r="AW614" i="2"/>
  <c r="BA614" i="2"/>
  <c r="AU614" i="2" l="1"/>
  <c r="AS615" i="2" l="1"/>
  <c r="AQ615" i="2"/>
  <c r="BD615" i="2" l="1"/>
  <c r="AZ615" i="2" s="1"/>
  <c r="BB615" i="2"/>
  <c r="AV615" i="2" s="1"/>
  <c r="BC615" i="2"/>
  <c r="AX615" i="2" s="1"/>
  <c r="AY615" i="2" l="1"/>
  <c r="AT615" i="2"/>
  <c r="AW615" i="2"/>
  <c r="BA615" i="2"/>
  <c r="AP616" i="2" l="1"/>
  <c r="AR616" i="2"/>
  <c r="AU615" i="2"/>
  <c r="AQ616" i="2" l="1"/>
  <c r="AS616" i="2"/>
  <c r="BB616" i="2" l="1"/>
  <c r="AV616" i="2" s="1"/>
  <c r="BC616" i="2"/>
  <c r="AX616" i="2" s="1"/>
  <c r="BD616" i="2"/>
  <c r="AZ616" i="2" s="1"/>
  <c r="AY616" i="2" l="1"/>
  <c r="AW616" i="2"/>
  <c r="AT616" i="2"/>
  <c r="BA616" i="2"/>
  <c r="AR617" i="2" l="1"/>
  <c r="AP617" i="2"/>
  <c r="AU616" i="2"/>
  <c r="AS617" i="2" l="1"/>
  <c r="AQ617" i="2"/>
  <c r="BC617" i="2"/>
  <c r="AY617" i="2" s="1"/>
  <c r="BD617" i="2"/>
  <c r="BA617" i="2" s="1"/>
  <c r="BB617" i="2"/>
  <c r="AW617" i="2" s="1"/>
  <c r="AU617" i="2" l="1"/>
  <c r="AV617" i="2"/>
  <c r="AQ618" i="2"/>
  <c r="AX617" i="2"/>
  <c r="AT617" i="2" s="1"/>
  <c r="AZ617" i="2"/>
  <c r="AS618" i="2"/>
  <c r="AP618" i="2" l="1"/>
  <c r="AR618" i="2"/>
  <c r="BB618" i="2" l="1"/>
  <c r="AW618" i="2" s="1"/>
  <c r="AU618" i="2" s="1"/>
  <c r="BD618" i="2"/>
  <c r="BA618" i="2" s="1"/>
  <c r="BC618" i="2"/>
  <c r="AY618" i="2" s="1"/>
  <c r="AX618" i="2"/>
  <c r="AQ619" i="2" l="1"/>
  <c r="AS619" i="2"/>
  <c r="AV618" i="2"/>
  <c r="AT618" i="2" s="1"/>
  <c r="AZ618" i="2"/>
  <c r="AR619" i="2" l="1"/>
  <c r="AP619" i="2"/>
  <c r="BC619" i="2" l="1"/>
  <c r="AY619" i="2" s="1"/>
  <c r="BD619" i="2"/>
  <c r="BA619" i="2" s="1"/>
  <c r="BB619" i="2"/>
  <c r="AW619" i="2" s="1"/>
  <c r="AU619" i="2" s="1"/>
  <c r="AS620" i="2" l="1"/>
  <c r="AQ620" i="2"/>
  <c r="AZ619" i="2"/>
  <c r="AV619" i="2"/>
  <c r="AX619" i="2"/>
  <c r="AT619" i="2" l="1"/>
  <c r="AP620" i="2" l="1"/>
  <c r="AR620" i="2"/>
  <c r="BC620" i="2" l="1"/>
  <c r="AY620" i="2" s="1"/>
  <c r="BB620" i="2"/>
  <c r="AW620" i="2" s="1"/>
  <c r="AU620" i="2" s="1"/>
  <c r="BD620" i="2"/>
  <c r="BA620" i="2" s="1"/>
  <c r="AS621" i="2" l="1"/>
  <c r="AQ621" i="2"/>
  <c r="AX620" i="2"/>
  <c r="AZ620" i="2"/>
  <c r="AV620" i="2"/>
  <c r="AT620" i="2" l="1"/>
  <c r="AR621" i="2" l="1"/>
  <c r="AP621" i="2"/>
  <c r="BD621" i="2" l="1"/>
  <c r="BA621" i="2" s="1"/>
  <c r="BC621" i="2"/>
  <c r="AY621" i="2" s="1"/>
  <c r="BB621" i="2"/>
  <c r="AW621" i="2" s="1"/>
  <c r="AZ621" i="2"/>
  <c r="AU621" i="2" l="1"/>
  <c r="AV621" i="2"/>
  <c r="AX621" i="2"/>
  <c r="AT621" i="2" l="1"/>
  <c r="AQ622" i="2"/>
  <c r="AS622" i="2"/>
  <c r="AP622" i="2" l="1"/>
  <c r="AR622" i="2"/>
  <c r="BB622" i="2" l="1"/>
  <c r="AW622" i="2" s="1"/>
  <c r="BD622" i="2"/>
  <c r="BA622" i="2" s="1"/>
  <c r="AV622" i="2"/>
  <c r="BC622" i="2"/>
  <c r="AY622" i="2" s="1"/>
  <c r="AU622" i="2" s="1"/>
  <c r="AZ622" i="2"/>
  <c r="AX622" i="2"/>
  <c r="AT622" i="2" s="1"/>
  <c r="AP623" i="2" s="1"/>
  <c r="BD623" i="2" l="1"/>
  <c r="BA623" i="2" s="1"/>
  <c r="AS623" i="2"/>
  <c r="AQ623" i="2"/>
  <c r="BC623" i="2" s="1"/>
  <c r="AR623" i="2"/>
  <c r="AY623" i="2" l="1"/>
  <c r="AX623" i="2"/>
  <c r="AZ623" i="2"/>
  <c r="BB623" i="2"/>
  <c r="AW623" i="2" l="1"/>
  <c r="AU623" i="2" s="1"/>
  <c r="AV623" i="2"/>
  <c r="AT623" i="2" s="1"/>
  <c r="AR624" i="2" l="1"/>
  <c r="AP624" i="2"/>
  <c r="AQ624" i="2"/>
  <c r="AS624" i="2"/>
  <c r="BC624" i="2" l="1"/>
  <c r="AY624" i="2" s="1"/>
  <c r="BD624" i="2"/>
  <c r="BA624" i="2" s="1"/>
  <c r="BB624" i="2"/>
  <c r="AW624" i="2" s="1"/>
  <c r="AX624" i="2"/>
  <c r="AZ624" i="2" l="1"/>
  <c r="AU624" i="2"/>
  <c r="AV624" i="2"/>
  <c r="AT624" i="2" s="1"/>
  <c r="AR625" i="2" l="1"/>
  <c r="AP625" i="2"/>
  <c r="AS625" i="2"/>
  <c r="AQ625" i="2"/>
  <c r="BB625" i="2" l="1"/>
  <c r="AW625" i="2" s="1"/>
  <c r="AZ625" i="2"/>
  <c r="BC625" i="2"/>
  <c r="AY625" i="2" s="1"/>
  <c r="BD625" i="2"/>
  <c r="BA625" i="2" s="1"/>
  <c r="AV625" i="2"/>
  <c r="AX625" i="2"/>
  <c r="AT625" i="2" l="1"/>
  <c r="AU625" i="2"/>
  <c r="AQ626" i="2" l="1"/>
  <c r="AS626" i="2"/>
  <c r="AR626" i="2"/>
  <c r="AP626" i="2"/>
  <c r="BD626" i="2" l="1"/>
  <c r="BA626" i="2" s="1"/>
  <c r="BB626" i="2"/>
  <c r="AV626" i="2" s="1"/>
  <c r="BC626" i="2"/>
  <c r="AY626" i="2" s="1"/>
  <c r="AZ626" i="2"/>
  <c r="AW626" i="2" l="1"/>
  <c r="AU626" i="2" s="1"/>
  <c r="AX626" i="2"/>
  <c r="AT626" i="2"/>
  <c r="AP627" i="2" l="1"/>
  <c r="AR627" i="2"/>
  <c r="AS627" i="2"/>
  <c r="AQ627" i="2"/>
  <c r="AY627" i="2" l="1"/>
  <c r="BD627" i="2"/>
  <c r="BA627" i="2" s="1"/>
  <c r="BB627" i="2"/>
  <c r="AW627" i="2" s="1"/>
  <c r="AU627" i="2" s="1"/>
  <c r="BC627" i="2"/>
  <c r="AX627" i="2"/>
  <c r="AS628" i="2" l="1"/>
  <c r="AQ628" i="2"/>
  <c r="AZ627" i="2"/>
  <c r="AV627" i="2"/>
  <c r="AT627" i="2" l="1"/>
  <c r="AR628" i="2" l="1"/>
  <c r="AP628" i="2"/>
  <c r="BB628" i="2" l="1"/>
  <c r="AW628" i="2" s="1"/>
  <c r="BD628" i="2"/>
  <c r="BA628" i="2" s="1"/>
  <c r="BC628" i="2"/>
  <c r="AY628" i="2" s="1"/>
  <c r="AV628" i="2"/>
  <c r="AX628" i="2"/>
  <c r="AZ628" i="2" l="1"/>
  <c r="AT628" i="2"/>
  <c r="AU628" i="2"/>
  <c r="AQ629" i="2" l="1"/>
  <c r="AS629" i="2"/>
  <c r="AP629" i="2"/>
  <c r="AR629" i="2"/>
  <c r="BD629" i="2" l="1"/>
  <c r="BA629" i="2" s="1"/>
  <c r="BC629" i="2"/>
  <c r="AY629" i="2" s="1"/>
  <c r="BB629" i="2"/>
  <c r="AW629" i="2" s="1"/>
  <c r="AU629" i="2" s="1"/>
  <c r="AQ630" i="2" l="1"/>
  <c r="AS630" i="2"/>
  <c r="AV629" i="2"/>
  <c r="AT629" i="2" s="1"/>
  <c r="AX629" i="2"/>
  <c r="AZ629" i="2"/>
  <c r="AR630" i="2" l="1"/>
  <c r="AP630" i="2"/>
  <c r="BB630" i="2" l="1"/>
  <c r="BD630" i="2"/>
  <c r="BA630" i="2" s="1"/>
  <c r="BC630" i="2"/>
  <c r="AZ630" i="2" l="1"/>
  <c r="AX630" i="2"/>
  <c r="AY630" i="2"/>
  <c r="AV630" i="2"/>
  <c r="AW630" i="2"/>
  <c r="AU630" i="2" l="1"/>
  <c r="AT630" i="2"/>
  <c r="AR631" i="2" l="1"/>
  <c r="AP631" i="2"/>
  <c r="AQ631" i="2"/>
  <c r="AS631" i="2"/>
  <c r="BD631" i="2" l="1"/>
  <c r="BA631" i="2" s="1"/>
  <c r="BB631" i="2"/>
  <c r="AW631" i="2" s="1"/>
  <c r="BC631" i="2"/>
  <c r="AY631" i="2" s="1"/>
  <c r="AU631" i="2" s="1"/>
  <c r="AS632" i="2" l="1"/>
  <c r="AQ632" i="2"/>
  <c r="AX631" i="2"/>
  <c r="AT631" i="2" s="1"/>
  <c r="AZ631" i="2"/>
  <c r="AV631" i="2"/>
  <c r="AR632" i="2" l="1"/>
  <c r="AP632" i="2"/>
  <c r="BC632" i="2" l="1"/>
  <c r="AY632" i="2" s="1"/>
  <c r="BD632" i="2"/>
  <c r="BA632" i="2" s="1"/>
  <c r="BB632" i="2"/>
  <c r="AW632" i="2" s="1"/>
  <c r="AU632" i="2" s="1"/>
  <c r="AX632" i="2"/>
  <c r="AZ632" i="2" l="1"/>
  <c r="AV632" i="2"/>
  <c r="AT632" i="2" s="1"/>
  <c r="AQ633" i="2"/>
  <c r="AS633" i="2"/>
  <c r="AP633" i="2" l="1"/>
  <c r="AR633" i="2"/>
  <c r="BB633" i="2" l="1"/>
  <c r="AW633" i="2" s="1"/>
  <c r="BD633" i="2"/>
  <c r="BA633" i="2" s="1"/>
  <c r="BC633" i="2"/>
  <c r="AY633" i="2" s="1"/>
  <c r="AZ633" i="2" l="1"/>
  <c r="AU633" i="2"/>
  <c r="AX633" i="2"/>
  <c r="AV633" i="2"/>
  <c r="AS634" i="2" l="1"/>
  <c r="AQ634" i="2"/>
  <c r="AT633" i="2"/>
  <c r="AR634" i="2" l="1"/>
  <c r="AP634" i="2"/>
  <c r="BD634" i="2" l="1"/>
  <c r="BA634" i="2" s="1"/>
  <c r="BC634" i="2"/>
  <c r="AY634" i="2" s="1"/>
  <c r="BB634" i="2"/>
  <c r="AZ634" i="2"/>
  <c r="AX634" i="2"/>
  <c r="AV634" i="2" l="1"/>
  <c r="AW634" i="2"/>
  <c r="AU634" i="2" s="1"/>
  <c r="AT634" i="2"/>
  <c r="AP635" i="2" l="1"/>
  <c r="AR635" i="2"/>
  <c r="AS635" i="2"/>
  <c r="AQ635" i="2"/>
  <c r="BB635" i="2" l="1"/>
  <c r="AW635" i="2" s="1"/>
  <c r="AU635" i="2" s="1"/>
  <c r="AS636" i="2" s="1"/>
  <c r="BC635" i="2"/>
  <c r="AY635" i="2" s="1"/>
  <c r="BD635" i="2"/>
  <c r="BA635" i="2" s="1"/>
  <c r="AX635" i="2"/>
  <c r="AV635" i="2" l="1"/>
  <c r="AZ635" i="2"/>
  <c r="AQ636" i="2"/>
  <c r="AT635" i="2" l="1"/>
  <c r="AP636" i="2" l="1"/>
  <c r="AR636" i="2"/>
  <c r="BC636" i="2" l="1"/>
  <c r="AY636" i="2" s="1"/>
  <c r="BD636" i="2"/>
  <c r="BA636" i="2" s="1"/>
  <c r="BB636" i="2"/>
  <c r="AW636" i="2" s="1"/>
  <c r="AX636" i="2" l="1"/>
  <c r="AV636" i="2"/>
  <c r="AZ636" i="2"/>
  <c r="AU636" i="2"/>
  <c r="AS637" i="2" l="1"/>
  <c r="AQ637" i="2"/>
  <c r="AT636" i="2"/>
  <c r="AR637" i="2" l="1"/>
  <c r="AP637" i="2"/>
  <c r="BB637" i="2" l="1"/>
  <c r="AW637" i="2" s="1"/>
  <c r="BC637" i="2"/>
  <c r="AY637" i="2" s="1"/>
  <c r="BD637" i="2"/>
  <c r="BA637" i="2" s="1"/>
  <c r="AV637" i="2" l="1"/>
  <c r="AU637" i="2"/>
  <c r="AX637" i="2"/>
  <c r="AZ637" i="2"/>
  <c r="AS638" i="2" l="1"/>
  <c r="AQ638" i="2"/>
  <c r="AT637" i="2"/>
  <c r="AR638" i="2" l="1"/>
  <c r="AP638" i="2"/>
  <c r="BB638" i="2" l="1"/>
  <c r="AW638" i="2" s="1"/>
  <c r="BC638" i="2"/>
  <c r="AY638" i="2" s="1"/>
  <c r="BD638" i="2"/>
  <c r="BA638" i="2" s="1"/>
  <c r="AV638" i="2"/>
  <c r="AX638" i="2" l="1"/>
  <c r="AT638" i="2" s="1"/>
  <c r="AZ638" i="2"/>
  <c r="AU638" i="2"/>
  <c r="AP639" i="2" l="1"/>
  <c r="AR639" i="2"/>
  <c r="AQ639" i="2"/>
  <c r="AS639" i="2"/>
  <c r="BB639" i="2" l="1"/>
  <c r="AW639" i="2" s="1"/>
  <c r="BC639" i="2"/>
  <c r="AY639" i="2" s="1"/>
  <c r="BD639" i="2"/>
  <c r="BA639" i="2" s="1"/>
  <c r="AU639" i="2" s="1"/>
  <c r="AZ639" i="2"/>
  <c r="AS640" i="2" l="1"/>
  <c r="AQ640" i="2"/>
  <c r="AV639" i="2"/>
  <c r="AT639" i="2" s="1"/>
  <c r="AX639" i="2"/>
  <c r="AR640" i="2" l="1"/>
  <c r="AP640" i="2"/>
  <c r="BB640" i="2" l="1"/>
  <c r="AW640" i="2" s="1"/>
  <c r="BD640" i="2"/>
  <c r="BA640" i="2" s="1"/>
  <c r="BC640" i="2"/>
  <c r="AY640" i="2" s="1"/>
  <c r="AV640" i="2"/>
  <c r="AX640" i="2" l="1"/>
  <c r="AT640" i="2" s="1"/>
  <c r="AZ640" i="2"/>
  <c r="AU640" i="2"/>
  <c r="AP641" i="2" l="1"/>
  <c r="AR641" i="2"/>
  <c r="AS641" i="2"/>
  <c r="AQ641" i="2"/>
  <c r="BC641" i="2" l="1"/>
  <c r="AY641" i="2" s="1"/>
  <c r="BD641" i="2"/>
  <c r="BA641" i="2" s="1"/>
  <c r="BB641" i="2"/>
  <c r="AW641" i="2" s="1"/>
  <c r="AU641" i="2" s="1"/>
  <c r="AQ642" i="2" s="1"/>
  <c r="AZ641" i="2"/>
  <c r="AS642" i="2" l="1"/>
  <c r="AX641" i="2"/>
  <c r="AV641" i="2"/>
  <c r="AT641" i="2" l="1"/>
  <c r="AP642" i="2" l="1"/>
  <c r="AR642" i="2"/>
  <c r="BC642" i="2" l="1"/>
  <c r="AY642" i="2" s="1"/>
  <c r="BB642" i="2"/>
  <c r="AW642" i="2" s="1"/>
  <c r="AU642" i="2" s="1"/>
  <c r="BD642" i="2"/>
  <c r="BA642" i="2" s="1"/>
  <c r="AX642" i="2"/>
  <c r="AS643" i="2" l="1"/>
  <c r="AQ643" i="2"/>
  <c r="AV642" i="2"/>
  <c r="AT642" i="2" s="1"/>
  <c r="AZ642" i="2"/>
  <c r="AR643" i="2" l="1"/>
  <c r="AP643" i="2"/>
  <c r="BC643" i="2" l="1"/>
  <c r="AY643" i="2" s="1"/>
  <c r="BB643" i="2"/>
  <c r="AW643" i="2" s="1"/>
  <c r="BD643" i="2"/>
  <c r="BA643" i="2" s="1"/>
  <c r="AX643" i="2"/>
  <c r="AV643" i="2" l="1"/>
  <c r="AZ643" i="2"/>
  <c r="AU643" i="2"/>
  <c r="AQ644" i="2" l="1"/>
  <c r="AS644" i="2"/>
  <c r="AT643" i="2"/>
  <c r="AP644" i="2" l="1"/>
  <c r="AR644" i="2"/>
  <c r="BD644" i="2" l="1"/>
  <c r="BA644" i="2" s="1"/>
  <c r="BB644" i="2"/>
  <c r="BC644" i="2"/>
  <c r="AZ644" i="2"/>
  <c r="AX644" i="2" l="1"/>
  <c r="AY644" i="2"/>
  <c r="AV644" i="2"/>
  <c r="AT644" i="2" s="1"/>
  <c r="AW644" i="2"/>
  <c r="AP645" i="2" l="1"/>
  <c r="AR645" i="2"/>
  <c r="AU644" i="2"/>
  <c r="AS645" i="2" l="1"/>
  <c r="AQ645" i="2"/>
  <c r="BD645" i="2" s="1"/>
  <c r="AZ645" i="2" s="1"/>
  <c r="BA645" i="2" l="1"/>
  <c r="BC645" i="2"/>
  <c r="AX645" i="2" s="1"/>
  <c r="BB645" i="2"/>
  <c r="AV645" i="2" s="1"/>
  <c r="AT645" i="2" s="1"/>
  <c r="AY645" i="2" l="1"/>
  <c r="AR646" i="2"/>
  <c r="AP646" i="2"/>
  <c r="AW645" i="2"/>
  <c r="AU645" i="2" s="1"/>
  <c r="AS646" i="2" l="1"/>
  <c r="AQ646" i="2"/>
  <c r="BD646" i="2"/>
  <c r="AZ646" i="2" s="1"/>
  <c r="BC646" i="2"/>
  <c r="AX646" i="2" s="1"/>
  <c r="BB646" i="2" l="1"/>
  <c r="AV646" i="2" s="1"/>
  <c r="AT646" i="2" s="1"/>
  <c r="BA646" i="2"/>
  <c r="AY646" i="2"/>
  <c r="AP647" i="2" l="1"/>
  <c r="AR647" i="2"/>
  <c r="AW646" i="2"/>
  <c r="AU646" i="2" s="1"/>
  <c r="AS647" i="2" l="1"/>
  <c r="AQ647" i="2"/>
  <c r="BD647" i="2"/>
  <c r="AZ647" i="2" s="1"/>
  <c r="BC647" i="2"/>
  <c r="AX647" i="2" s="1"/>
  <c r="BA647" i="2" l="1"/>
  <c r="AY647" i="2"/>
  <c r="BB647" i="2"/>
  <c r="AV647" i="2" s="1"/>
  <c r="AT647" i="2" s="1"/>
  <c r="AW647" i="2" l="1"/>
  <c r="AU647" i="2" s="1"/>
  <c r="AR648" i="2"/>
  <c r="AP648" i="2"/>
  <c r="AS648" i="2" l="1"/>
  <c r="AQ648" i="2"/>
  <c r="BB648" i="2" s="1"/>
  <c r="AV648" i="2" s="1"/>
  <c r="BD648" i="2" l="1"/>
  <c r="AZ648" i="2" s="1"/>
  <c r="BC648" i="2"/>
  <c r="AX648" i="2" s="1"/>
  <c r="AT648" i="2" s="1"/>
  <c r="AW648" i="2"/>
  <c r="AP649" i="2" l="1"/>
  <c r="AR649" i="2"/>
  <c r="BA648" i="2"/>
  <c r="AY648" i="2"/>
  <c r="AU648" i="2" s="1"/>
  <c r="AS649" i="2" l="1"/>
  <c r="AQ649" i="2"/>
  <c r="BC649" i="2" s="1"/>
  <c r="BD649" i="2"/>
  <c r="BA649" i="2" s="1"/>
  <c r="BB649" i="2"/>
  <c r="AV649" i="2" s="1"/>
  <c r="AY649" i="2" l="1"/>
  <c r="AX649" i="2"/>
  <c r="AZ649" i="2"/>
  <c r="AT649" i="2" s="1"/>
  <c r="AW649" i="2"/>
  <c r="AU649" i="2" s="1"/>
  <c r="AQ650" i="2" s="1"/>
  <c r="AP650" i="2" l="1"/>
  <c r="AR650" i="2"/>
  <c r="AS650" i="2"/>
  <c r="BC650" i="2" l="1"/>
  <c r="AY650" i="2" s="1"/>
  <c r="BB650" i="2"/>
  <c r="AW650" i="2" s="1"/>
  <c r="AU650" i="2" s="1"/>
  <c r="AQ651" i="2" s="1"/>
  <c r="BD650" i="2"/>
  <c r="BA650" i="2" s="1"/>
  <c r="AZ650" i="2"/>
  <c r="AV650" i="2" l="1"/>
  <c r="AX650" i="2"/>
  <c r="AS651" i="2"/>
  <c r="AT650" i="2" l="1"/>
  <c r="AP651" i="2" l="1"/>
  <c r="AR651" i="2"/>
  <c r="BB651" i="2" l="1"/>
  <c r="AW651" i="2" s="1"/>
  <c r="BC651" i="2"/>
  <c r="AY651" i="2" s="1"/>
  <c r="BD651" i="2"/>
  <c r="BA651" i="2" s="1"/>
  <c r="AV651" i="2"/>
  <c r="AX651" i="2" l="1"/>
  <c r="AT651" i="2" s="1"/>
  <c r="AZ651" i="2"/>
  <c r="AU651" i="2"/>
  <c r="AR652" i="2" l="1"/>
  <c r="AP652" i="2"/>
  <c r="AS652" i="2"/>
  <c r="AQ652" i="2"/>
  <c r="BD652" i="2" l="1"/>
  <c r="BA652" i="2" s="1"/>
  <c r="BC652" i="2"/>
  <c r="AY652" i="2" s="1"/>
  <c r="BB652" i="2"/>
  <c r="AW652" i="2" s="1"/>
  <c r="AU652" i="2" l="1"/>
  <c r="AZ652" i="2"/>
  <c r="AX652" i="2"/>
  <c r="AV652" i="2"/>
  <c r="AT652" i="2" s="1"/>
  <c r="AR653" i="2" l="1"/>
  <c r="AP653" i="2"/>
  <c r="AQ653" i="2"/>
  <c r="AS653" i="2"/>
  <c r="BC653" i="2" l="1"/>
  <c r="AY653" i="2" s="1"/>
  <c r="BD653" i="2"/>
  <c r="BA653" i="2" s="1"/>
  <c r="BB653" i="2"/>
  <c r="AW653" i="2" s="1"/>
  <c r="AV653" i="2"/>
  <c r="AZ653" i="2" l="1"/>
  <c r="AX653" i="2"/>
  <c r="AT653" i="2" s="1"/>
  <c r="AU653" i="2"/>
  <c r="AR654" i="2" l="1"/>
  <c r="AP654" i="2"/>
  <c r="AS654" i="2"/>
  <c r="AQ654" i="2"/>
  <c r="BB654" i="2" l="1"/>
  <c r="AW654" i="2" s="1"/>
  <c r="BC654" i="2"/>
  <c r="AY654" i="2" s="1"/>
  <c r="BD654" i="2"/>
  <c r="BA654" i="2" s="1"/>
  <c r="AV654" i="2" l="1"/>
  <c r="AZ654" i="2"/>
  <c r="AX654" i="2"/>
  <c r="AU654" i="2"/>
  <c r="AQ655" i="2" l="1"/>
  <c r="AS655" i="2"/>
  <c r="AT654" i="2"/>
  <c r="AR655" i="2" l="1"/>
  <c r="AP655" i="2"/>
  <c r="BB655" i="2" l="1"/>
  <c r="AW655" i="2" s="1"/>
  <c r="AU655" i="2" s="1"/>
  <c r="BC655" i="2"/>
  <c r="AY655" i="2" s="1"/>
  <c r="BD655" i="2"/>
  <c r="BA655" i="2" s="1"/>
  <c r="AZ655" i="2" l="1"/>
  <c r="AS656" i="2"/>
  <c r="AQ656" i="2"/>
  <c r="AX655" i="2"/>
  <c r="AV655" i="2"/>
  <c r="AT655" i="2" l="1"/>
  <c r="AR656" i="2" l="1"/>
  <c r="AP656" i="2"/>
  <c r="BC656" i="2" l="1"/>
  <c r="BB656" i="2"/>
  <c r="BD656" i="2"/>
  <c r="BA656" i="2" s="1"/>
  <c r="AZ656" i="2" l="1"/>
  <c r="AV656" i="2"/>
  <c r="AW656" i="2"/>
  <c r="AU656" i="2" s="1"/>
  <c r="AX656" i="2"/>
  <c r="AY656" i="2"/>
  <c r="AS657" i="2" l="1"/>
  <c r="AQ657" i="2"/>
  <c r="AT656" i="2"/>
  <c r="AP657" i="2" l="1"/>
  <c r="AR657" i="2"/>
  <c r="BB657" i="2" l="1"/>
  <c r="AW657" i="2" s="1"/>
  <c r="BC657" i="2"/>
  <c r="AY657" i="2" s="1"/>
  <c r="BD657" i="2"/>
  <c r="BA657" i="2" s="1"/>
  <c r="AV657" i="2"/>
  <c r="AX657" i="2"/>
  <c r="AZ657" i="2" l="1"/>
  <c r="AT657" i="2"/>
  <c r="AU657" i="2"/>
  <c r="AS658" i="2" l="1"/>
  <c r="AQ658" i="2"/>
  <c r="AP658" i="2"/>
  <c r="AR658" i="2"/>
  <c r="BB658" i="2" l="1"/>
  <c r="AV658" i="2" s="1"/>
  <c r="BD658" i="2"/>
  <c r="BA658" i="2" s="1"/>
  <c r="BC658" i="2"/>
  <c r="AX658" i="2" s="1"/>
  <c r="AY658" i="2" l="1"/>
  <c r="AW658" i="2"/>
  <c r="AU658" i="2" s="1"/>
  <c r="AZ658" i="2"/>
  <c r="AT658" i="2" s="1"/>
  <c r="AR659" i="2" l="1"/>
  <c r="AP659" i="2"/>
  <c r="AS659" i="2"/>
  <c r="AQ659" i="2"/>
  <c r="BC659" i="2" l="1"/>
  <c r="AY659" i="2" s="1"/>
  <c r="AV659" i="2"/>
  <c r="BD659" i="2"/>
  <c r="BA659" i="2" s="1"/>
  <c r="BB659" i="2"/>
  <c r="AW659" i="2" s="1"/>
  <c r="AZ659" i="2"/>
  <c r="AX659" i="2"/>
  <c r="AT659" i="2" s="1"/>
  <c r="AR660" i="2" s="1"/>
  <c r="AP660" i="2" l="1"/>
  <c r="AU659" i="2"/>
  <c r="AQ660" i="2" l="1"/>
  <c r="AS660" i="2"/>
  <c r="AX660" i="2"/>
  <c r="BD660" i="2"/>
  <c r="BA660" i="2" s="1"/>
  <c r="BC660" i="2"/>
  <c r="AY660" i="2" s="1"/>
  <c r="BB660" i="2"/>
  <c r="AW660" i="2" s="1"/>
  <c r="AU660" i="2" s="1"/>
  <c r="AQ661" i="2" s="1"/>
  <c r="AV660" i="2"/>
  <c r="AZ660" i="2"/>
  <c r="AT660" i="2" l="1"/>
  <c r="AS661" i="2"/>
  <c r="AR661" i="2" l="1"/>
  <c r="AP661" i="2"/>
  <c r="BD661" i="2" l="1"/>
  <c r="BA661" i="2" s="1"/>
  <c r="BB661" i="2"/>
  <c r="AW661" i="2" s="1"/>
  <c r="AU661" i="2" s="1"/>
  <c r="BC661" i="2"/>
  <c r="AY661" i="2" s="1"/>
  <c r="AZ661" i="2"/>
  <c r="AQ662" i="2" l="1"/>
  <c r="AS662" i="2"/>
  <c r="AX661" i="2"/>
  <c r="AT661" i="2" s="1"/>
  <c r="AV661" i="2"/>
  <c r="AP662" i="2" l="1"/>
  <c r="AR662" i="2"/>
  <c r="BC662" i="2" l="1"/>
  <c r="AY662" i="2" s="1"/>
  <c r="BD662" i="2"/>
  <c r="BA662" i="2" s="1"/>
  <c r="BB662" i="2"/>
  <c r="AW662" i="2" s="1"/>
  <c r="AU662" i="2" s="1"/>
  <c r="AX662" i="2"/>
  <c r="AZ662" i="2" l="1"/>
  <c r="AQ663" i="2"/>
  <c r="AS663" i="2"/>
  <c r="AV662" i="2"/>
  <c r="AT662" i="2" s="1"/>
  <c r="AP663" i="2" l="1"/>
  <c r="AR663" i="2"/>
  <c r="BB663" i="2" l="1"/>
  <c r="AW663" i="2" s="1"/>
  <c r="BD663" i="2"/>
  <c r="BA663" i="2" s="1"/>
  <c r="BC663" i="2"/>
  <c r="AY663" i="2" s="1"/>
  <c r="AZ663" i="2" l="1"/>
  <c r="AU663" i="2"/>
  <c r="AX663" i="2"/>
  <c r="AV663" i="2"/>
  <c r="AT663" i="2" l="1"/>
  <c r="AS664" i="2"/>
  <c r="AQ664" i="2"/>
  <c r="AR664" i="2" l="1"/>
  <c r="AP664" i="2"/>
  <c r="BD664" i="2" l="1"/>
  <c r="BA664" i="2" s="1"/>
  <c r="BC664" i="2"/>
  <c r="AY664" i="2" s="1"/>
  <c r="BB664" i="2"/>
  <c r="AW664" i="2" s="1"/>
  <c r="AZ664" i="2"/>
  <c r="AX664" i="2"/>
  <c r="AV664" i="2" l="1"/>
  <c r="AT664" i="2" s="1"/>
  <c r="AU664" i="2"/>
  <c r="AS665" i="2" l="1"/>
  <c r="AQ665" i="2"/>
  <c r="AP665" i="2"/>
  <c r="AR665" i="2"/>
  <c r="BD665" i="2" l="1"/>
  <c r="BA665" i="2" s="1"/>
  <c r="BB665" i="2"/>
  <c r="AW665" i="2" s="1"/>
  <c r="BC665" i="2"/>
  <c r="AY665" i="2" s="1"/>
  <c r="AX665" i="2"/>
  <c r="AZ665" i="2" l="1"/>
  <c r="AV665" i="2"/>
  <c r="AT665" i="2" s="1"/>
  <c r="AU665" i="2"/>
  <c r="AR666" i="2" l="1"/>
  <c r="AP666" i="2"/>
  <c r="AQ666" i="2"/>
  <c r="AS666" i="2"/>
  <c r="BC666" i="2" l="1"/>
  <c r="AY666" i="2" s="1"/>
  <c r="BB666" i="2"/>
  <c r="AV666" i="2" s="1"/>
  <c r="BD666" i="2"/>
  <c r="AZ666" i="2" s="1"/>
  <c r="AX666" i="2"/>
  <c r="AT666" i="2" l="1"/>
  <c r="BA666" i="2"/>
  <c r="AW666" i="2"/>
  <c r="AU666" i="2" l="1"/>
  <c r="AP667" i="2"/>
  <c r="AR667" i="2"/>
  <c r="AS667" i="2" l="1"/>
  <c r="AQ667" i="2"/>
  <c r="BC667" i="2" s="1"/>
  <c r="AY667" i="2" l="1"/>
  <c r="AX667" i="2"/>
  <c r="BB667" i="2"/>
  <c r="BD667" i="2"/>
  <c r="AW667" i="2" l="1"/>
  <c r="AV667" i="2"/>
  <c r="BA667" i="2"/>
  <c r="AZ667" i="2"/>
  <c r="AT667" i="2" s="1"/>
  <c r="AP668" i="2" l="1"/>
  <c r="AR668" i="2"/>
  <c r="AU667" i="2"/>
  <c r="AS668" i="2" l="1"/>
  <c r="AQ668" i="2"/>
  <c r="BD668" i="2" s="1"/>
  <c r="BA668" i="2" l="1"/>
  <c r="AZ668" i="2"/>
  <c r="BB668" i="2"/>
  <c r="BC668" i="2"/>
  <c r="AY668" i="2" l="1"/>
  <c r="AX668" i="2"/>
  <c r="AW668" i="2"/>
  <c r="AU668" i="2" s="1"/>
  <c r="AV668" i="2"/>
  <c r="AT668" i="2" s="1"/>
  <c r="AR669" i="2" l="1"/>
  <c r="AP669" i="2"/>
  <c r="AS669" i="2"/>
  <c r="AQ669" i="2"/>
  <c r="BC669" i="2" l="1"/>
  <c r="AY669" i="2" s="1"/>
  <c r="BB669" i="2"/>
  <c r="AW669" i="2" s="1"/>
  <c r="BD669" i="2"/>
  <c r="BA669" i="2" s="1"/>
  <c r="AU669" i="2" l="1"/>
  <c r="AZ669" i="2"/>
  <c r="AT669" i="2" s="1"/>
  <c r="AX669" i="2"/>
  <c r="AV669" i="2"/>
  <c r="AR670" i="2" l="1"/>
  <c r="AP670" i="2"/>
  <c r="AQ670" i="2"/>
  <c r="AS670" i="2"/>
  <c r="BB670" i="2" l="1"/>
  <c r="AW670" i="2" s="1"/>
  <c r="BC670" i="2"/>
  <c r="AX670" i="2" s="1"/>
  <c r="BD670" i="2"/>
  <c r="AZ670" i="2"/>
  <c r="BA670" i="2"/>
  <c r="AV670" i="2" l="1"/>
  <c r="AT670" i="2"/>
  <c r="AY670" i="2"/>
  <c r="AU670" i="2" s="1"/>
  <c r="AS671" i="2" l="1"/>
  <c r="AQ671" i="2"/>
  <c r="AR671" i="2"/>
  <c r="AP671" i="2"/>
  <c r="BB671" i="2" l="1"/>
  <c r="AW671" i="2" s="1"/>
  <c r="BD671" i="2"/>
  <c r="BA671" i="2" s="1"/>
  <c r="BC671" i="2"/>
  <c r="AY671" i="2" s="1"/>
  <c r="AV671" i="2"/>
  <c r="AX671" i="2"/>
  <c r="AZ671" i="2" l="1"/>
  <c r="AT671" i="2"/>
  <c r="AU671" i="2"/>
  <c r="AS672" i="2" l="1"/>
  <c r="AQ672" i="2"/>
  <c r="AP672" i="2"/>
  <c r="AR672" i="2"/>
  <c r="BD672" i="2" l="1"/>
  <c r="BA672" i="2" s="1"/>
  <c r="BB672" i="2"/>
  <c r="AW672" i="2" s="1"/>
  <c r="BC672" i="2"/>
  <c r="AY672" i="2" s="1"/>
  <c r="AZ672" i="2" l="1"/>
  <c r="AX672" i="2"/>
  <c r="AV672" i="2"/>
  <c r="AU672" i="2"/>
  <c r="AQ673" i="2" l="1"/>
  <c r="AS673" i="2"/>
  <c r="AT672" i="2"/>
  <c r="AR673" i="2" l="1"/>
  <c r="AP673" i="2"/>
  <c r="BB673" i="2" l="1"/>
  <c r="AW673" i="2" s="1"/>
  <c r="BC673" i="2"/>
  <c r="AY673" i="2" s="1"/>
  <c r="BD673" i="2"/>
  <c r="BA673" i="2" s="1"/>
  <c r="AX673" i="2" l="1"/>
  <c r="AZ673" i="2"/>
  <c r="AV673" i="2"/>
  <c r="AT673" i="2" s="1"/>
  <c r="AU673" i="2"/>
  <c r="AQ674" i="2" l="1"/>
  <c r="AS674" i="2"/>
  <c r="AP674" i="2"/>
  <c r="AR674" i="2"/>
  <c r="AV674" i="2" l="1"/>
  <c r="BC674" i="2"/>
  <c r="AY674" i="2" s="1"/>
  <c r="BB674" i="2"/>
  <c r="AW674" i="2" s="1"/>
  <c r="BD674" i="2"/>
  <c r="BA674" i="2" s="1"/>
  <c r="AX674" i="2"/>
  <c r="AZ674" i="2" l="1"/>
  <c r="AT674" i="2" s="1"/>
  <c r="AU674" i="2"/>
  <c r="AR675" i="2" l="1"/>
  <c r="AP675" i="2"/>
  <c r="AS675" i="2"/>
  <c r="AQ675" i="2"/>
  <c r="BD675" i="2" l="1"/>
  <c r="BA675" i="2" s="1"/>
  <c r="BB675" i="2"/>
  <c r="AW675" i="2" s="1"/>
  <c r="AU675" i="2" s="1"/>
  <c r="AS676" i="2" s="1"/>
  <c r="BC675" i="2"/>
  <c r="AY675" i="2" s="1"/>
  <c r="AZ675" i="2"/>
  <c r="AX675" i="2"/>
  <c r="AV675" i="2" l="1"/>
  <c r="AT675" i="2"/>
  <c r="AQ676" i="2"/>
  <c r="AP676" i="2" l="1"/>
  <c r="AR676" i="2"/>
  <c r="BB676" i="2" l="1"/>
  <c r="AW676" i="2" s="1"/>
  <c r="BC676" i="2"/>
  <c r="AY676" i="2" s="1"/>
  <c r="BD676" i="2"/>
  <c r="BA676" i="2" s="1"/>
  <c r="AV676" i="2"/>
  <c r="AX676" i="2"/>
  <c r="AZ676" i="2" l="1"/>
  <c r="AT676" i="2"/>
  <c r="AU676" i="2"/>
  <c r="AS677" i="2" l="1"/>
  <c r="AQ677" i="2"/>
  <c r="AP677" i="2"/>
  <c r="AR677" i="2"/>
  <c r="BB677" i="2" l="1"/>
  <c r="AV677" i="2" s="1"/>
  <c r="BC677" i="2"/>
  <c r="AX677" i="2" s="1"/>
  <c r="BD677" i="2"/>
  <c r="AZ677" i="2" s="1"/>
  <c r="AT677" i="2" l="1"/>
  <c r="AY677" i="2"/>
  <c r="AW677" i="2"/>
  <c r="BA677" i="2"/>
  <c r="AU677" i="2" l="1"/>
  <c r="AR678" i="2"/>
  <c r="AP678" i="2"/>
  <c r="BD678" i="2" l="1"/>
  <c r="BA678" i="2" s="1"/>
  <c r="AQ678" i="2"/>
  <c r="BB678" i="2" s="1"/>
  <c r="AS678" i="2"/>
  <c r="AW678" i="2" l="1"/>
  <c r="AV678" i="2"/>
  <c r="AZ678" i="2"/>
  <c r="BC678" i="2"/>
  <c r="AY678" i="2" l="1"/>
  <c r="AU678" i="2" s="1"/>
  <c r="AX678" i="2"/>
  <c r="AT678" i="2" s="1"/>
  <c r="AR679" i="2" l="1"/>
  <c r="AP679" i="2"/>
  <c r="AS679" i="2"/>
  <c r="AQ679" i="2"/>
  <c r="BB679" i="2" l="1"/>
  <c r="AW679" i="2" s="1"/>
  <c r="BC679" i="2"/>
  <c r="AY679" i="2" s="1"/>
  <c r="BD679" i="2"/>
  <c r="BA679" i="2" s="1"/>
  <c r="AU679" i="2" l="1"/>
  <c r="AX679" i="2"/>
  <c r="AV679" i="2"/>
  <c r="AZ679" i="2"/>
  <c r="AT679" i="2" s="1"/>
  <c r="AR680" i="2" l="1"/>
  <c r="AP680" i="2"/>
  <c r="AQ680" i="2"/>
  <c r="AS680" i="2"/>
  <c r="BC680" i="2" l="1"/>
  <c r="AY680" i="2" s="1"/>
  <c r="AU680" i="2" s="1"/>
  <c r="BB680" i="2"/>
  <c r="AW680" i="2" s="1"/>
  <c r="BD680" i="2"/>
  <c r="BA680" i="2" s="1"/>
  <c r="AS681" i="2" l="1"/>
  <c r="AQ681" i="2"/>
  <c r="AX680" i="2"/>
  <c r="AZ680" i="2"/>
  <c r="AV680" i="2"/>
  <c r="AT680" i="2" l="1"/>
  <c r="AR681" i="2" l="1"/>
  <c r="AP681" i="2"/>
  <c r="BC681" i="2" l="1"/>
  <c r="AY681" i="2" s="1"/>
  <c r="BB681" i="2"/>
  <c r="AW681" i="2" s="1"/>
  <c r="AU681" i="2" s="1"/>
  <c r="BD681" i="2"/>
  <c r="BA681" i="2" s="1"/>
  <c r="AX681" i="2"/>
  <c r="AQ682" i="2" l="1"/>
  <c r="AS682" i="2"/>
  <c r="AV681" i="2"/>
  <c r="AT681" i="2" s="1"/>
  <c r="AZ681" i="2"/>
  <c r="AR682" i="2" l="1"/>
  <c r="AP682" i="2"/>
  <c r="BB682" i="2" l="1"/>
  <c r="AW682" i="2" s="1"/>
  <c r="BD682" i="2"/>
  <c r="BA682" i="2" s="1"/>
  <c r="BC682" i="2"/>
  <c r="AY682" i="2" s="1"/>
  <c r="AX682" i="2"/>
  <c r="AZ682" i="2" l="1"/>
  <c r="AV682" i="2"/>
  <c r="AU682" i="2"/>
  <c r="AS683" i="2" l="1"/>
  <c r="AQ683" i="2"/>
  <c r="AT682" i="2"/>
  <c r="AP683" i="2" l="1"/>
  <c r="AR683" i="2"/>
  <c r="BB683" i="2" l="1"/>
  <c r="AW683" i="2" s="1"/>
  <c r="BD683" i="2"/>
  <c r="BA683" i="2" s="1"/>
  <c r="BC683" i="2"/>
  <c r="AY683" i="2" s="1"/>
  <c r="AV683" i="2"/>
  <c r="AX683" i="2" l="1"/>
  <c r="AZ683" i="2"/>
  <c r="AT683" i="2" s="1"/>
  <c r="AU683" i="2"/>
  <c r="AP684" i="2" l="1"/>
  <c r="AR684" i="2"/>
  <c r="AQ684" i="2"/>
  <c r="AS684" i="2"/>
  <c r="BD684" i="2" l="1"/>
  <c r="BA684" i="2" s="1"/>
  <c r="BB684" i="2"/>
  <c r="AW684" i="2" s="1"/>
  <c r="BC684" i="2"/>
  <c r="AY684" i="2" s="1"/>
  <c r="AV684" i="2"/>
  <c r="AZ684" i="2"/>
  <c r="AX684" i="2" l="1"/>
  <c r="AT684" i="2" s="1"/>
  <c r="AU684" i="2"/>
  <c r="AR685" i="2" l="1"/>
  <c r="AP685" i="2"/>
  <c r="AS685" i="2"/>
  <c r="AQ685" i="2"/>
  <c r="BB685" i="2" l="1"/>
  <c r="AW685" i="2" s="1"/>
  <c r="BC685" i="2"/>
  <c r="AY685" i="2" s="1"/>
  <c r="BD685" i="2"/>
  <c r="BA685" i="2" s="1"/>
  <c r="AV685" i="2"/>
  <c r="AX685" i="2"/>
  <c r="AZ685" i="2" l="1"/>
  <c r="AU685" i="2"/>
  <c r="AT685" i="2"/>
  <c r="AQ686" i="2" l="1"/>
  <c r="AS686" i="2"/>
  <c r="AR686" i="2"/>
  <c r="AP686" i="2"/>
  <c r="BB686" i="2" l="1"/>
  <c r="AW686" i="2" s="1"/>
  <c r="BC686" i="2"/>
  <c r="AY686" i="2" s="1"/>
  <c r="BD686" i="2"/>
  <c r="AZ686" i="2" s="1"/>
  <c r="AV686" i="2"/>
  <c r="BA686" i="2" l="1"/>
  <c r="AU686" i="2" s="1"/>
  <c r="AX686" i="2"/>
  <c r="AT686" i="2"/>
  <c r="AP687" i="2" l="1"/>
  <c r="AR687" i="2"/>
  <c r="AS687" i="2"/>
  <c r="AQ687" i="2"/>
  <c r="BB687" i="2" l="1"/>
  <c r="AV687" i="2" s="1"/>
  <c r="BC687" i="2"/>
  <c r="AY687" i="2" s="1"/>
  <c r="BD687" i="2"/>
  <c r="AZ687" i="2" s="1"/>
  <c r="AW687" i="2" l="1"/>
  <c r="AX687" i="2"/>
  <c r="AT687" i="2" s="1"/>
  <c r="BA687" i="2"/>
  <c r="AR688" i="2" l="1"/>
  <c r="AP688" i="2"/>
  <c r="AU687" i="2"/>
  <c r="BB688" i="2" l="1"/>
  <c r="AV688" i="2" s="1"/>
  <c r="AS688" i="2"/>
  <c r="AQ688" i="2"/>
  <c r="BC688" i="2" s="1"/>
  <c r="AX688" i="2" s="1"/>
  <c r="AW688" i="2" l="1"/>
  <c r="AY688" i="2"/>
  <c r="BD688" i="2"/>
  <c r="AZ688" i="2" s="1"/>
  <c r="AT688" i="2" s="1"/>
  <c r="AR689" i="2" l="1"/>
  <c r="AP689" i="2"/>
  <c r="BA688" i="2"/>
  <c r="AU688" i="2" s="1"/>
  <c r="BB689" i="2" l="1"/>
  <c r="AW689" i="2" s="1"/>
  <c r="AS689" i="2"/>
  <c r="AQ689" i="2"/>
  <c r="BD689" i="2" s="1"/>
  <c r="BA689" i="2" l="1"/>
  <c r="AZ689" i="2"/>
  <c r="AV689" i="2"/>
  <c r="BC689" i="2"/>
  <c r="AY689" i="2" l="1"/>
  <c r="AU689" i="2" s="1"/>
  <c r="AX689" i="2"/>
  <c r="AT689" i="2"/>
  <c r="AR690" i="2" l="1"/>
  <c r="AP690" i="2"/>
  <c r="AQ690" i="2"/>
  <c r="AS690" i="2"/>
  <c r="BD690" i="2" l="1"/>
  <c r="BA690" i="2" s="1"/>
  <c r="BB690" i="2"/>
  <c r="AW690" i="2" s="1"/>
  <c r="AU690" i="2" s="1"/>
  <c r="AS691" i="2" s="1"/>
  <c r="BC690" i="2"/>
  <c r="AY690" i="2" s="1"/>
  <c r="AV690" i="2"/>
  <c r="AX690" i="2" l="1"/>
  <c r="AT690" i="2" s="1"/>
  <c r="AQ691" i="2"/>
  <c r="AZ690" i="2"/>
  <c r="AR691" i="2" l="1"/>
  <c r="AP691" i="2"/>
  <c r="BC691" i="2" l="1"/>
  <c r="AY691" i="2" s="1"/>
  <c r="BD691" i="2"/>
  <c r="BA691" i="2" s="1"/>
  <c r="BB691" i="2"/>
  <c r="AX691" i="2"/>
  <c r="AZ691" i="2" l="1"/>
  <c r="AV691" i="2"/>
  <c r="AT691" i="2" s="1"/>
  <c r="AW691" i="2"/>
  <c r="AU691" i="2" s="1"/>
  <c r="AP692" i="2" l="1"/>
  <c r="AR692" i="2"/>
  <c r="AS692" i="2"/>
  <c r="AQ692" i="2"/>
  <c r="BC692" i="2" l="1"/>
  <c r="AY692" i="2" s="1"/>
  <c r="BB692" i="2"/>
  <c r="AW692" i="2" s="1"/>
  <c r="BD692" i="2"/>
  <c r="BA692" i="2" s="1"/>
  <c r="AX692" i="2" l="1"/>
  <c r="AV692" i="2"/>
  <c r="AT692" i="2" s="1"/>
  <c r="AU692" i="2"/>
  <c r="AZ692" i="2"/>
  <c r="AS693" i="2" l="1"/>
  <c r="AQ693" i="2"/>
  <c r="AP693" i="2"/>
  <c r="AR693" i="2"/>
  <c r="BD693" i="2" l="1"/>
  <c r="BA693" i="2" s="1"/>
  <c r="BB693" i="2"/>
  <c r="AW693" i="2" s="1"/>
  <c r="BC693" i="2"/>
  <c r="AY693" i="2" s="1"/>
  <c r="AV693" i="2"/>
  <c r="AX693" i="2"/>
  <c r="AU693" i="2" l="1"/>
  <c r="AZ693" i="2"/>
  <c r="AT693" i="2" s="1"/>
  <c r="AR694" i="2" l="1"/>
  <c r="AP694" i="2"/>
  <c r="AQ694" i="2"/>
  <c r="AS694" i="2"/>
  <c r="BC694" i="2" l="1"/>
  <c r="AY694" i="2" s="1"/>
  <c r="BD694" i="2"/>
  <c r="BA694" i="2" s="1"/>
  <c r="BB694" i="2"/>
  <c r="AW694" i="2" s="1"/>
  <c r="AU694" i="2" s="1"/>
  <c r="AX694" i="2"/>
  <c r="AZ694" i="2"/>
  <c r="AT694" i="2" s="1"/>
  <c r="AP695" i="2" s="1"/>
  <c r="AV694" i="2"/>
  <c r="AS695" i="2" l="1"/>
  <c r="AQ695" i="2"/>
  <c r="BB695" i="2" s="1"/>
  <c r="BC695" i="2"/>
  <c r="AY695" i="2" s="1"/>
  <c r="AR695" i="2"/>
  <c r="AW695" i="2" l="1"/>
  <c r="AV695" i="2"/>
  <c r="AX695" i="2"/>
  <c r="BD695" i="2"/>
  <c r="BA695" i="2" l="1"/>
  <c r="AZ695" i="2"/>
  <c r="AT695" i="2" s="1"/>
  <c r="AU695" i="2"/>
  <c r="AR696" i="2" l="1"/>
  <c r="AP696" i="2"/>
  <c r="AQ696" i="2"/>
  <c r="AS696" i="2"/>
  <c r="BD696" i="2" l="1"/>
  <c r="AZ696" i="2" s="1"/>
  <c r="BC696" i="2"/>
  <c r="AX696" i="2" s="1"/>
  <c r="BB696" i="2"/>
  <c r="AV696" i="2" s="1"/>
  <c r="AT696" i="2" s="1"/>
  <c r="AP697" i="2" s="1"/>
  <c r="AW696" i="2" l="1"/>
  <c r="AY696" i="2"/>
  <c r="AR697" i="2"/>
  <c r="BA696" i="2"/>
  <c r="AU696" i="2" l="1"/>
  <c r="AS697" i="2" l="1"/>
  <c r="AQ697" i="2"/>
  <c r="BD697" i="2" l="1"/>
  <c r="BB697" i="2"/>
  <c r="BC697" i="2"/>
  <c r="AX697" i="2" s="1"/>
  <c r="AW697" i="2" l="1"/>
  <c r="AV697" i="2"/>
  <c r="AT697" i="2" s="1"/>
  <c r="BA697" i="2"/>
  <c r="AZ697" i="2"/>
  <c r="AY697" i="2"/>
  <c r="AP698" i="2" l="1"/>
  <c r="AR698" i="2"/>
  <c r="AU697" i="2"/>
  <c r="AQ698" i="2" l="1"/>
  <c r="BB698" i="2" s="1"/>
  <c r="AS698" i="2"/>
  <c r="BC698" i="2"/>
  <c r="AY698" i="2" s="1"/>
  <c r="AW698" i="2" l="1"/>
  <c r="AV698" i="2"/>
  <c r="AX698" i="2"/>
  <c r="BD698" i="2"/>
  <c r="BA698" i="2" l="1"/>
  <c r="AZ698" i="2"/>
  <c r="AT698" i="2" s="1"/>
  <c r="AU698" i="2"/>
  <c r="AR699" i="2" l="1"/>
  <c r="AP699" i="2"/>
  <c r="AS699" i="2"/>
  <c r="AQ699" i="2"/>
  <c r="BB699" i="2" l="1"/>
  <c r="AW699" i="2" s="1"/>
  <c r="AU699" i="2" s="1"/>
  <c r="AQ700" i="2" s="1"/>
  <c r="AZ699" i="2"/>
  <c r="BC699" i="2"/>
  <c r="AY699" i="2" s="1"/>
  <c r="BD699" i="2"/>
  <c r="BA699" i="2" s="1"/>
  <c r="AX699" i="2"/>
  <c r="AV699" i="2"/>
  <c r="AT699" i="2" l="1"/>
  <c r="AS700" i="2"/>
  <c r="AR700" i="2" l="1"/>
  <c r="AP700" i="2"/>
  <c r="BD700" i="2" l="1"/>
  <c r="BA700" i="2" s="1"/>
  <c r="BB700" i="2"/>
  <c r="AW700" i="2" s="1"/>
  <c r="BC700" i="2"/>
  <c r="AY700" i="2" s="1"/>
  <c r="AZ700" i="2"/>
  <c r="AV700" i="2"/>
  <c r="AU700" i="2" l="1"/>
  <c r="AX700" i="2"/>
  <c r="AT700" i="2" s="1"/>
  <c r="AR701" i="2" l="1"/>
  <c r="AP701" i="2"/>
  <c r="AQ701" i="2"/>
  <c r="AS701" i="2"/>
  <c r="BB701" i="2" l="1"/>
  <c r="AW701" i="2" s="1"/>
  <c r="BD701" i="2"/>
  <c r="BA701" i="2" s="1"/>
  <c r="BC701" i="2"/>
  <c r="AX701" i="2" s="1"/>
  <c r="AV701" i="2" l="1"/>
  <c r="AY701" i="2"/>
  <c r="AU701" i="2" s="1"/>
  <c r="AZ701" i="2"/>
  <c r="AS702" i="2" l="1"/>
  <c r="AQ702" i="2"/>
  <c r="AT701" i="2"/>
  <c r="AP702" i="2" l="1"/>
  <c r="AR702" i="2"/>
  <c r="BB702" i="2" l="1"/>
  <c r="BC702" i="2"/>
  <c r="BD702" i="2"/>
  <c r="BA702" i="2" s="1"/>
  <c r="AV702" i="2" l="1"/>
  <c r="AW702" i="2"/>
  <c r="AX702" i="2"/>
  <c r="AY702" i="2"/>
  <c r="AZ702" i="2"/>
  <c r="AU702" i="2" l="1"/>
  <c r="AT702" i="2"/>
  <c r="AR703" i="2" l="1"/>
  <c r="AP703" i="2"/>
  <c r="AQ703" i="2"/>
  <c r="AS703" i="2"/>
  <c r="BB703" i="2" l="1"/>
  <c r="AW703" i="2" s="1"/>
  <c r="BC703" i="2"/>
  <c r="AX703" i="2" s="1"/>
  <c r="BD703" i="2"/>
  <c r="AZ703" i="2" s="1"/>
  <c r="BA703" i="2" l="1"/>
  <c r="AV703" i="2"/>
  <c r="AT703" i="2" s="1"/>
  <c r="AY703" i="2"/>
  <c r="AU703" i="2" s="1"/>
  <c r="AS704" i="2" l="1"/>
  <c r="AQ704" i="2"/>
  <c r="AP704" i="2"/>
  <c r="AR704" i="2"/>
  <c r="BD704" i="2" l="1"/>
  <c r="BA704" i="2" s="1"/>
  <c r="BB704" i="2"/>
  <c r="AW704" i="2" s="1"/>
  <c r="BC704" i="2"/>
  <c r="AY704" i="2" s="1"/>
  <c r="AV704" i="2"/>
  <c r="AU704" i="2" l="1"/>
  <c r="AX704" i="2"/>
  <c r="AT704" i="2" s="1"/>
  <c r="AZ704" i="2"/>
  <c r="AR705" i="2" l="1"/>
  <c r="AP705" i="2"/>
  <c r="AQ705" i="2"/>
  <c r="AS705" i="2"/>
  <c r="BC705" i="2" l="1"/>
  <c r="AY705" i="2" s="1"/>
  <c r="BB705" i="2"/>
  <c r="AW705" i="2" s="1"/>
  <c r="BD705" i="2"/>
  <c r="BA705" i="2" s="1"/>
  <c r="AX705" i="2"/>
  <c r="AU705" i="2" l="1"/>
  <c r="AZ705" i="2"/>
  <c r="AV705" i="2"/>
  <c r="AT705" i="2" s="1"/>
  <c r="AP706" i="2" l="1"/>
  <c r="AR706" i="2"/>
  <c r="AS706" i="2"/>
  <c r="AQ706" i="2"/>
  <c r="BB706" i="2" l="1"/>
  <c r="AW706" i="2" s="1"/>
  <c r="AU706" i="2" s="1"/>
  <c r="AS707" i="2" s="1"/>
  <c r="BD706" i="2"/>
  <c r="BA706" i="2" s="1"/>
  <c r="BC706" i="2"/>
  <c r="AY706" i="2" s="1"/>
  <c r="AV706" i="2" l="1"/>
  <c r="AX706" i="2"/>
  <c r="AZ706" i="2"/>
  <c r="AQ707" i="2"/>
  <c r="AT706" i="2" l="1"/>
  <c r="AP707" i="2" l="1"/>
  <c r="AR707" i="2"/>
  <c r="BB707" i="2" l="1"/>
  <c r="AW707" i="2" s="1"/>
  <c r="AU707" i="2" s="1"/>
  <c r="BC707" i="2"/>
  <c r="AY707" i="2" s="1"/>
  <c r="BD707" i="2"/>
  <c r="BA707" i="2" s="1"/>
  <c r="AZ707" i="2"/>
  <c r="AS708" i="2" l="1"/>
  <c r="AQ708" i="2"/>
  <c r="AV707" i="2"/>
  <c r="AT707" i="2" s="1"/>
  <c r="AX707" i="2"/>
  <c r="AR708" i="2" l="1"/>
  <c r="AP708" i="2"/>
  <c r="BB708" i="2" l="1"/>
  <c r="AW708" i="2" s="1"/>
  <c r="BC708" i="2"/>
  <c r="AY708" i="2" s="1"/>
  <c r="BD708" i="2"/>
  <c r="BA708" i="2" s="1"/>
  <c r="AV708" i="2"/>
  <c r="AX708" i="2" l="1"/>
  <c r="AT708" i="2" s="1"/>
  <c r="AU708" i="2"/>
  <c r="AZ708" i="2"/>
  <c r="AR709" i="2" l="1"/>
  <c r="AP709" i="2"/>
  <c r="AQ709" i="2"/>
  <c r="AS709" i="2"/>
  <c r="BD709" i="2" l="1"/>
  <c r="BA709" i="2" s="1"/>
  <c r="BB709" i="2"/>
  <c r="AW709" i="2" s="1"/>
  <c r="BC709" i="2"/>
  <c r="AY709" i="2" s="1"/>
  <c r="AX709" i="2"/>
  <c r="AU709" i="2" l="1"/>
  <c r="AZ709" i="2"/>
  <c r="AV709" i="2"/>
  <c r="AT709" i="2" s="1"/>
  <c r="AP710" i="2" l="1"/>
  <c r="AR710" i="2"/>
  <c r="AS710" i="2"/>
  <c r="AQ710" i="2"/>
  <c r="BC710" i="2" l="1"/>
  <c r="AY710" i="2" s="1"/>
  <c r="BB710" i="2"/>
  <c r="AW710" i="2" s="1"/>
  <c r="BD710" i="2"/>
  <c r="BA710" i="2" s="1"/>
  <c r="AX710" i="2"/>
  <c r="AV710" i="2"/>
  <c r="AZ710" i="2" l="1"/>
  <c r="AT710" i="2"/>
  <c r="AU710" i="2"/>
  <c r="AQ711" i="2" l="1"/>
  <c r="AS711" i="2"/>
  <c r="AR711" i="2"/>
  <c r="AP711" i="2"/>
  <c r="BD711" i="2" l="1"/>
  <c r="BA711" i="2" s="1"/>
  <c r="BB711" i="2"/>
  <c r="AW711" i="2" s="1"/>
  <c r="AU711" i="2" s="1"/>
  <c r="AQ712" i="2" s="1"/>
  <c r="AZ711" i="2"/>
  <c r="BC711" i="2"/>
  <c r="AY711" i="2" s="1"/>
  <c r="AS712" i="2" l="1"/>
  <c r="AV711" i="2"/>
  <c r="AX711" i="2"/>
  <c r="AT711" i="2" l="1"/>
  <c r="AP712" i="2" l="1"/>
  <c r="AR712" i="2"/>
  <c r="BB712" i="2" l="1"/>
  <c r="AW712" i="2" s="1"/>
  <c r="AU712" i="2" s="1"/>
  <c r="BC712" i="2"/>
  <c r="AY712" i="2" s="1"/>
  <c r="BD712" i="2"/>
  <c r="BA712" i="2" s="1"/>
  <c r="AV712" i="2"/>
  <c r="AX712" i="2" l="1"/>
  <c r="AS713" i="2"/>
  <c r="AQ713" i="2"/>
  <c r="AZ712" i="2"/>
  <c r="AT712" i="2" s="1"/>
  <c r="AP713" i="2" l="1"/>
  <c r="AR713" i="2"/>
  <c r="BC713" i="2" l="1"/>
  <c r="BB713" i="2"/>
  <c r="BD713" i="2"/>
  <c r="BA713" i="2" s="1"/>
  <c r="AV713" i="2" l="1"/>
  <c r="AW713" i="2"/>
  <c r="AX713" i="2"/>
  <c r="AY713" i="2"/>
  <c r="AZ713" i="2"/>
  <c r="AU713" i="2" l="1"/>
  <c r="AT713" i="2"/>
  <c r="AR714" i="2" l="1"/>
  <c r="AP714" i="2"/>
  <c r="AQ714" i="2"/>
  <c r="AS714" i="2"/>
  <c r="BD714" i="2" l="1"/>
  <c r="BA714" i="2" s="1"/>
  <c r="BB714" i="2"/>
  <c r="AW714" i="2" s="1"/>
  <c r="BC714" i="2"/>
  <c r="AY714" i="2" s="1"/>
  <c r="AU714" i="2" l="1"/>
  <c r="AZ714" i="2"/>
  <c r="AX714" i="2"/>
  <c r="AV714" i="2"/>
  <c r="AT714" i="2" s="1"/>
  <c r="AP715" i="2" l="1"/>
  <c r="AR715" i="2"/>
  <c r="AS715" i="2"/>
  <c r="AQ715" i="2"/>
  <c r="BC715" i="2" l="1"/>
  <c r="AY715" i="2" s="1"/>
  <c r="BB715" i="2"/>
  <c r="AW715" i="2" s="1"/>
  <c r="BD715" i="2"/>
  <c r="BA715" i="2" s="1"/>
  <c r="AX715" i="2"/>
  <c r="AU715" i="2" l="1"/>
  <c r="AZ715" i="2"/>
  <c r="AT715" i="2" s="1"/>
  <c r="AV715" i="2"/>
  <c r="AP716" i="2" l="1"/>
  <c r="AR716" i="2"/>
  <c r="AQ716" i="2"/>
  <c r="AS716" i="2"/>
  <c r="BB716" i="2" l="1"/>
  <c r="AW716" i="2" s="1"/>
  <c r="AU716" i="2" s="1"/>
  <c r="AS717" i="2" s="1"/>
  <c r="BC716" i="2"/>
  <c r="AY716" i="2" s="1"/>
  <c r="BD716" i="2"/>
  <c r="BA716" i="2" s="1"/>
  <c r="AZ716" i="2"/>
  <c r="AX716" i="2"/>
  <c r="AV716" i="2"/>
  <c r="AQ717" i="2" l="1"/>
  <c r="AT716" i="2"/>
  <c r="AR717" i="2" l="1"/>
  <c r="AP717" i="2"/>
  <c r="BD717" i="2" l="1"/>
  <c r="BA717" i="2" s="1"/>
  <c r="BC717" i="2"/>
  <c r="AY717" i="2" s="1"/>
  <c r="BB717" i="2"/>
  <c r="AW717" i="2" s="1"/>
  <c r="AU717" i="2" s="1"/>
  <c r="AX717" i="2"/>
  <c r="AZ717" i="2"/>
  <c r="AV717" i="2" l="1"/>
  <c r="AT717" i="2" s="1"/>
  <c r="AS718" i="2"/>
  <c r="AQ718" i="2"/>
  <c r="AP718" i="2" l="1"/>
  <c r="AR718" i="2"/>
  <c r="BC718" i="2" l="1"/>
  <c r="AY718" i="2" s="1"/>
  <c r="BD718" i="2"/>
  <c r="BA718" i="2" s="1"/>
  <c r="AV718" i="2"/>
  <c r="BB718" i="2"/>
  <c r="AW718" i="2" s="1"/>
  <c r="AX718" i="2"/>
  <c r="AZ718" i="2"/>
  <c r="AT718" i="2" l="1"/>
  <c r="AU718" i="2"/>
  <c r="AQ719" i="2" l="1"/>
  <c r="AS719" i="2"/>
  <c r="AR719" i="2"/>
  <c r="AP719" i="2"/>
  <c r="BD719" i="2" l="1"/>
  <c r="BA719" i="2" s="1"/>
  <c r="BC719" i="2"/>
  <c r="AX719" i="2" s="1"/>
  <c r="BB719" i="2"/>
  <c r="AW719" i="2" s="1"/>
  <c r="AY719" i="2" l="1"/>
  <c r="AU719" i="2" s="1"/>
  <c r="AZ719" i="2"/>
  <c r="AV719" i="2"/>
  <c r="AT719" i="2" l="1"/>
  <c r="AQ720" i="2"/>
  <c r="AS720" i="2"/>
  <c r="AP720" i="2" l="1"/>
  <c r="AR720" i="2"/>
  <c r="BD720" i="2" l="1"/>
  <c r="BC720" i="2"/>
  <c r="BB720" i="2"/>
  <c r="AV720" i="2" l="1"/>
  <c r="AW720" i="2"/>
  <c r="AX720" i="2"/>
  <c r="AY720" i="2"/>
  <c r="AZ720" i="2"/>
  <c r="BA720" i="2"/>
  <c r="AU720" i="2" l="1"/>
  <c r="AT720" i="2"/>
  <c r="AR721" i="2" l="1"/>
  <c r="AP721" i="2"/>
  <c r="AS721" i="2"/>
  <c r="AQ721" i="2"/>
  <c r="BD721" i="2" l="1"/>
  <c r="AZ721" i="2" s="1"/>
  <c r="BB721" i="2"/>
  <c r="AV721" i="2" s="1"/>
  <c r="BC721" i="2"/>
  <c r="AX721" i="2" s="1"/>
  <c r="AY721" i="2" l="1"/>
  <c r="AT721" i="2"/>
  <c r="AW721" i="2"/>
  <c r="AU721" i="2" s="1"/>
  <c r="BA721" i="2"/>
  <c r="AQ722" i="2" l="1"/>
  <c r="AS722" i="2"/>
  <c r="AP722" i="2"/>
  <c r="AR722" i="2"/>
  <c r="BC722" i="2" l="1"/>
  <c r="AX722" i="2" s="1"/>
  <c r="BB722" i="2"/>
  <c r="AV722" i="2" s="1"/>
  <c r="BD722" i="2"/>
  <c r="AZ722" i="2" s="1"/>
  <c r="AT722" i="2" s="1"/>
  <c r="AW722" i="2"/>
  <c r="BA722" i="2"/>
  <c r="AR723" i="2" l="1"/>
  <c r="AP723" i="2"/>
  <c r="AY722" i="2"/>
  <c r="AU722" i="2" s="1"/>
  <c r="AS723" i="2" l="1"/>
  <c r="AQ723" i="2"/>
  <c r="BD723" i="2"/>
  <c r="BA723" i="2" s="1"/>
  <c r="BC723" i="2"/>
  <c r="AX723" i="2" s="1"/>
  <c r="AZ723" i="2" l="1"/>
  <c r="AY723" i="2"/>
  <c r="BB723" i="2"/>
  <c r="AW723" i="2" l="1"/>
  <c r="AU723" i="2" s="1"/>
  <c r="AV723" i="2"/>
  <c r="AT723" i="2" s="1"/>
  <c r="AS724" i="2" l="1"/>
  <c r="AQ724" i="2"/>
  <c r="AP724" i="2"/>
  <c r="AR724" i="2"/>
  <c r="BC724" i="2" l="1"/>
  <c r="AY724" i="2" s="1"/>
  <c r="BB724" i="2"/>
  <c r="AW724" i="2" s="1"/>
  <c r="BD724" i="2"/>
  <c r="BA724" i="2" s="1"/>
  <c r="AV724" i="2"/>
  <c r="AX724" i="2" l="1"/>
  <c r="AT724" i="2" s="1"/>
  <c r="AZ724" i="2"/>
  <c r="AU724" i="2"/>
  <c r="AR725" i="2" l="1"/>
  <c r="AP725" i="2"/>
  <c r="AQ725" i="2"/>
  <c r="AS725" i="2"/>
  <c r="BD725" i="2" l="1"/>
  <c r="BA725" i="2" s="1"/>
  <c r="BB725" i="2"/>
  <c r="AW725" i="2" s="1"/>
  <c r="BC725" i="2"/>
  <c r="AX725" i="2" s="1"/>
  <c r="AY725" i="2"/>
  <c r="AU725" i="2" l="1"/>
  <c r="AV725" i="2"/>
  <c r="AT725" i="2" s="1"/>
  <c r="AZ725" i="2"/>
  <c r="AR726" i="2" l="1"/>
  <c r="AP726" i="2"/>
  <c r="AS726" i="2"/>
  <c r="AQ726" i="2"/>
  <c r="BC726" i="2" l="1"/>
  <c r="AY726" i="2" s="1"/>
  <c r="BD726" i="2"/>
  <c r="BA726" i="2" s="1"/>
  <c r="BB726" i="2"/>
  <c r="AW726" i="2" s="1"/>
  <c r="AU726" i="2" s="1"/>
  <c r="AQ727" i="2" l="1"/>
  <c r="AS727" i="2"/>
  <c r="AX726" i="2"/>
  <c r="AV726" i="2"/>
  <c r="AZ726" i="2"/>
  <c r="AT726" i="2" l="1"/>
  <c r="AP727" i="2" l="1"/>
  <c r="AR727" i="2"/>
  <c r="BD727" i="2" l="1"/>
  <c r="BA727" i="2" s="1"/>
  <c r="BB727" i="2"/>
  <c r="AW727" i="2" s="1"/>
  <c r="BC727" i="2"/>
  <c r="AY727" i="2" s="1"/>
  <c r="AV727" i="2"/>
  <c r="AZ727" i="2" l="1"/>
  <c r="AX727" i="2"/>
  <c r="AT727" i="2" s="1"/>
  <c r="AU727" i="2"/>
  <c r="AR728" i="2" l="1"/>
  <c r="AP728" i="2"/>
  <c r="AS728" i="2"/>
  <c r="AQ728" i="2"/>
  <c r="BC728" i="2" l="1"/>
  <c r="AY728" i="2" s="1"/>
  <c r="BB728" i="2"/>
  <c r="AW728" i="2" s="1"/>
  <c r="BD728" i="2"/>
  <c r="BA728" i="2" s="1"/>
  <c r="AZ728" i="2"/>
  <c r="AX728" i="2" l="1"/>
  <c r="AV728" i="2"/>
  <c r="AT728" i="2" s="1"/>
  <c r="AU728" i="2"/>
  <c r="AQ729" i="2" l="1"/>
  <c r="AS729" i="2"/>
  <c r="AP729" i="2"/>
  <c r="AR729" i="2"/>
  <c r="BD729" i="2" l="1"/>
  <c r="AZ729" i="2" s="1"/>
  <c r="BB729" i="2"/>
  <c r="AW729" i="2" s="1"/>
  <c r="BC729" i="2"/>
  <c r="AX729" i="2" s="1"/>
  <c r="AY729" i="2"/>
  <c r="AV729" i="2" l="1"/>
  <c r="AT729" i="2" s="1"/>
  <c r="BA729" i="2"/>
  <c r="AU729" i="2" s="1"/>
  <c r="AS730" i="2" l="1"/>
  <c r="AQ730" i="2"/>
  <c r="AR730" i="2"/>
  <c r="AP730" i="2"/>
  <c r="BC730" i="2" l="1"/>
  <c r="AY730" i="2" s="1"/>
  <c r="AX730" i="2"/>
  <c r="BB730" i="2"/>
  <c r="AW730" i="2" s="1"/>
  <c r="AU730" i="2" s="1"/>
  <c r="AS731" i="2" s="1"/>
  <c r="BD730" i="2"/>
  <c r="BA730" i="2" s="1"/>
  <c r="AV730" i="2" l="1"/>
  <c r="AZ730" i="2"/>
  <c r="AQ731" i="2"/>
  <c r="AT730" i="2" l="1"/>
  <c r="AP731" i="2" l="1"/>
  <c r="AR731" i="2"/>
  <c r="BC731" i="2" l="1"/>
  <c r="AY731" i="2" s="1"/>
  <c r="BD731" i="2"/>
  <c r="BA731" i="2" s="1"/>
  <c r="BB731" i="2"/>
  <c r="AW731" i="2" s="1"/>
  <c r="AU731" i="2" s="1"/>
  <c r="AS732" i="2" l="1"/>
  <c r="AQ732" i="2"/>
  <c r="AX731" i="2"/>
  <c r="AZ731" i="2"/>
  <c r="AV731" i="2"/>
  <c r="AT731" i="2" l="1"/>
  <c r="AR732" i="2" l="1"/>
  <c r="AP732" i="2"/>
  <c r="BD732" i="2" l="1"/>
  <c r="BA732" i="2" s="1"/>
  <c r="BB732" i="2"/>
  <c r="AW732" i="2" s="1"/>
  <c r="AZ732" i="2"/>
  <c r="BC732" i="2"/>
  <c r="AY732" i="2" s="1"/>
  <c r="AV732" i="2" l="1"/>
  <c r="AX732" i="2"/>
  <c r="AU732" i="2"/>
  <c r="AQ733" i="2" l="1"/>
  <c r="AS733" i="2"/>
  <c r="AT732" i="2"/>
  <c r="AP733" i="2" l="1"/>
  <c r="AR733" i="2"/>
  <c r="BB733" i="2" l="1"/>
  <c r="AW733" i="2" s="1"/>
  <c r="BC733" i="2"/>
  <c r="AY733" i="2" s="1"/>
  <c r="BD733" i="2"/>
  <c r="BA733" i="2" s="1"/>
  <c r="AZ733" i="2"/>
  <c r="AV733" i="2"/>
  <c r="AX733" i="2" l="1"/>
  <c r="AT733" i="2" s="1"/>
  <c r="AU733" i="2"/>
  <c r="AP734" i="2" l="1"/>
  <c r="AR734" i="2"/>
  <c r="AS734" i="2"/>
  <c r="AQ734" i="2"/>
  <c r="BB734" i="2" l="1"/>
  <c r="AW734" i="2" s="1"/>
  <c r="BD734" i="2"/>
  <c r="BA734" i="2" s="1"/>
  <c r="BC734" i="2"/>
  <c r="AY734" i="2" s="1"/>
  <c r="AV734" i="2"/>
  <c r="AZ734" i="2"/>
  <c r="AU734" i="2" l="1"/>
  <c r="AX734" i="2"/>
  <c r="AT734" i="2" s="1"/>
  <c r="AR735" i="2" l="1"/>
  <c r="AP735" i="2"/>
  <c r="AQ735" i="2"/>
  <c r="AS735" i="2"/>
  <c r="BB735" i="2" l="1"/>
  <c r="AW735" i="2" s="1"/>
  <c r="BC735" i="2"/>
  <c r="AY735" i="2" s="1"/>
  <c r="BD735" i="2"/>
  <c r="BA735" i="2" s="1"/>
  <c r="AX735" i="2"/>
  <c r="AZ735" i="2"/>
  <c r="AV735" i="2" l="1"/>
  <c r="AT735" i="2" s="1"/>
  <c r="AU735" i="2"/>
  <c r="AR736" i="2" l="1"/>
  <c r="AP736" i="2"/>
  <c r="AS736" i="2"/>
  <c r="AQ736" i="2"/>
  <c r="BD736" i="2" l="1"/>
  <c r="BA736" i="2" s="1"/>
  <c r="BB736" i="2"/>
  <c r="AW736" i="2" s="1"/>
  <c r="BC736" i="2"/>
  <c r="AY736" i="2" s="1"/>
  <c r="AU736" i="2" l="1"/>
  <c r="AZ736" i="2"/>
  <c r="AV736" i="2"/>
  <c r="AX736" i="2"/>
  <c r="AT736" i="2" l="1"/>
  <c r="AQ737" i="2"/>
  <c r="AS737" i="2"/>
  <c r="AR737" i="2" l="1"/>
  <c r="AP737" i="2"/>
  <c r="BD737" i="2" l="1"/>
  <c r="BA737" i="2" s="1"/>
  <c r="BB737" i="2"/>
  <c r="AW737" i="2" s="1"/>
  <c r="AU737" i="2" s="1"/>
  <c r="BC737" i="2"/>
  <c r="AY737" i="2" s="1"/>
  <c r="AZ737" i="2"/>
  <c r="AV737" i="2" l="1"/>
  <c r="AQ738" i="2"/>
  <c r="AS738" i="2"/>
  <c r="AX737" i="2"/>
  <c r="AT737" i="2" l="1"/>
  <c r="AP738" i="2" l="1"/>
  <c r="AR738" i="2"/>
  <c r="BC738" i="2" l="1"/>
  <c r="BB738" i="2"/>
  <c r="AW738" i="2" s="1"/>
  <c r="BD738" i="2"/>
  <c r="BA738" i="2" s="1"/>
  <c r="AZ738" i="2"/>
  <c r="AV738" i="2" l="1"/>
  <c r="AX738" i="2"/>
  <c r="AY738" i="2"/>
  <c r="AU738" i="2" s="1"/>
  <c r="AS739" i="2" l="1"/>
  <c r="AQ739" i="2"/>
  <c r="AT738" i="2"/>
  <c r="AR739" i="2" l="1"/>
  <c r="AP739" i="2"/>
  <c r="BC739" i="2" l="1"/>
  <c r="BD739" i="2"/>
  <c r="BA739" i="2" s="1"/>
  <c r="BB739" i="2"/>
  <c r="AV739" i="2" l="1"/>
  <c r="AW739" i="2"/>
  <c r="AX739" i="2"/>
  <c r="AY739" i="2"/>
  <c r="AZ739" i="2"/>
  <c r="AU739" i="2" l="1"/>
  <c r="AT739" i="2"/>
  <c r="AR740" i="2" l="1"/>
  <c r="AP740" i="2"/>
  <c r="AS740" i="2"/>
  <c r="AQ740" i="2"/>
  <c r="BC740" i="2" l="1"/>
  <c r="AY740" i="2" s="1"/>
  <c r="BB740" i="2"/>
  <c r="AW740" i="2" s="1"/>
  <c r="BD740" i="2"/>
  <c r="AZ740" i="2" s="1"/>
  <c r="AX740" i="2"/>
  <c r="BA740" i="2" l="1"/>
  <c r="AU740" i="2" s="1"/>
  <c r="AV740" i="2"/>
  <c r="AT740" i="2" s="1"/>
  <c r="AP741" i="2" l="1"/>
  <c r="AR741" i="2"/>
  <c r="AS741" i="2"/>
  <c r="AQ741" i="2"/>
  <c r="BC741" i="2" l="1"/>
  <c r="AY741" i="2" s="1"/>
  <c r="BB741" i="2"/>
  <c r="AW741" i="2" s="1"/>
  <c r="BD741" i="2"/>
  <c r="BA741" i="2" s="1"/>
  <c r="AV741" i="2"/>
  <c r="AU741" i="2" l="1"/>
  <c r="AX741" i="2"/>
  <c r="AT741" i="2" s="1"/>
  <c r="AZ741" i="2"/>
  <c r="AR742" i="2" l="1"/>
  <c r="AP742" i="2"/>
  <c r="AQ742" i="2"/>
  <c r="AS742" i="2"/>
  <c r="BD742" i="2" l="1"/>
  <c r="BA742" i="2" s="1"/>
  <c r="BC742" i="2"/>
  <c r="AY742" i="2" s="1"/>
  <c r="BB742" i="2"/>
  <c r="AW742" i="2" s="1"/>
  <c r="AU742" i="2" s="1"/>
  <c r="AS743" i="2" s="1"/>
  <c r="AV742" i="2" l="1"/>
  <c r="AX742" i="2"/>
  <c r="AQ743" i="2"/>
  <c r="AZ742" i="2"/>
  <c r="AT742" i="2" l="1"/>
  <c r="AR743" i="2" l="1"/>
  <c r="AP743" i="2"/>
  <c r="BD743" i="2" l="1"/>
  <c r="BA743" i="2" s="1"/>
  <c r="BC743" i="2"/>
  <c r="AY743" i="2" s="1"/>
  <c r="AZ743" i="2"/>
  <c r="BB743" i="2"/>
  <c r="AW743" i="2" s="1"/>
  <c r="AU743" i="2" s="1"/>
  <c r="AX743" i="2"/>
  <c r="AV743" i="2"/>
  <c r="AT743" i="2" s="1"/>
  <c r="AP744" i="2" s="1"/>
  <c r="BD744" i="2" l="1"/>
  <c r="AZ744" i="2" s="1"/>
  <c r="AR744" i="2"/>
  <c r="AQ744" i="2"/>
  <c r="BB744" i="2" s="1"/>
  <c r="AV744" i="2" s="1"/>
  <c r="AS744" i="2"/>
  <c r="AW744" i="2" l="1"/>
  <c r="BA744" i="2"/>
  <c r="BC744" i="2"/>
  <c r="AX744" i="2" s="1"/>
  <c r="AT744" i="2" s="1"/>
  <c r="AP745" i="2" l="1"/>
  <c r="AR745" i="2"/>
  <c r="AY744" i="2"/>
  <c r="AU744" i="2" s="1"/>
  <c r="AQ745" i="2" l="1"/>
  <c r="AS745" i="2"/>
  <c r="BB745" i="2"/>
  <c r="AW745" i="2" s="1"/>
  <c r="BC745" i="2"/>
  <c r="AY745" i="2" s="1"/>
  <c r="BD745" i="2"/>
  <c r="BA745" i="2" s="1"/>
  <c r="AV745" i="2"/>
  <c r="AX745" i="2"/>
  <c r="AU745" i="2" l="1"/>
  <c r="AZ745" i="2"/>
  <c r="AT745" i="2" s="1"/>
  <c r="AS746" i="2"/>
  <c r="AQ746" i="2"/>
  <c r="AP746" i="2" l="1"/>
  <c r="AR746" i="2"/>
  <c r="BC746" i="2" l="1"/>
  <c r="AY746" i="2" s="1"/>
  <c r="BB746" i="2"/>
  <c r="AW746" i="2" s="1"/>
  <c r="AU746" i="2" s="1"/>
  <c r="BD746" i="2"/>
  <c r="BA746" i="2" s="1"/>
  <c r="AZ746" i="2" l="1"/>
  <c r="AQ747" i="2"/>
  <c r="AS747" i="2"/>
  <c r="AX746" i="2"/>
  <c r="AV746" i="2"/>
  <c r="AT746" i="2" l="1"/>
  <c r="AR747" i="2" l="1"/>
  <c r="AP747" i="2"/>
  <c r="BB747" i="2" l="1"/>
  <c r="AW747" i="2" s="1"/>
  <c r="BD747" i="2"/>
  <c r="BA747" i="2" s="1"/>
  <c r="BC747" i="2"/>
  <c r="AY747" i="2" s="1"/>
  <c r="AV747" i="2"/>
  <c r="AZ747" i="2" l="1"/>
  <c r="AX747" i="2"/>
  <c r="AT747" i="2" s="1"/>
  <c r="AU747" i="2"/>
  <c r="AP748" i="2" l="1"/>
  <c r="AR748" i="2"/>
  <c r="AS748" i="2"/>
  <c r="AQ748" i="2"/>
  <c r="BD748" i="2" l="1"/>
  <c r="AZ748" i="2" s="1"/>
  <c r="BB748" i="2"/>
  <c r="AW748" i="2" s="1"/>
  <c r="BC748" i="2"/>
  <c r="AY748" i="2" s="1"/>
  <c r="AV748" i="2" l="1"/>
  <c r="AX748" i="2"/>
  <c r="BA748" i="2"/>
  <c r="AU748" i="2" s="1"/>
  <c r="AQ749" i="2" l="1"/>
  <c r="AS749" i="2"/>
  <c r="AT748" i="2"/>
  <c r="AP749" i="2" l="1"/>
  <c r="AR749" i="2"/>
  <c r="BB749" i="2" l="1"/>
  <c r="AW749" i="2" s="1"/>
  <c r="BC749" i="2"/>
  <c r="AY749" i="2" s="1"/>
  <c r="BD749" i="2"/>
  <c r="BA749" i="2" s="1"/>
  <c r="AV749" i="2"/>
  <c r="AX749" i="2" l="1"/>
  <c r="AT749" i="2" s="1"/>
  <c r="AU749" i="2"/>
  <c r="AZ749" i="2"/>
  <c r="AR750" i="2" l="1"/>
  <c r="AP750" i="2"/>
  <c r="AQ750" i="2"/>
  <c r="AS750" i="2"/>
  <c r="BC750" i="2" l="1"/>
  <c r="AX750" i="2" s="1"/>
  <c r="BB750" i="2"/>
  <c r="AW750" i="2" s="1"/>
  <c r="BD750" i="2"/>
  <c r="BA750" i="2" s="1"/>
  <c r="AV750" i="2" l="1"/>
  <c r="AY750" i="2"/>
  <c r="AU750" i="2" s="1"/>
  <c r="AZ750" i="2"/>
  <c r="AS751" i="2" l="1"/>
  <c r="AQ751" i="2"/>
  <c r="AT750" i="2"/>
  <c r="AP751" i="2" l="1"/>
  <c r="AR751" i="2"/>
  <c r="BC751" i="2" l="1"/>
  <c r="AY751" i="2" s="1"/>
  <c r="BD751" i="2"/>
  <c r="BA751" i="2" s="1"/>
  <c r="BB751" i="2"/>
  <c r="AW751" i="2" s="1"/>
  <c r="AU751" i="2" s="1"/>
  <c r="AX751" i="2"/>
  <c r="AZ751" i="2"/>
  <c r="AQ752" i="2" l="1"/>
  <c r="AS752" i="2"/>
  <c r="AV751" i="2"/>
  <c r="AT751" i="2" s="1"/>
  <c r="AR752" i="2" l="1"/>
  <c r="AP752" i="2"/>
  <c r="BC752" i="2" l="1"/>
  <c r="AY752" i="2" s="1"/>
  <c r="BB752" i="2"/>
  <c r="AW752" i="2" s="1"/>
  <c r="BD752" i="2"/>
  <c r="BA752" i="2" s="1"/>
  <c r="AX752" i="2"/>
  <c r="AV752" i="2"/>
  <c r="AZ752" i="2" l="1"/>
  <c r="AU752" i="2"/>
  <c r="AT752" i="2"/>
  <c r="AP753" i="2" l="1"/>
  <c r="AR753" i="2"/>
  <c r="AS753" i="2"/>
  <c r="AQ753" i="2"/>
  <c r="BC753" i="2" l="1"/>
  <c r="AY753" i="2" s="1"/>
  <c r="BB753" i="2"/>
  <c r="AV753" i="2" s="1"/>
  <c r="BD753" i="2"/>
  <c r="BA753" i="2" s="1"/>
  <c r="AX753" i="2"/>
  <c r="AW753" i="2" l="1"/>
  <c r="AU753" i="2" s="1"/>
  <c r="AZ753" i="2"/>
  <c r="AT753" i="2" s="1"/>
  <c r="AR754" i="2" l="1"/>
  <c r="AP754" i="2"/>
  <c r="AS754" i="2"/>
  <c r="AQ754" i="2"/>
  <c r="BB754" i="2" l="1"/>
  <c r="AW754" i="2" s="1"/>
  <c r="BD754" i="2"/>
  <c r="AZ754" i="2" s="1"/>
  <c r="BC754" i="2"/>
  <c r="AX754" i="2" s="1"/>
  <c r="BA754" i="2" l="1"/>
  <c r="AY754" i="2"/>
  <c r="AU754" i="2" s="1"/>
  <c r="AV754" i="2"/>
  <c r="AT754" i="2" s="1"/>
  <c r="AQ755" i="2" l="1"/>
  <c r="AS755" i="2"/>
  <c r="AP755" i="2"/>
  <c r="AR755" i="2"/>
  <c r="BC755" i="2" l="1"/>
  <c r="AY755" i="2" s="1"/>
  <c r="BD755" i="2"/>
  <c r="BA755" i="2" s="1"/>
  <c r="BB755" i="2"/>
  <c r="AW755" i="2" s="1"/>
  <c r="AU755" i="2" l="1"/>
  <c r="AZ755" i="2"/>
  <c r="AX755" i="2"/>
  <c r="AV755" i="2"/>
  <c r="AT755" i="2" s="1"/>
  <c r="AR756" i="2" l="1"/>
  <c r="AP756" i="2"/>
  <c r="AS756" i="2"/>
  <c r="AQ756" i="2"/>
  <c r="BB756" i="2" l="1"/>
  <c r="AW756" i="2" s="1"/>
  <c r="BC756" i="2"/>
  <c r="AY756" i="2" s="1"/>
  <c r="BD756" i="2"/>
  <c r="BA756" i="2" s="1"/>
  <c r="AV756" i="2"/>
  <c r="AX756" i="2"/>
  <c r="AU756" i="2" l="1"/>
  <c r="AZ756" i="2"/>
  <c r="AT756" i="2" s="1"/>
  <c r="AP757" i="2" l="1"/>
  <c r="AR757" i="2"/>
  <c r="AS757" i="2"/>
  <c r="AQ757" i="2"/>
  <c r="BB757" i="2" l="1"/>
  <c r="AV757" i="2" s="1"/>
  <c r="BC757" i="2"/>
  <c r="AX757" i="2" s="1"/>
  <c r="BD757" i="2"/>
  <c r="AZ757" i="2" s="1"/>
  <c r="AW757" i="2" l="1"/>
  <c r="AY757" i="2"/>
  <c r="AT757" i="2"/>
  <c r="BA757" i="2"/>
  <c r="AR758" i="2" l="1"/>
  <c r="AP758" i="2"/>
  <c r="AU757" i="2"/>
  <c r="BD758" i="2" l="1"/>
  <c r="AZ758" i="2" s="1"/>
  <c r="AS758" i="2"/>
  <c r="AQ758" i="2"/>
  <c r="BB758" i="2" s="1"/>
  <c r="AV758" i="2" s="1"/>
  <c r="AW758" i="2" l="1"/>
  <c r="BA758" i="2"/>
  <c r="BC758" i="2"/>
  <c r="AX758" i="2" s="1"/>
  <c r="AT758" i="2" s="1"/>
  <c r="AP759" i="2" l="1"/>
  <c r="AR759" i="2"/>
  <c r="AY758" i="2"/>
  <c r="AU758" i="2" s="1"/>
  <c r="AS759" i="2" l="1"/>
  <c r="AQ759" i="2"/>
  <c r="BC759" i="2" s="1"/>
  <c r="AX759" i="2" s="1"/>
  <c r="BD759" i="2"/>
  <c r="AZ759" i="2" s="1"/>
  <c r="BA759" i="2" l="1"/>
  <c r="AY759" i="2"/>
  <c r="BB759" i="2"/>
  <c r="AV759" i="2" s="1"/>
  <c r="AT759" i="2" s="1"/>
  <c r="AW759" i="2" l="1"/>
  <c r="AU759" i="2" s="1"/>
  <c r="AP760" i="2"/>
  <c r="AR760" i="2"/>
  <c r="BD760" i="2" l="1"/>
  <c r="AZ760" i="2" s="1"/>
  <c r="AS760" i="2"/>
  <c r="AQ760" i="2"/>
  <c r="BB760" i="2" s="1"/>
  <c r="AV760" i="2" s="1"/>
  <c r="BA760" i="2" l="1"/>
  <c r="AW760" i="2"/>
  <c r="BC760" i="2"/>
  <c r="AX760" i="2" s="1"/>
  <c r="AT760" i="2" s="1"/>
  <c r="AR761" i="2" l="1"/>
  <c r="AP761" i="2"/>
  <c r="AY760" i="2"/>
  <c r="AU760" i="2" s="1"/>
  <c r="AQ761" i="2" l="1"/>
  <c r="AS761" i="2"/>
  <c r="BC761" i="2"/>
  <c r="AY761" i="2" s="1"/>
  <c r="BD761" i="2"/>
  <c r="AZ761" i="2" s="1"/>
  <c r="BB761" i="2"/>
  <c r="AV761" i="2" s="1"/>
  <c r="AX761" i="2" l="1"/>
  <c r="AT761" i="2" s="1"/>
  <c r="BA761" i="2"/>
  <c r="AW761" i="2"/>
  <c r="AP762" i="2" l="1"/>
  <c r="AR762" i="2"/>
  <c r="AU761" i="2"/>
  <c r="AS762" i="2" l="1"/>
  <c r="AQ762" i="2"/>
  <c r="BD762" i="2" s="1"/>
  <c r="AZ762" i="2" s="1"/>
  <c r="BA762" i="2" l="1"/>
  <c r="BC762" i="2"/>
  <c r="AX762" i="2" s="1"/>
  <c r="BB762" i="2"/>
  <c r="AV762" i="2" s="1"/>
  <c r="AY762" i="2" l="1"/>
  <c r="AW762" i="2"/>
  <c r="AT762" i="2"/>
  <c r="AR763" i="2" l="1"/>
  <c r="AP763" i="2"/>
  <c r="AU762" i="2"/>
  <c r="AS763" i="2" l="1"/>
  <c r="AQ763" i="2"/>
  <c r="BC763" i="2" l="1"/>
  <c r="BB763" i="2"/>
  <c r="AV763" i="2" s="1"/>
  <c r="BD763" i="2"/>
  <c r="AY763" i="2" l="1"/>
  <c r="AX763" i="2"/>
  <c r="AT763" i="2" s="1"/>
  <c r="BA763" i="2"/>
  <c r="AZ763" i="2"/>
  <c r="AW763" i="2"/>
  <c r="AU763" i="2" s="1"/>
  <c r="AR764" i="2" l="1"/>
  <c r="AP764" i="2"/>
  <c r="AQ764" i="2"/>
  <c r="AS764" i="2"/>
  <c r="BB764" i="2" l="1"/>
  <c r="AV764" i="2" s="1"/>
  <c r="BC764" i="2"/>
  <c r="AX764" i="2" s="1"/>
  <c r="BD764" i="2"/>
  <c r="AZ764" i="2" s="1"/>
  <c r="AT764" i="2" l="1"/>
  <c r="BA764" i="2"/>
  <c r="AY764" i="2"/>
  <c r="AW764" i="2"/>
  <c r="AU764" i="2" s="1"/>
  <c r="AS765" i="2" l="1"/>
  <c r="AQ765" i="2"/>
  <c r="AP765" i="2"/>
  <c r="AR765" i="2"/>
  <c r="BC765" i="2" l="1"/>
  <c r="AY765" i="2" s="1"/>
  <c r="BD765" i="2"/>
  <c r="BA765" i="2" s="1"/>
  <c r="BB765" i="2"/>
  <c r="AW765" i="2" s="1"/>
  <c r="AU765" i="2" s="1"/>
  <c r="AQ766" i="2" s="1"/>
  <c r="AV765" i="2" l="1"/>
  <c r="AX765" i="2"/>
  <c r="AS766" i="2"/>
  <c r="AZ765" i="2"/>
  <c r="AT765" i="2" l="1"/>
  <c r="AR766" i="2" l="1"/>
  <c r="AP766" i="2"/>
  <c r="BC766" i="2" l="1"/>
  <c r="AY766" i="2" s="1"/>
  <c r="BD766" i="2"/>
  <c r="BA766" i="2" s="1"/>
  <c r="BB766" i="2"/>
  <c r="AW766" i="2" s="1"/>
  <c r="AU766" i="2" s="1"/>
  <c r="AX766" i="2"/>
  <c r="AZ766" i="2"/>
  <c r="AV766" i="2" l="1"/>
  <c r="AS767" i="2"/>
  <c r="AQ767" i="2"/>
  <c r="AT766" i="2"/>
  <c r="AR767" i="2" l="1"/>
  <c r="AP767" i="2"/>
  <c r="BC767" i="2" l="1"/>
  <c r="AY767" i="2" s="1"/>
  <c r="BD767" i="2"/>
  <c r="BA767" i="2" s="1"/>
  <c r="BB767" i="2"/>
  <c r="AW767" i="2" s="1"/>
  <c r="AU767" i="2" s="1"/>
  <c r="AX767" i="2"/>
  <c r="AV767" i="2"/>
  <c r="AS768" i="2" l="1"/>
  <c r="AQ768" i="2"/>
  <c r="AZ767" i="2"/>
  <c r="AT767" i="2" s="1"/>
  <c r="AP768" i="2" l="1"/>
  <c r="AR768" i="2"/>
  <c r="BD768" i="2" l="1"/>
  <c r="BA768" i="2" s="1"/>
  <c r="BB768" i="2"/>
  <c r="AW768" i="2" s="1"/>
  <c r="AU768" i="2" s="1"/>
  <c r="BC768" i="2"/>
  <c r="AY768" i="2" s="1"/>
  <c r="AQ769" i="2" l="1"/>
  <c r="AS769" i="2"/>
  <c r="AV768" i="2"/>
  <c r="AT768" i="2" s="1"/>
  <c r="AX768" i="2"/>
  <c r="AZ768" i="2"/>
  <c r="AR769" i="2" l="1"/>
  <c r="AP769" i="2"/>
  <c r="BC769" i="2" l="1"/>
  <c r="AY769" i="2" s="1"/>
  <c r="BB769" i="2"/>
  <c r="AW769" i="2" s="1"/>
  <c r="AU769" i="2" s="1"/>
  <c r="BD769" i="2"/>
  <c r="BA769" i="2" s="1"/>
  <c r="AX769" i="2"/>
  <c r="AZ769" i="2"/>
  <c r="AV769" i="2"/>
  <c r="AS770" i="2" l="1"/>
  <c r="AQ770" i="2"/>
  <c r="AT769" i="2"/>
  <c r="AP770" i="2" l="1"/>
  <c r="AR770" i="2"/>
  <c r="BB770" i="2" l="1"/>
  <c r="AW770" i="2" s="1"/>
  <c r="BD770" i="2"/>
  <c r="BA770" i="2" s="1"/>
  <c r="AU770" i="2" s="1"/>
  <c r="BC770" i="2"/>
  <c r="AY770" i="2" s="1"/>
  <c r="AS771" i="2" l="1"/>
  <c r="AQ771" i="2"/>
  <c r="AV770" i="2"/>
  <c r="AT770" i="2" s="1"/>
  <c r="AZ770" i="2"/>
  <c r="AX770" i="2"/>
  <c r="AR771" i="2" l="1"/>
  <c r="AP771" i="2"/>
  <c r="BB771" i="2" l="1"/>
  <c r="AW771" i="2" s="1"/>
  <c r="BD771" i="2"/>
  <c r="BA771" i="2" s="1"/>
  <c r="BC771" i="2"/>
  <c r="AY771" i="2" s="1"/>
  <c r="AZ771" i="2" l="1"/>
  <c r="AV771" i="2"/>
  <c r="AX771" i="2"/>
  <c r="AU771" i="2"/>
  <c r="AQ772" i="2" l="1"/>
  <c r="AS772" i="2"/>
  <c r="AT771" i="2"/>
  <c r="AP772" i="2" l="1"/>
  <c r="AR772" i="2"/>
  <c r="BD772" i="2" l="1"/>
  <c r="BA772" i="2" s="1"/>
  <c r="BC772" i="2"/>
  <c r="AY772" i="2" s="1"/>
  <c r="BB772" i="2"/>
  <c r="AW772" i="2" s="1"/>
  <c r="AU772" i="2" s="1"/>
  <c r="AS773" i="2" l="1"/>
  <c r="AQ773" i="2"/>
  <c r="AV772" i="2"/>
  <c r="AT772" i="2" s="1"/>
  <c r="AZ772" i="2"/>
  <c r="AX772" i="2"/>
  <c r="AR773" i="2" l="1"/>
  <c r="AP773" i="2"/>
  <c r="BC773" i="2" l="1"/>
  <c r="BD773" i="2"/>
  <c r="BA773" i="2" s="1"/>
  <c r="BB773" i="2"/>
  <c r="AW773" i="2" s="1"/>
  <c r="AX773" i="2" l="1"/>
  <c r="AY773" i="2"/>
  <c r="AU773" i="2" s="1"/>
  <c r="AV773" i="2"/>
  <c r="AT773" i="2" s="1"/>
  <c r="AZ773" i="2"/>
  <c r="AQ774" i="2" l="1"/>
  <c r="AS774" i="2"/>
  <c r="AP774" i="2"/>
  <c r="AR774" i="2"/>
  <c r="BB774" i="2" l="1"/>
  <c r="AW774" i="2" s="1"/>
  <c r="AU774" i="2" s="1"/>
  <c r="AQ775" i="2" s="1"/>
  <c r="BD774" i="2"/>
  <c r="BA774" i="2" s="1"/>
  <c r="BC774" i="2"/>
  <c r="AY774" i="2" s="1"/>
  <c r="AX774" i="2"/>
  <c r="AV774" i="2" l="1"/>
  <c r="AZ774" i="2"/>
  <c r="AS775" i="2"/>
  <c r="AT774" i="2" l="1"/>
  <c r="AR775" i="2" l="1"/>
  <c r="AP775" i="2"/>
  <c r="BD775" i="2" l="1"/>
  <c r="BA775" i="2" s="1"/>
  <c r="BB775" i="2"/>
  <c r="AW775" i="2" s="1"/>
  <c r="BC775" i="2"/>
  <c r="AY775" i="2" s="1"/>
  <c r="AV775" i="2"/>
  <c r="AZ775" i="2"/>
  <c r="AX775" i="2" l="1"/>
  <c r="AU775" i="2"/>
  <c r="AT775" i="2"/>
  <c r="AS776" i="2" l="1"/>
  <c r="AQ776" i="2"/>
  <c r="AP776" i="2"/>
  <c r="AR776" i="2"/>
  <c r="BC776" i="2" l="1"/>
  <c r="AX776" i="2" s="1"/>
  <c r="BB776" i="2"/>
  <c r="AV776" i="2" s="1"/>
  <c r="BD776" i="2"/>
  <c r="AZ776" i="2" s="1"/>
  <c r="AT776" i="2" l="1"/>
  <c r="AY776" i="2"/>
  <c r="BA776" i="2"/>
  <c r="AW776" i="2"/>
  <c r="AU776" i="2" s="1"/>
  <c r="AS777" i="2" l="1"/>
  <c r="AQ777" i="2"/>
  <c r="AR777" i="2"/>
  <c r="AP777" i="2"/>
  <c r="BC777" i="2" l="1"/>
  <c r="AY777" i="2" s="1"/>
  <c r="BB777" i="2"/>
  <c r="AW777" i="2" s="1"/>
  <c r="AU777" i="2" s="1"/>
  <c r="AS778" i="2" s="1"/>
  <c r="BD777" i="2"/>
  <c r="BA777" i="2" s="1"/>
  <c r="AQ778" i="2" l="1"/>
  <c r="AV777" i="2"/>
  <c r="AT777" i="2" s="1"/>
  <c r="AX777" i="2"/>
  <c r="AZ777" i="2"/>
  <c r="AR778" i="2" l="1"/>
  <c r="AP778" i="2"/>
  <c r="BC778" i="2" l="1"/>
  <c r="AY778" i="2" s="1"/>
  <c r="BB778" i="2"/>
  <c r="AW778" i="2" s="1"/>
  <c r="AX778" i="2"/>
  <c r="BD778" i="2"/>
  <c r="BA778" i="2" s="1"/>
  <c r="AV778" i="2"/>
  <c r="AZ778" i="2"/>
  <c r="AU778" i="2" l="1"/>
  <c r="AT778" i="2"/>
  <c r="AP779" i="2" l="1"/>
  <c r="AR779" i="2"/>
  <c r="AS779" i="2"/>
  <c r="AQ779" i="2"/>
  <c r="BB779" i="2" l="1"/>
  <c r="AW779" i="2" s="1"/>
  <c r="BC779" i="2"/>
  <c r="AY779" i="2" s="1"/>
  <c r="BD779" i="2"/>
  <c r="BA779" i="2" s="1"/>
  <c r="AX779" i="2"/>
  <c r="AV779" i="2"/>
  <c r="AU779" i="2" l="1"/>
  <c r="AZ779" i="2"/>
  <c r="AT779" i="2" s="1"/>
  <c r="AR780" i="2" l="1"/>
  <c r="AP780" i="2"/>
  <c r="AQ780" i="2"/>
  <c r="AS780" i="2"/>
  <c r="BB780" i="2" l="1"/>
  <c r="AW780" i="2" s="1"/>
  <c r="BD780" i="2"/>
  <c r="BA780" i="2" s="1"/>
  <c r="AX780" i="2"/>
  <c r="BC780" i="2"/>
  <c r="AY780" i="2" s="1"/>
  <c r="AV780" i="2"/>
  <c r="AZ780" i="2"/>
  <c r="AU780" i="2" l="1"/>
  <c r="AT780" i="2"/>
  <c r="AP781" i="2" l="1"/>
  <c r="AR781" i="2"/>
  <c r="AS781" i="2"/>
  <c r="AQ781" i="2"/>
  <c r="BB781" i="2" l="1"/>
  <c r="AW781" i="2" s="1"/>
  <c r="BC781" i="2"/>
  <c r="AY781" i="2" s="1"/>
  <c r="BD781" i="2"/>
  <c r="BA781" i="2" s="1"/>
  <c r="AU781" i="2" l="1"/>
  <c r="AZ781" i="2"/>
  <c r="AV781" i="2"/>
  <c r="AX781" i="2"/>
  <c r="AT781" i="2" l="1"/>
  <c r="AQ782" i="2"/>
  <c r="AS782" i="2"/>
  <c r="AR782" i="2" l="1"/>
  <c r="AP782" i="2"/>
  <c r="BB782" i="2" l="1"/>
  <c r="AW782" i="2" s="1"/>
  <c r="BD782" i="2"/>
  <c r="BA782" i="2" s="1"/>
  <c r="BC782" i="2"/>
  <c r="AY782" i="2" s="1"/>
  <c r="AV782" i="2"/>
  <c r="AX782" i="2" l="1"/>
  <c r="AT782" i="2" s="1"/>
  <c r="AZ782" i="2"/>
  <c r="AU782" i="2"/>
  <c r="AP783" i="2" l="1"/>
  <c r="AR783" i="2"/>
  <c r="AQ783" i="2"/>
  <c r="AS783" i="2"/>
  <c r="BD783" i="2" l="1"/>
  <c r="BA783" i="2" s="1"/>
  <c r="BC783" i="2"/>
  <c r="AY783" i="2" s="1"/>
  <c r="BB783" i="2"/>
  <c r="AW783" i="2" s="1"/>
  <c r="AU783" i="2" s="1"/>
  <c r="AQ784" i="2" s="1"/>
  <c r="AX783" i="2"/>
  <c r="AZ783" i="2" l="1"/>
  <c r="AV783" i="2"/>
  <c r="AT783" i="2" s="1"/>
  <c r="AS784" i="2"/>
  <c r="AP784" i="2" l="1"/>
  <c r="AR784" i="2"/>
  <c r="BC784" i="2" l="1"/>
  <c r="AY784" i="2" s="1"/>
  <c r="BB784" i="2"/>
  <c r="AW784" i="2" s="1"/>
  <c r="AU784" i="2" s="1"/>
  <c r="BD784" i="2"/>
  <c r="BA784" i="2" s="1"/>
  <c r="AZ784" i="2"/>
  <c r="AQ785" i="2" l="1"/>
  <c r="AS785" i="2"/>
  <c r="AV784" i="2"/>
  <c r="AT784" i="2" s="1"/>
  <c r="AX784" i="2"/>
  <c r="AR785" i="2" l="1"/>
  <c r="AP785" i="2"/>
  <c r="BD785" i="2" l="1"/>
  <c r="BB785" i="2"/>
  <c r="BC785" i="2"/>
  <c r="AY785" i="2" s="1"/>
  <c r="AX785" i="2" l="1"/>
  <c r="AV785" i="2"/>
  <c r="AW785" i="2"/>
  <c r="AU785" i="2" s="1"/>
  <c r="AZ785" i="2"/>
  <c r="BA785" i="2"/>
  <c r="AQ786" i="2" l="1"/>
  <c r="AS786" i="2"/>
  <c r="AT785" i="2"/>
  <c r="AP786" i="2" l="1"/>
  <c r="AR786" i="2"/>
  <c r="BD786" i="2" l="1"/>
  <c r="BA786" i="2" s="1"/>
  <c r="BB786" i="2"/>
  <c r="AW786" i="2" s="1"/>
  <c r="BC786" i="2"/>
  <c r="AY786" i="2" s="1"/>
  <c r="AV786" i="2" l="1"/>
  <c r="AU786" i="2"/>
  <c r="AX786" i="2"/>
  <c r="AZ786" i="2"/>
  <c r="AS787" i="2" l="1"/>
  <c r="AQ787" i="2"/>
  <c r="AT786" i="2"/>
  <c r="AR787" i="2" l="1"/>
  <c r="AP787" i="2"/>
  <c r="BC787" i="2" l="1"/>
  <c r="AY787" i="2" s="1"/>
  <c r="BB787" i="2"/>
  <c r="AW787" i="2" s="1"/>
  <c r="AU787" i="2" s="1"/>
  <c r="BD787" i="2"/>
  <c r="BA787" i="2" s="1"/>
  <c r="AV787" i="2" l="1"/>
  <c r="AS788" i="2"/>
  <c r="AQ788" i="2"/>
  <c r="AX787" i="2"/>
  <c r="AZ787" i="2"/>
  <c r="AT787" i="2" l="1"/>
  <c r="AR788" i="2" l="1"/>
  <c r="AP788" i="2"/>
  <c r="BD788" i="2" l="1"/>
  <c r="BA788" i="2" s="1"/>
  <c r="BB788" i="2"/>
  <c r="AW788" i="2" s="1"/>
  <c r="BC788" i="2"/>
  <c r="AY788" i="2" s="1"/>
  <c r="AZ788" i="2"/>
  <c r="AV788" i="2" l="1"/>
  <c r="AX788" i="2"/>
  <c r="AU788" i="2"/>
  <c r="AS789" i="2" l="1"/>
  <c r="AQ789" i="2"/>
  <c r="AT788" i="2"/>
  <c r="AP789" i="2" l="1"/>
  <c r="AR789" i="2"/>
  <c r="BC789" i="2" l="1"/>
  <c r="AY789" i="2" s="1"/>
  <c r="BD789" i="2"/>
  <c r="BA789" i="2" s="1"/>
  <c r="BB789" i="2"/>
  <c r="AW789" i="2" s="1"/>
  <c r="AU789" i="2" l="1"/>
  <c r="AX789" i="2"/>
  <c r="AZ789" i="2"/>
  <c r="AV789" i="2"/>
  <c r="AT789" i="2" l="1"/>
  <c r="AS790" i="2"/>
  <c r="AQ790" i="2"/>
  <c r="AR790" i="2" l="1"/>
  <c r="AP790" i="2"/>
  <c r="BB790" i="2" l="1"/>
  <c r="AW790" i="2" s="1"/>
  <c r="BD790" i="2"/>
  <c r="BA790" i="2" s="1"/>
  <c r="BC790" i="2"/>
  <c r="AY790" i="2" s="1"/>
  <c r="AV790" i="2"/>
  <c r="AZ790" i="2" l="1"/>
  <c r="AU790" i="2"/>
  <c r="AX790" i="2"/>
  <c r="AT790" i="2" s="1"/>
  <c r="AR791" i="2" l="1"/>
  <c r="AP791" i="2"/>
  <c r="AS791" i="2"/>
  <c r="AQ791" i="2"/>
  <c r="BD791" i="2" l="1"/>
  <c r="BA791" i="2" s="1"/>
  <c r="BC791" i="2"/>
  <c r="AY791" i="2" s="1"/>
  <c r="BB791" i="2"/>
  <c r="AW791" i="2" s="1"/>
  <c r="AV791" i="2"/>
  <c r="AZ791" i="2" l="1"/>
  <c r="AX791" i="2"/>
  <c r="AT791" i="2" s="1"/>
  <c r="AU791" i="2"/>
  <c r="AP792" i="2" l="1"/>
  <c r="AR792" i="2"/>
  <c r="AQ792" i="2"/>
  <c r="AS792" i="2"/>
  <c r="BC792" i="2" l="1"/>
  <c r="AY792" i="2" s="1"/>
  <c r="BB792" i="2"/>
  <c r="AW792" i="2" s="1"/>
  <c r="BD792" i="2"/>
  <c r="BA792" i="2" s="1"/>
  <c r="AU792" i="2" l="1"/>
  <c r="AZ792" i="2"/>
  <c r="AX792" i="2"/>
  <c r="AV792" i="2"/>
  <c r="AT792" i="2" l="1"/>
  <c r="AS793" i="2"/>
  <c r="AQ793" i="2"/>
  <c r="AR793" i="2" l="1"/>
  <c r="AP793" i="2"/>
  <c r="BD793" i="2" l="1"/>
  <c r="BA793" i="2" s="1"/>
  <c r="BB793" i="2"/>
  <c r="AW793" i="2" s="1"/>
  <c r="AU793" i="2" s="1"/>
  <c r="BC793" i="2"/>
  <c r="AY793" i="2" s="1"/>
  <c r="AZ793" i="2"/>
  <c r="AS794" i="2" l="1"/>
  <c r="AQ794" i="2"/>
  <c r="AX793" i="2"/>
  <c r="AV793" i="2"/>
  <c r="AT793" i="2" l="1"/>
  <c r="AP794" i="2" l="1"/>
  <c r="AR794" i="2"/>
  <c r="BB794" i="2" l="1"/>
  <c r="AW794" i="2" s="1"/>
  <c r="BC794" i="2"/>
  <c r="AY794" i="2" s="1"/>
  <c r="BD794" i="2"/>
  <c r="BA794" i="2" s="1"/>
  <c r="AZ794" i="2"/>
  <c r="AX794" i="2" l="1"/>
  <c r="AV794" i="2"/>
  <c r="AT794" i="2" s="1"/>
  <c r="AU794" i="2"/>
  <c r="AR795" i="2" l="1"/>
  <c r="AP795" i="2"/>
  <c r="AQ795" i="2"/>
  <c r="AS795" i="2"/>
  <c r="BC795" i="2" l="1"/>
  <c r="AY795" i="2" s="1"/>
  <c r="BB795" i="2"/>
  <c r="AW795" i="2" s="1"/>
  <c r="BD795" i="2"/>
  <c r="BA795" i="2" s="1"/>
  <c r="AZ795" i="2"/>
  <c r="AX795" i="2"/>
  <c r="AV795" i="2"/>
  <c r="AT795" i="2" s="1"/>
  <c r="AP796" i="2" s="1"/>
  <c r="AU795" i="2" l="1"/>
  <c r="AR796" i="2"/>
  <c r="AS796" i="2" l="1"/>
  <c r="AQ796" i="2"/>
  <c r="BB796" i="2" l="1"/>
  <c r="BC796" i="2"/>
  <c r="BD796" i="2"/>
  <c r="BA796" i="2" l="1"/>
  <c r="AZ796" i="2"/>
  <c r="AW796" i="2"/>
  <c r="AU796" i="2" s="1"/>
  <c r="AV796" i="2"/>
  <c r="AY796" i="2"/>
  <c r="AX796" i="2"/>
  <c r="AT796" i="2" l="1"/>
  <c r="AQ797" i="2"/>
  <c r="AS797" i="2"/>
  <c r="AP797" i="2" l="1"/>
  <c r="AR797" i="2"/>
  <c r="BC797" i="2" l="1"/>
  <c r="AY797" i="2" s="1"/>
  <c r="BD797" i="2"/>
  <c r="BA797" i="2" s="1"/>
  <c r="BB797" i="2"/>
  <c r="AW797" i="2" s="1"/>
  <c r="AX797" i="2" l="1"/>
  <c r="AU797" i="2"/>
  <c r="AZ797" i="2"/>
  <c r="AV797" i="2"/>
  <c r="AT797" i="2" l="1"/>
  <c r="AQ798" i="2"/>
  <c r="AS798" i="2"/>
  <c r="AR798" i="2" l="1"/>
  <c r="AP798" i="2"/>
  <c r="BC798" i="2" l="1"/>
  <c r="AY798" i="2" s="1"/>
  <c r="BB798" i="2"/>
  <c r="AW798" i="2" s="1"/>
  <c r="AU798" i="2" s="1"/>
  <c r="AX798" i="2"/>
  <c r="BD798" i="2"/>
  <c r="BA798" i="2" s="1"/>
  <c r="AQ799" i="2" l="1"/>
  <c r="AS799" i="2"/>
  <c r="AZ798" i="2"/>
  <c r="AT798" i="2" s="1"/>
  <c r="AV798" i="2"/>
  <c r="AP799" i="2" l="1"/>
  <c r="AR799" i="2"/>
  <c r="BB799" i="2" l="1"/>
  <c r="AW799" i="2" s="1"/>
  <c r="BC799" i="2"/>
  <c r="AY799" i="2" s="1"/>
  <c r="BD799" i="2"/>
  <c r="BA799" i="2" s="1"/>
  <c r="AZ799" i="2"/>
  <c r="AV799" i="2"/>
  <c r="AX799" i="2" l="1"/>
  <c r="AU799" i="2"/>
  <c r="AT799" i="2"/>
  <c r="AS800" i="2" l="1"/>
  <c r="AQ800" i="2"/>
  <c r="AR800" i="2"/>
  <c r="AP800" i="2"/>
  <c r="BB800" i="2" l="1"/>
  <c r="AW800" i="2" s="1"/>
  <c r="BD800" i="2"/>
  <c r="BA800" i="2" s="1"/>
  <c r="BC800" i="2"/>
  <c r="AY800" i="2" s="1"/>
  <c r="AU800" i="2" l="1"/>
  <c r="AX800" i="2"/>
  <c r="AZ800" i="2"/>
  <c r="AV800" i="2"/>
  <c r="AT800" i="2" l="1"/>
  <c r="AS801" i="2"/>
  <c r="AQ801" i="2"/>
  <c r="AR801" i="2" l="1"/>
  <c r="AP801" i="2"/>
  <c r="BB801" i="2" l="1"/>
  <c r="AW801" i="2" s="1"/>
  <c r="BD801" i="2"/>
  <c r="BC801" i="2"/>
  <c r="AV801" i="2"/>
  <c r="AX801" i="2" l="1"/>
  <c r="AT801" i="2" s="1"/>
  <c r="AY801" i="2"/>
  <c r="AZ801" i="2"/>
  <c r="BA801" i="2"/>
  <c r="AR802" i="2" l="1"/>
  <c r="AP802" i="2"/>
  <c r="AU801" i="2"/>
  <c r="AS802" i="2" l="1"/>
  <c r="AQ802" i="2"/>
  <c r="BB802" i="2" s="1"/>
  <c r="AV802" i="2" s="1"/>
  <c r="BD802" i="2" l="1"/>
  <c r="AZ802" i="2" s="1"/>
  <c r="AW802" i="2"/>
  <c r="BC802" i="2"/>
  <c r="AX802" i="2" s="1"/>
  <c r="AT802" i="2" s="1"/>
  <c r="AR803" i="2" l="1"/>
  <c r="AP803" i="2"/>
  <c r="AY802" i="2"/>
  <c r="AU802" i="2" s="1"/>
  <c r="BA802" i="2"/>
  <c r="AQ803" i="2" l="1"/>
  <c r="AS803" i="2"/>
  <c r="BD803" i="2"/>
  <c r="BA803" i="2" s="1"/>
  <c r="AU803" i="2" s="1"/>
  <c r="BC803" i="2"/>
  <c r="AY803" i="2" s="1"/>
  <c r="BB803" i="2"/>
  <c r="AW803" i="2" s="1"/>
  <c r="AV803" i="2" l="1"/>
  <c r="AZ803" i="2"/>
  <c r="AS804" i="2"/>
  <c r="AX803" i="2"/>
  <c r="AQ804" i="2"/>
  <c r="AT803" i="2" l="1"/>
  <c r="AP804" i="2" l="1"/>
  <c r="AR804" i="2"/>
  <c r="BC804" i="2" l="1"/>
  <c r="AY804" i="2" s="1"/>
  <c r="BB804" i="2"/>
  <c r="AW804" i="2" s="1"/>
  <c r="BD804" i="2"/>
  <c r="BA804" i="2" s="1"/>
  <c r="AU804" i="2" l="1"/>
  <c r="AV804" i="2"/>
  <c r="AX804" i="2"/>
  <c r="AZ804" i="2"/>
  <c r="AT804" i="2" l="1"/>
  <c r="AS805" i="2"/>
  <c r="AQ805" i="2"/>
  <c r="AR805" i="2" l="1"/>
  <c r="AP805" i="2"/>
  <c r="BD805" i="2" l="1"/>
  <c r="BA805" i="2" s="1"/>
  <c r="BC805" i="2"/>
  <c r="AY805" i="2" s="1"/>
  <c r="BB805" i="2"/>
  <c r="AW805" i="2" s="1"/>
  <c r="AU805" i="2" s="1"/>
  <c r="AX805" i="2"/>
  <c r="AQ806" i="2" l="1"/>
  <c r="AS806" i="2"/>
  <c r="AV805" i="2"/>
  <c r="AT805" i="2" s="1"/>
  <c r="AZ805" i="2"/>
  <c r="AR806" i="2" l="1"/>
  <c r="AP806" i="2"/>
  <c r="BB806" i="2" l="1"/>
  <c r="AW806" i="2" s="1"/>
  <c r="BC806" i="2"/>
  <c r="AY806" i="2" s="1"/>
  <c r="BD806" i="2"/>
  <c r="BA806" i="2" s="1"/>
  <c r="AV806" i="2"/>
  <c r="AT806" i="2" s="1"/>
  <c r="AR807" i="2" s="1"/>
  <c r="AX806" i="2"/>
  <c r="AZ806" i="2"/>
  <c r="AP807" i="2" l="1"/>
  <c r="AU806" i="2"/>
  <c r="AS807" i="2" l="1"/>
  <c r="AQ807" i="2"/>
  <c r="BB807" i="2" s="1"/>
  <c r="BD807" i="2"/>
  <c r="BA807" i="2" s="1"/>
  <c r="AW807" i="2" l="1"/>
  <c r="AV807" i="2"/>
  <c r="AZ807" i="2"/>
  <c r="BC807" i="2"/>
  <c r="AY807" i="2" l="1"/>
  <c r="AU807" i="2" s="1"/>
  <c r="AX807" i="2"/>
  <c r="AT807" i="2" s="1"/>
  <c r="AR808" i="2" l="1"/>
  <c r="AP808" i="2"/>
  <c r="AS808" i="2"/>
  <c r="AQ808" i="2"/>
  <c r="BB808" i="2" l="1"/>
  <c r="AW808" i="2" s="1"/>
  <c r="AU808" i="2" s="1"/>
  <c r="BC808" i="2"/>
  <c r="AY808" i="2" s="1"/>
  <c r="BD808" i="2"/>
  <c r="BA808" i="2" s="1"/>
  <c r="AV808" i="2"/>
  <c r="AQ809" i="2" l="1"/>
  <c r="AS809" i="2"/>
  <c r="AZ808" i="2"/>
  <c r="AX808" i="2"/>
  <c r="AT808" i="2" l="1"/>
  <c r="AP809" i="2" l="1"/>
  <c r="AR809" i="2"/>
  <c r="BC809" i="2" l="1"/>
  <c r="AY809" i="2" s="1"/>
  <c r="BB809" i="2"/>
  <c r="AW809" i="2" s="1"/>
  <c r="AU809" i="2" s="1"/>
  <c r="BD809" i="2"/>
  <c r="BA809" i="2" s="1"/>
  <c r="AX809" i="2"/>
  <c r="AS810" i="2" l="1"/>
  <c r="AQ810" i="2"/>
  <c r="AZ809" i="2"/>
  <c r="AV809" i="2"/>
  <c r="AT809" i="2" l="1"/>
  <c r="AR810" i="2" l="1"/>
  <c r="AP810" i="2"/>
  <c r="BB810" i="2" l="1"/>
  <c r="AW810" i="2" s="1"/>
  <c r="BD810" i="2"/>
  <c r="BA810" i="2" s="1"/>
  <c r="BC810" i="2"/>
  <c r="AY810" i="2" s="1"/>
  <c r="AV810" i="2"/>
  <c r="AT810" i="2" s="1"/>
  <c r="AR811" i="2" s="1"/>
  <c r="AX810" i="2"/>
  <c r="AZ810" i="2"/>
  <c r="AP811" i="2" l="1"/>
  <c r="AU810" i="2"/>
  <c r="AQ811" i="2" l="1"/>
  <c r="AS811" i="2"/>
  <c r="BD811" i="2" l="1"/>
  <c r="BC811" i="2"/>
  <c r="AX811" i="2" s="1"/>
  <c r="BB811" i="2"/>
  <c r="AV811" i="2" s="1"/>
  <c r="BA811" i="2" l="1"/>
  <c r="AZ811" i="2"/>
  <c r="AT811" i="2" s="1"/>
  <c r="AY811" i="2"/>
  <c r="AW811" i="2"/>
  <c r="AU811" i="2" l="1"/>
  <c r="AR812" i="2"/>
  <c r="AP812" i="2"/>
  <c r="BC812" i="2" l="1"/>
  <c r="AX812" i="2" s="1"/>
  <c r="BB812" i="2"/>
  <c r="AV812" i="2" s="1"/>
  <c r="AT812" i="2" s="1"/>
  <c r="BD812" i="2"/>
  <c r="AZ812" i="2" s="1"/>
  <c r="AQ812" i="2"/>
  <c r="AS812" i="2"/>
  <c r="AR813" i="2" l="1"/>
  <c r="AP813" i="2"/>
  <c r="BA812" i="2"/>
  <c r="AW812" i="2"/>
  <c r="AY812" i="2"/>
  <c r="AU812" i="2" l="1"/>
  <c r="AS813" i="2" l="1"/>
  <c r="AQ813" i="2"/>
  <c r="AY813" i="2" l="1"/>
  <c r="BC813" i="2"/>
  <c r="AX813" i="2" s="1"/>
  <c r="BB813" i="2"/>
  <c r="AV813" i="2" s="1"/>
  <c r="BD813" i="2"/>
  <c r="AZ813" i="2" s="1"/>
  <c r="AT813" i="2" l="1"/>
  <c r="BA813" i="2"/>
  <c r="AW813" i="2"/>
  <c r="AU813" i="2" s="1"/>
  <c r="AQ814" i="2" l="1"/>
  <c r="AS814" i="2"/>
  <c r="AR814" i="2"/>
  <c r="AP814" i="2"/>
  <c r="BB814" i="2" l="1"/>
  <c r="AV814" i="2" s="1"/>
  <c r="BC814" i="2"/>
  <c r="AX814" i="2" s="1"/>
  <c r="BD814" i="2"/>
  <c r="AZ814" i="2" s="1"/>
  <c r="AY814" i="2"/>
  <c r="AW814" i="2"/>
  <c r="BA814" i="2" l="1"/>
  <c r="AU814" i="2" s="1"/>
  <c r="AT814" i="2"/>
  <c r="AQ815" i="2" l="1"/>
  <c r="AS815" i="2"/>
  <c r="AP815" i="2"/>
  <c r="AR815" i="2"/>
  <c r="BD815" i="2" l="1"/>
  <c r="AZ815" i="2" s="1"/>
  <c r="BB815" i="2"/>
  <c r="AV815" i="2" s="1"/>
  <c r="BC815" i="2"/>
  <c r="AX815" i="2" s="1"/>
  <c r="AY815" i="2"/>
  <c r="AW815" i="2"/>
  <c r="AT815" i="2" l="1"/>
  <c r="BA815" i="2"/>
  <c r="AU815" i="2" s="1"/>
  <c r="AS816" i="2" l="1"/>
  <c r="AQ816" i="2"/>
  <c r="AR816" i="2"/>
  <c r="AP816" i="2"/>
  <c r="BD816" i="2" l="1"/>
  <c r="AZ816" i="2" s="1"/>
  <c r="BB816" i="2"/>
  <c r="AV816" i="2" s="1"/>
  <c r="BC816" i="2"/>
  <c r="AX816" i="2" s="1"/>
  <c r="AT816" i="2" s="1"/>
  <c r="AP817" i="2" s="1"/>
  <c r="BA816" i="2"/>
  <c r="AW816" i="2"/>
  <c r="AY816" i="2"/>
  <c r="AU816" i="2" s="1"/>
  <c r="AS817" i="2" s="1"/>
  <c r="AR817" i="2" l="1"/>
  <c r="AQ817" i="2"/>
  <c r="BC817" i="2" s="1"/>
  <c r="AX817" i="2" s="1"/>
  <c r="AY817" i="2" l="1"/>
  <c r="BB817" i="2"/>
  <c r="AV817" i="2" s="1"/>
  <c r="AT817" i="2" s="1"/>
  <c r="BD817" i="2"/>
  <c r="AZ817" i="2" s="1"/>
  <c r="AP818" i="2" l="1"/>
  <c r="AR818" i="2"/>
  <c r="BA817" i="2"/>
  <c r="AW817" i="2"/>
  <c r="AU817" i="2" s="1"/>
  <c r="AS818" i="2" l="1"/>
  <c r="AQ818" i="2"/>
  <c r="BC818" i="2" s="1"/>
  <c r="BB818" i="2"/>
  <c r="AV818" i="2" s="1"/>
  <c r="AY818" i="2" l="1"/>
  <c r="AX818" i="2"/>
  <c r="AW818" i="2"/>
  <c r="BD818" i="2"/>
  <c r="BA818" i="2" l="1"/>
  <c r="AU818" i="2" s="1"/>
  <c r="AZ818" i="2"/>
  <c r="AT818" i="2" s="1"/>
  <c r="AS819" i="2" l="1"/>
  <c r="AQ819" i="2"/>
  <c r="AP819" i="2"/>
  <c r="AR819" i="2"/>
  <c r="BD819" i="2" l="1"/>
  <c r="BA819" i="2" s="1"/>
  <c r="AX819" i="2"/>
  <c r="BB819" i="2"/>
  <c r="AW819" i="2" s="1"/>
  <c r="BC819" i="2"/>
  <c r="AY819" i="2" s="1"/>
  <c r="AZ819" i="2"/>
  <c r="AV819" i="2"/>
  <c r="AT819" i="2" s="1"/>
  <c r="AR820" i="2" s="1"/>
  <c r="AP820" i="2" l="1"/>
  <c r="AU819" i="2"/>
  <c r="AS820" i="2" l="1"/>
  <c r="AQ820" i="2"/>
  <c r="BD820" i="2" s="1"/>
  <c r="BB820" i="2"/>
  <c r="AW820" i="2" s="1"/>
  <c r="BA820" i="2" l="1"/>
  <c r="AZ820" i="2"/>
  <c r="BC820" i="2"/>
  <c r="AV820" i="2"/>
  <c r="AY820" i="2" l="1"/>
  <c r="AU820" i="2" s="1"/>
  <c r="AX820" i="2"/>
  <c r="AT820" i="2" s="1"/>
  <c r="AR821" i="2" l="1"/>
  <c r="AP821" i="2"/>
  <c r="AS821" i="2"/>
  <c r="AQ821" i="2"/>
  <c r="BB821" i="2" l="1"/>
  <c r="AW821" i="2" s="1"/>
  <c r="AU821" i="2" s="1"/>
  <c r="AQ822" i="2" s="1"/>
  <c r="AX821" i="2"/>
  <c r="BD821" i="2"/>
  <c r="BA821" i="2" s="1"/>
  <c r="BC821" i="2"/>
  <c r="AY821" i="2" s="1"/>
  <c r="AV821" i="2"/>
  <c r="AT821" i="2" s="1"/>
  <c r="AR822" i="2" s="1"/>
  <c r="AZ821" i="2"/>
  <c r="AP822" i="2" l="1"/>
  <c r="AS822" i="2"/>
  <c r="BB822" i="2" l="1"/>
  <c r="AW822" i="2" s="1"/>
  <c r="BC822" i="2"/>
  <c r="AY822" i="2" s="1"/>
  <c r="BD822" i="2"/>
  <c r="BA822" i="2" s="1"/>
  <c r="AZ822" i="2"/>
  <c r="AX822" i="2"/>
  <c r="AU822" i="2" l="1"/>
  <c r="AV822" i="2"/>
  <c r="AT822" i="2" s="1"/>
  <c r="AR823" i="2" l="1"/>
  <c r="AP823" i="2"/>
  <c r="AQ823" i="2"/>
  <c r="AS823" i="2"/>
  <c r="BB823" i="2" l="1"/>
  <c r="AW823" i="2" s="1"/>
  <c r="BD823" i="2"/>
  <c r="BA823" i="2" s="1"/>
  <c r="BC823" i="2"/>
  <c r="AY823" i="2" s="1"/>
  <c r="AV823" i="2"/>
  <c r="AZ823" i="2" l="1"/>
  <c r="AX823" i="2"/>
  <c r="AT823" i="2" s="1"/>
  <c r="AU823" i="2"/>
  <c r="AP824" i="2" l="1"/>
  <c r="AR824" i="2"/>
  <c r="AS824" i="2"/>
  <c r="AQ824" i="2"/>
  <c r="BC824" i="2" l="1"/>
  <c r="AY824" i="2" s="1"/>
  <c r="BD824" i="2"/>
  <c r="BA824" i="2" s="1"/>
  <c r="AX824" i="2"/>
  <c r="BB824" i="2"/>
  <c r="AW824" i="2" s="1"/>
  <c r="AU824" i="2" s="1"/>
  <c r="AQ825" i="2" s="1"/>
  <c r="AZ824" i="2"/>
  <c r="AV824" i="2" l="1"/>
  <c r="AT824" i="2" s="1"/>
  <c r="AS825" i="2"/>
  <c r="AR825" i="2" l="1"/>
  <c r="AP825" i="2"/>
  <c r="BB825" i="2" l="1"/>
  <c r="AW825" i="2" s="1"/>
  <c r="BD825" i="2"/>
  <c r="BA825" i="2" s="1"/>
  <c r="BC825" i="2"/>
  <c r="AY825" i="2" s="1"/>
  <c r="AV825" i="2"/>
  <c r="AZ825" i="2"/>
  <c r="AX825" i="2"/>
  <c r="AT825" i="2" s="1"/>
  <c r="AR826" i="2" s="1"/>
  <c r="AP826" i="2" l="1"/>
  <c r="AU825" i="2"/>
  <c r="BD826" i="2" l="1"/>
  <c r="BA826" i="2" s="1"/>
  <c r="AS826" i="2"/>
  <c r="AQ826" i="2"/>
  <c r="AZ826" i="2" l="1"/>
  <c r="BB826" i="2"/>
  <c r="BC826" i="2"/>
  <c r="AW826" i="2" l="1"/>
  <c r="AV826" i="2"/>
  <c r="AY826" i="2"/>
  <c r="AX826" i="2"/>
  <c r="AT826" i="2" s="1"/>
  <c r="AR827" i="2" l="1"/>
  <c r="AP827" i="2"/>
  <c r="AU826" i="2"/>
  <c r="AS827" i="2" l="1"/>
  <c r="AQ827" i="2"/>
  <c r="BB827" i="2" l="1"/>
  <c r="BD827" i="2"/>
  <c r="BC827" i="2"/>
  <c r="AX827" i="2" s="1"/>
  <c r="BA827" i="2" l="1"/>
  <c r="AZ827" i="2"/>
  <c r="AW827" i="2"/>
  <c r="AV827" i="2"/>
  <c r="AT827" i="2" s="1"/>
  <c r="AY827" i="2"/>
  <c r="AR828" i="2" l="1"/>
  <c r="AP828" i="2"/>
  <c r="AU827" i="2"/>
  <c r="BB828" i="2" l="1"/>
  <c r="AW828" i="2" s="1"/>
  <c r="AS828" i="2"/>
  <c r="AQ828" i="2"/>
  <c r="BD828" i="2" s="1"/>
  <c r="BA828" i="2" l="1"/>
  <c r="AZ828" i="2"/>
  <c r="AV828" i="2"/>
  <c r="BC828" i="2"/>
  <c r="AY828" i="2" l="1"/>
  <c r="AU828" i="2" s="1"/>
  <c r="AX828" i="2"/>
  <c r="AT828" i="2" s="1"/>
  <c r="AR829" i="2" l="1"/>
  <c r="AP829" i="2"/>
  <c r="AQ829" i="2"/>
  <c r="AS829" i="2"/>
  <c r="BC829" i="2" l="1"/>
  <c r="AY829" i="2" s="1"/>
  <c r="BD829" i="2"/>
  <c r="BA829" i="2" s="1"/>
  <c r="BB829" i="2"/>
  <c r="AV829" i="2" s="1"/>
  <c r="AX829" i="2"/>
  <c r="AW829" i="2"/>
  <c r="AU829" i="2" l="1"/>
  <c r="AZ829" i="2"/>
  <c r="AT829" i="2" s="1"/>
  <c r="AR830" i="2" l="1"/>
  <c r="AP830" i="2"/>
  <c r="AS830" i="2"/>
  <c r="AQ830" i="2"/>
  <c r="BA830" i="2" l="1"/>
  <c r="BD830" i="2"/>
  <c r="AZ830" i="2" s="1"/>
  <c r="BC830" i="2"/>
  <c r="AX830" i="2" s="1"/>
  <c r="BB830" i="2"/>
  <c r="AV830" i="2" s="1"/>
  <c r="AT830" i="2" s="1"/>
  <c r="AP831" i="2" s="1"/>
  <c r="AR831" i="2" l="1"/>
  <c r="AY830" i="2"/>
  <c r="AW830" i="2"/>
  <c r="AU830" i="2" l="1"/>
  <c r="AQ831" i="2" l="1"/>
  <c r="AS831" i="2"/>
  <c r="BC831" i="2" l="1"/>
  <c r="AX831" i="2" s="1"/>
  <c r="BB831" i="2"/>
  <c r="AV831" i="2" s="1"/>
  <c r="AT831" i="2" s="1"/>
  <c r="BD831" i="2"/>
  <c r="AZ831" i="2" s="1"/>
  <c r="AY831" i="2" l="1"/>
  <c r="AW831" i="2"/>
  <c r="AU831" i="2" s="1"/>
  <c r="AR832" i="2"/>
  <c r="AP832" i="2"/>
  <c r="BA831" i="2"/>
  <c r="AS832" i="2" l="1"/>
  <c r="AQ832" i="2"/>
  <c r="AW832" i="2" l="1"/>
  <c r="BB832" i="2"/>
  <c r="AV832" i="2" s="1"/>
  <c r="BD832" i="2"/>
  <c r="AZ832" i="2" s="1"/>
  <c r="BC832" i="2"/>
  <c r="AX832" i="2" s="1"/>
  <c r="AT832" i="2" l="1"/>
  <c r="BA832" i="2"/>
  <c r="AY832" i="2"/>
  <c r="AU832" i="2" s="1"/>
  <c r="AS833" i="2" l="1"/>
  <c r="AQ833" i="2"/>
  <c r="AP833" i="2"/>
  <c r="AR833" i="2"/>
  <c r="BC833" i="2" l="1"/>
  <c r="AX833" i="2" s="1"/>
  <c r="BD833" i="2"/>
  <c r="BA833" i="2" s="1"/>
  <c r="BB833" i="2"/>
  <c r="AV833" i="2" s="1"/>
  <c r="AW833" i="2" l="1"/>
  <c r="AZ833" i="2"/>
  <c r="AT833" i="2" s="1"/>
  <c r="AY833" i="2"/>
  <c r="AR834" i="2" l="1"/>
  <c r="AP834" i="2"/>
  <c r="AU833" i="2"/>
  <c r="AQ834" i="2" l="1"/>
  <c r="AS834" i="2"/>
  <c r="BD834" i="2" l="1"/>
  <c r="BB834" i="2"/>
  <c r="BC834" i="2"/>
  <c r="AW834" i="2" l="1"/>
  <c r="AV834" i="2"/>
  <c r="BA834" i="2"/>
  <c r="AZ834" i="2"/>
  <c r="AY834" i="2"/>
  <c r="AX834" i="2"/>
  <c r="AT834" i="2" l="1"/>
  <c r="AU834" i="2"/>
  <c r="AQ835" i="2" l="1"/>
  <c r="AS835" i="2"/>
  <c r="AR835" i="2"/>
  <c r="AP835" i="2"/>
  <c r="BD835" i="2" l="1"/>
  <c r="BA835" i="2" s="1"/>
  <c r="BB835" i="2"/>
  <c r="AW835" i="2" s="1"/>
  <c r="BC835" i="2"/>
  <c r="AY835" i="2" s="1"/>
  <c r="AZ835" i="2"/>
  <c r="AX835" i="2" l="1"/>
  <c r="AV835" i="2"/>
  <c r="AU835" i="2"/>
  <c r="AS836" i="2" l="1"/>
  <c r="AQ836" i="2"/>
  <c r="AT835" i="2"/>
  <c r="AP836" i="2" l="1"/>
  <c r="AR836" i="2"/>
  <c r="BD836" i="2" l="1"/>
  <c r="BA836" i="2" s="1"/>
  <c r="BC836" i="2"/>
  <c r="AY836" i="2" s="1"/>
  <c r="BB836" i="2"/>
  <c r="AZ836" i="2" l="1"/>
  <c r="AX836" i="2"/>
  <c r="AV836" i="2"/>
  <c r="AW836" i="2"/>
  <c r="AU836" i="2" s="1"/>
  <c r="AS837" i="2" l="1"/>
  <c r="AQ837" i="2"/>
  <c r="AT836" i="2"/>
  <c r="AR837" i="2" l="1"/>
  <c r="AP837" i="2"/>
  <c r="BD837" i="2" l="1"/>
  <c r="BA837" i="2" s="1"/>
  <c r="BC837" i="2"/>
  <c r="AY837" i="2" s="1"/>
  <c r="BB837" i="2"/>
  <c r="AW837" i="2" s="1"/>
  <c r="AU837" i="2" l="1"/>
  <c r="AZ837" i="2"/>
  <c r="AV837" i="2"/>
  <c r="AT837" i="2" s="1"/>
  <c r="AX837" i="2"/>
  <c r="AP838" i="2" l="1"/>
  <c r="AR838" i="2"/>
  <c r="AQ838" i="2"/>
  <c r="AS838" i="2"/>
  <c r="BC838" i="2" l="1"/>
  <c r="AY838" i="2" s="1"/>
  <c r="BB838" i="2"/>
  <c r="AW838" i="2" s="1"/>
  <c r="BD838" i="2"/>
  <c r="BA838" i="2" s="1"/>
  <c r="AV838" i="2"/>
  <c r="AX838" i="2"/>
  <c r="AZ838" i="2" l="1"/>
  <c r="AT838" i="2" s="1"/>
  <c r="AU838" i="2"/>
  <c r="AR839" i="2" l="1"/>
  <c r="AP839" i="2"/>
  <c r="AS839" i="2"/>
  <c r="AQ839" i="2"/>
  <c r="BC839" i="2" l="1"/>
  <c r="AY839" i="2" s="1"/>
  <c r="BB839" i="2"/>
  <c r="AW839" i="2" s="1"/>
  <c r="BD839" i="2"/>
  <c r="BA839" i="2" s="1"/>
  <c r="AV839" i="2"/>
  <c r="AZ839" i="2" l="1"/>
  <c r="AX839" i="2"/>
  <c r="AT839" i="2" s="1"/>
  <c r="AU839" i="2"/>
  <c r="AP840" i="2" l="1"/>
  <c r="AR840" i="2"/>
  <c r="AQ840" i="2"/>
  <c r="AS840" i="2"/>
  <c r="BB840" i="2" l="1"/>
  <c r="AW840" i="2" s="1"/>
  <c r="BD840" i="2"/>
  <c r="BA840" i="2" s="1"/>
  <c r="BC840" i="2"/>
  <c r="AY840" i="2" s="1"/>
  <c r="AU840" i="2" l="1"/>
  <c r="AV840" i="2"/>
  <c r="AX840" i="2"/>
  <c r="AZ840" i="2"/>
  <c r="AT840" i="2" l="1"/>
  <c r="AS841" i="2"/>
  <c r="AQ841" i="2"/>
  <c r="AP841" i="2" l="1"/>
  <c r="AR841" i="2"/>
  <c r="BC841" i="2" l="1"/>
  <c r="AY841" i="2" s="1"/>
  <c r="BD841" i="2"/>
  <c r="BA841" i="2" s="1"/>
  <c r="BB841" i="2"/>
  <c r="AW841" i="2" s="1"/>
  <c r="AU841" i="2" s="1"/>
  <c r="AQ842" i="2" l="1"/>
  <c r="AS842" i="2"/>
  <c r="AX841" i="2"/>
  <c r="AV841" i="2"/>
  <c r="AZ841" i="2"/>
  <c r="AT841" i="2" l="1"/>
  <c r="AR842" i="2" l="1"/>
  <c r="AP842" i="2"/>
  <c r="BD842" i="2" l="1"/>
  <c r="BA842" i="2" s="1"/>
  <c r="BC842" i="2"/>
  <c r="AY842" i="2" s="1"/>
  <c r="BB842" i="2"/>
  <c r="AW842" i="2" s="1"/>
  <c r="AU842" i="2" s="1"/>
  <c r="AZ842" i="2"/>
  <c r="AX842" i="2" l="1"/>
  <c r="AQ843" i="2"/>
  <c r="AS843" i="2"/>
  <c r="AV842" i="2"/>
  <c r="AT842" i="2" s="1"/>
  <c r="AP843" i="2" l="1"/>
  <c r="AR843" i="2"/>
  <c r="BD843" i="2" l="1"/>
  <c r="BA843" i="2" s="1"/>
  <c r="BC843" i="2"/>
  <c r="AY843" i="2" s="1"/>
  <c r="BB843" i="2"/>
  <c r="AW843" i="2" s="1"/>
  <c r="AU843" i="2" l="1"/>
  <c r="AV843" i="2"/>
  <c r="AT843" i="2" s="1"/>
  <c r="AX843" i="2"/>
  <c r="AZ843" i="2"/>
  <c r="AR844" i="2" l="1"/>
  <c r="AP844" i="2"/>
  <c r="AS844" i="2"/>
  <c r="AQ844" i="2"/>
  <c r="BB844" i="2" l="1"/>
  <c r="AW844" i="2" s="1"/>
  <c r="BD844" i="2"/>
  <c r="BA844" i="2" s="1"/>
  <c r="BC844" i="2"/>
  <c r="AX844" i="2" s="1"/>
  <c r="AZ844" i="2" l="1"/>
  <c r="AV844" i="2"/>
  <c r="AT844" i="2" s="1"/>
  <c r="AY844" i="2"/>
  <c r="AU844" i="2" s="1"/>
  <c r="AS845" i="2" l="1"/>
  <c r="AQ845" i="2"/>
  <c r="AR845" i="2"/>
  <c r="AP845" i="2"/>
  <c r="BD845" i="2" l="1"/>
  <c r="BA845" i="2" s="1"/>
  <c r="BC845" i="2"/>
  <c r="AY845" i="2" s="1"/>
  <c r="BB845" i="2"/>
  <c r="AW845" i="2" s="1"/>
  <c r="AU845" i="2" s="1"/>
  <c r="AS846" i="2" s="1"/>
  <c r="AZ845" i="2"/>
  <c r="AX845" i="2"/>
  <c r="AQ846" i="2" l="1"/>
  <c r="AV845" i="2"/>
  <c r="AT845" i="2" s="1"/>
  <c r="AR846" i="2" l="1"/>
  <c r="AP846" i="2"/>
  <c r="BD846" i="2" l="1"/>
  <c r="BA846" i="2" s="1"/>
  <c r="AV846" i="2"/>
  <c r="BB846" i="2"/>
  <c r="AW846" i="2" s="1"/>
  <c r="AU846" i="2" s="1"/>
  <c r="BC846" i="2"/>
  <c r="AY846" i="2" s="1"/>
  <c r="AS847" i="2" l="1"/>
  <c r="AQ847" i="2"/>
  <c r="AZ846" i="2"/>
  <c r="AT846" i="2" s="1"/>
  <c r="AX846" i="2"/>
  <c r="AP847" i="2" l="1"/>
  <c r="AR847" i="2"/>
  <c r="BD847" i="2" l="1"/>
  <c r="BA847" i="2" s="1"/>
  <c r="AV847" i="2"/>
  <c r="BC847" i="2"/>
  <c r="AY847" i="2" s="1"/>
  <c r="BB847" i="2"/>
  <c r="AW847" i="2" s="1"/>
  <c r="AZ847" i="2"/>
  <c r="AX847" i="2"/>
  <c r="AT847" i="2" l="1"/>
  <c r="AU847" i="2"/>
  <c r="AQ848" i="2" l="1"/>
  <c r="AS848" i="2"/>
  <c r="AR848" i="2"/>
  <c r="AP848" i="2"/>
  <c r="BC848" i="2" l="1"/>
  <c r="AY848" i="2" s="1"/>
  <c r="BB848" i="2"/>
  <c r="AW848" i="2" s="1"/>
  <c r="BD848" i="2"/>
  <c r="BA848" i="2" s="1"/>
  <c r="AV848" i="2"/>
  <c r="AX848" i="2"/>
  <c r="AZ848" i="2" l="1"/>
  <c r="AU848" i="2"/>
  <c r="AT848" i="2"/>
  <c r="AR849" i="2" l="1"/>
  <c r="AP849" i="2"/>
  <c r="AQ849" i="2"/>
  <c r="AS849" i="2"/>
  <c r="BC849" i="2" l="1"/>
  <c r="AY849" i="2" s="1"/>
  <c r="BB849" i="2"/>
  <c r="AW849" i="2" s="1"/>
  <c r="BD849" i="2"/>
  <c r="BA849" i="2" s="1"/>
  <c r="AV849" i="2"/>
  <c r="AX849" i="2"/>
  <c r="AZ849" i="2" l="1"/>
  <c r="AT849" i="2" s="1"/>
  <c r="AU849" i="2"/>
  <c r="AP850" i="2" l="1"/>
  <c r="AR850" i="2"/>
  <c r="AS850" i="2"/>
  <c r="AQ850" i="2"/>
  <c r="BC850" i="2" l="1"/>
  <c r="AY850" i="2" s="1"/>
  <c r="BB850" i="2"/>
  <c r="AW850" i="2" s="1"/>
  <c r="BD850" i="2"/>
  <c r="BA850" i="2" s="1"/>
  <c r="AZ850" i="2" l="1"/>
  <c r="AU850" i="2"/>
  <c r="AX850" i="2"/>
  <c r="AT850" i="2" s="1"/>
  <c r="AV850" i="2"/>
  <c r="AR851" i="2" l="1"/>
  <c r="AP851" i="2"/>
  <c r="AQ851" i="2"/>
  <c r="AS851" i="2"/>
  <c r="BD851" i="2" l="1"/>
  <c r="BA851" i="2" s="1"/>
  <c r="BB851" i="2"/>
  <c r="AW851" i="2" s="1"/>
  <c r="BC851" i="2"/>
  <c r="AY851" i="2" s="1"/>
  <c r="AV851" i="2"/>
  <c r="AZ851" i="2" l="1"/>
  <c r="AX851" i="2"/>
  <c r="AT851" i="2" s="1"/>
  <c r="AU851" i="2"/>
  <c r="AP852" i="2" l="1"/>
  <c r="AR852" i="2"/>
  <c r="AS852" i="2"/>
  <c r="AQ852" i="2"/>
  <c r="BB852" i="2" l="1"/>
  <c r="AV852" i="2" s="1"/>
  <c r="BD852" i="2"/>
  <c r="BA852" i="2" s="1"/>
  <c r="BC852" i="2"/>
  <c r="AX852" i="2" s="1"/>
  <c r="AW852" i="2" l="1"/>
  <c r="AZ852" i="2"/>
  <c r="AT852" i="2" s="1"/>
  <c r="AY852" i="2"/>
  <c r="AR853" i="2" l="1"/>
  <c r="AP853" i="2"/>
  <c r="AU852" i="2"/>
  <c r="BD853" i="2" l="1"/>
  <c r="AZ853" i="2" s="1"/>
  <c r="AS853" i="2"/>
  <c r="AQ853" i="2"/>
  <c r="BB853" i="2" s="1"/>
  <c r="AV853" i="2" s="1"/>
  <c r="AW853" i="2" l="1"/>
  <c r="BA853" i="2"/>
  <c r="BC853" i="2"/>
  <c r="AX853" i="2" s="1"/>
  <c r="AT853" i="2" s="1"/>
  <c r="AP854" i="2" l="1"/>
  <c r="AR854" i="2"/>
  <c r="AY853" i="2"/>
  <c r="AU853" i="2" s="1"/>
  <c r="AS854" i="2" l="1"/>
  <c r="AQ854" i="2"/>
  <c r="BC854" i="2" s="1"/>
  <c r="BB854" i="2"/>
  <c r="AV854" i="2" s="1"/>
  <c r="AY854" i="2" l="1"/>
  <c r="AX854" i="2"/>
  <c r="AT854" i="2" s="1"/>
  <c r="BD854" i="2"/>
  <c r="AZ854" i="2" s="1"/>
  <c r="AW854" i="2"/>
  <c r="AP855" i="2" l="1"/>
  <c r="AR855" i="2"/>
  <c r="BA854" i="2"/>
  <c r="AU854" i="2" s="1"/>
  <c r="AQ855" i="2" l="1"/>
  <c r="AS855" i="2"/>
  <c r="BC855" i="2"/>
  <c r="AY855" i="2" s="1"/>
  <c r="BB855" i="2"/>
  <c r="AW855" i="2" s="1"/>
  <c r="BD855" i="2"/>
  <c r="BA855" i="2" s="1"/>
  <c r="AV855" i="2"/>
  <c r="AX855" i="2"/>
  <c r="AZ855" i="2"/>
  <c r="AT855" i="2" l="1"/>
  <c r="AU855" i="2"/>
  <c r="AS856" i="2" s="1"/>
  <c r="AQ856" i="2" l="1"/>
  <c r="AP856" i="2"/>
  <c r="AR856" i="2"/>
  <c r="BC856" i="2" l="1"/>
  <c r="AY856" i="2" s="1"/>
  <c r="BB856" i="2"/>
  <c r="AW856" i="2" s="1"/>
  <c r="AU856" i="2" s="1"/>
  <c r="AS857" i="2" s="1"/>
  <c r="BD856" i="2"/>
  <c r="BA856" i="2" s="1"/>
  <c r="AX856" i="2" l="1"/>
  <c r="AV856" i="2"/>
  <c r="AT856" i="2" s="1"/>
  <c r="AQ857" i="2"/>
  <c r="AZ856" i="2"/>
  <c r="AR857" i="2" l="1"/>
  <c r="AP857" i="2"/>
  <c r="BB857" i="2" l="1"/>
  <c r="AW857" i="2" s="1"/>
  <c r="BC857" i="2"/>
  <c r="AY857" i="2" s="1"/>
  <c r="BD857" i="2"/>
  <c r="BA857" i="2" s="1"/>
  <c r="AZ857" i="2" l="1"/>
  <c r="AX857" i="2"/>
  <c r="AV857" i="2"/>
  <c r="AT857" i="2" s="1"/>
  <c r="AU857" i="2"/>
  <c r="AQ858" i="2" l="1"/>
  <c r="AS858" i="2"/>
  <c r="AP858" i="2"/>
  <c r="AR858" i="2"/>
  <c r="BB858" i="2" l="1"/>
  <c r="AW858" i="2" s="1"/>
  <c r="AU858" i="2" s="1"/>
  <c r="AS859" i="2" s="1"/>
  <c r="BC858" i="2"/>
  <c r="AY858" i="2" s="1"/>
  <c r="BD858" i="2"/>
  <c r="BA858" i="2" s="1"/>
  <c r="AZ858" i="2"/>
  <c r="AQ859" i="2" l="1"/>
  <c r="AV858" i="2"/>
  <c r="AT858" i="2" s="1"/>
  <c r="AX858" i="2"/>
  <c r="AR859" i="2" l="1"/>
  <c r="AP859" i="2"/>
  <c r="BD859" i="2" l="1"/>
  <c r="BA859" i="2" s="1"/>
  <c r="BB859" i="2"/>
  <c r="AW859" i="2" s="1"/>
  <c r="BC859" i="2"/>
  <c r="AY859" i="2" s="1"/>
  <c r="AZ859" i="2"/>
  <c r="AV859" i="2"/>
  <c r="AX859" i="2"/>
  <c r="AU859" i="2" l="1"/>
  <c r="AT859" i="2"/>
  <c r="AP860" i="2" l="1"/>
  <c r="AR860" i="2"/>
  <c r="AS860" i="2"/>
  <c r="AQ860" i="2"/>
  <c r="BB860" i="2" l="1"/>
  <c r="AW860" i="2" s="1"/>
  <c r="BC860" i="2"/>
  <c r="AY860" i="2" s="1"/>
  <c r="AU860" i="2" s="1"/>
  <c r="AV860" i="2"/>
  <c r="BD860" i="2"/>
  <c r="BA860" i="2" s="1"/>
  <c r="AX860" i="2"/>
  <c r="AQ861" i="2" l="1"/>
  <c r="AS861" i="2"/>
  <c r="AZ860" i="2"/>
  <c r="AT860" i="2" s="1"/>
  <c r="AR861" i="2" l="1"/>
  <c r="AP861" i="2"/>
  <c r="BD861" i="2" l="1"/>
  <c r="BA861" i="2" s="1"/>
  <c r="BB861" i="2"/>
  <c r="AW861" i="2" s="1"/>
  <c r="BC861" i="2"/>
  <c r="AX861" i="2" l="1"/>
  <c r="AY861" i="2"/>
  <c r="AU861" i="2" s="1"/>
  <c r="AZ861" i="2"/>
  <c r="AT861" i="2" s="1"/>
  <c r="AV861" i="2"/>
  <c r="AP862" i="2" l="1"/>
  <c r="AR862" i="2"/>
  <c r="AQ862" i="2"/>
  <c r="AS862" i="2"/>
  <c r="BD862" i="2" l="1"/>
  <c r="AZ862" i="2" s="1"/>
  <c r="BC862" i="2"/>
  <c r="AY862" i="2" s="1"/>
  <c r="BB862" i="2"/>
  <c r="AW862" i="2" s="1"/>
  <c r="AX862" i="2"/>
  <c r="AV862" i="2" l="1"/>
  <c r="AT862" i="2" s="1"/>
  <c r="BA862" i="2"/>
  <c r="AU862" i="2" s="1"/>
  <c r="AS863" i="2" l="1"/>
  <c r="AQ863" i="2"/>
  <c r="AP863" i="2"/>
  <c r="AR863" i="2"/>
  <c r="BB863" i="2" l="1"/>
  <c r="AW863" i="2" s="1"/>
  <c r="BC863" i="2"/>
  <c r="AX863" i="2" s="1"/>
  <c r="BD863" i="2"/>
  <c r="AZ863" i="2" s="1"/>
  <c r="AV863" i="2"/>
  <c r="AT863" i="2" l="1"/>
  <c r="AY863" i="2"/>
  <c r="BA863" i="2"/>
  <c r="AU863" i="2" l="1"/>
  <c r="AR864" i="2"/>
  <c r="AP864" i="2"/>
  <c r="BC864" i="2" l="1"/>
  <c r="AX864" i="2" s="1"/>
  <c r="AS864" i="2"/>
  <c r="AQ864" i="2"/>
  <c r="BB864" i="2" s="1"/>
  <c r="AV864" i="2" s="1"/>
  <c r="BD864" i="2" l="1"/>
  <c r="AW864" i="2"/>
  <c r="AY864" i="2"/>
  <c r="BA864" i="2" l="1"/>
  <c r="AU864" i="2" s="1"/>
  <c r="AZ864" i="2"/>
  <c r="AT864" i="2" s="1"/>
  <c r="AQ865" i="2" l="1"/>
  <c r="AS865" i="2"/>
  <c r="AR865" i="2"/>
  <c r="AP865" i="2"/>
  <c r="BC865" i="2" l="1"/>
  <c r="AY865" i="2" s="1"/>
  <c r="BD865" i="2"/>
  <c r="BA865" i="2" s="1"/>
  <c r="BB865" i="2"/>
  <c r="AV865" i="2" s="1"/>
  <c r="AX865" i="2"/>
  <c r="AW865" i="2" l="1"/>
  <c r="AU865" i="2" s="1"/>
  <c r="AZ865" i="2"/>
  <c r="AT865" i="2"/>
  <c r="AP866" i="2" l="1"/>
  <c r="AR866" i="2"/>
  <c r="AS866" i="2"/>
  <c r="AQ866" i="2"/>
  <c r="BD866" i="2" l="1"/>
  <c r="AZ866" i="2" s="1"/>
  <c r="BB866" i="2"/>
  <c r="AV866" i="2" s="1"/>
  <c r="BC866" i="2"/>
  <c r="AY866" i="2" s="1"/>
  <c r="AX866" i="2"/>
  <c r="BA866" i="2" l="1"/>
  <c r="AT866" i="2"/>
  <c r="AW866" i="2"/>
  <c r="AR867" i="2" l="1"/>
  <c r="AP867" i="2"/>
  <c r="AU866" i="2"/>
  <c r="BB867" i="2" l="1"/>
  <c r="AW867" i="2" s="1"/>
  <c r="AS867" i="2"/>
  <c r="AQ867" i="2"/>
  <c r="BC867" i="2" s="1"/>
  <c r="AY867" i="2" l="1"/>
  <c r="AX867" i="2"/>
  <c r="AV867" i="2"/>
  <c r="BD867" i="2"/>
  <c r="BA867" i="2" l="1"/>
  <c r="AU867" i="2" s="1"/>
  <c r="AZ867" i="2"/>
  <c r="AT867" i="2" s="1"/>
  <c r="AP868" i="2" l="1"/>
  <c r="AR868" i="2"/>
  <c r="AQ868" i="2"/>
  <c r="AS868" i="2"/>
  <c r="BB868" i="2" l="1"/>
  <c r="AW868" i="2" s="1"/>
  <c r="BD868" i="2"/>
  <c r="BA868" i="2" s="1"/>
  <c r="BC868" i="2"/>
  <c r="AX868" i="2" s="1"/>
  <c r="AV868" i="2"/>
  <c r="AY868" i="2" l="1"/>
  <c r="AU868" i="2" s="1"/>
  <c r="AZ868" i="2"/>
  <c r="AT868" i="2" s="1"/>
  <c r="AP869" i="2" l="1"/>
  <c r="AR869" i="2"/>
  <c r="AS869" i="2"/>
  <c r="AQ869" i="2"/>
  <c r="BC869" i="2" l="1"/>
  <c r="AY869" i="2" s="1"/>
  <c r="BD869" i="2"/>
  <c r="BA869" i="2" s="1"/>
  <c r="AU869" i="2" s="1"/>
  <c r="BB869" i="2"/>
  <c r="AW869" i="2" s="1"/>
  <c r="AX869" i="2"/>
  <c r="AZ869" i="2"/>
  <c r="AQ870" i="2" l="1"/>
  <c r="AS870" i="2"/>
  <c r="AV869" i="2"/>
  <c r="AT869" i="2" s="1"/>
  <c r="AR870" i="2" l="1"/>
  <c r="AP870" i="2"/>
  <c r="BC870" i="2" l="1"/>
  <c r="AY870" i="2" s="1"/>
  <c r="BD870" i="2"/>
  <c r="BA870" i="2" s="1"/>
  <c r="BB870" i="2"/>
  <c r="AW870" i="2" s="1"/>
  <c r="AU870" i="2" l="1"/>
  <c r="AV870" i="2"/>
  <c r="AX870" i="2"/>
  <c r="AZ870" i="2"/>
  <c r="AT870" i="2" l="1"/>
  <c r="AS871" i="2"/>
  <c r="AQ871" i="2"/>
  <c r="AR871" i="2" l="1"/>
  <c r="AP871" i="2"/>
  <c r="BD871" i="2" l="1"/>
  <c r="BA871" i="2" s="1"/>
  <c r="BB871" i="2"/>
  <c r="AW871" i="2" s="1"/>
  <c r="AU871" i="2" s="1"/>
  <c r="BC871" i="2"/>
  <c r="AY871" i="2" s="1"/>
  <c r="AZ871" i="2"/>
  <c r="AV871" i="2" l="1"/>
  <c r="AS872" i="2"/>
  <c r="AQ872" i="2"/>
  <c r="AX871" i="2"/>
  <c r="AT871" i="2" l="1"/>
  <c r="AP872" i="2" l="1"/>
  <c r="AR872" i="2"/>
  <c r="BD872" i="2" l="1"/>
  <c r="BA872" i="2" s="1"/>
  <c r="AX872" i="2"/>
  <c r="BB872" i="2"/>
  <c r="BC872" i="2"/>
  <c r="AY872" i="2" s="1"/>
  <c r="AZ872" i="2"/>
  <c r="AV872" i="2" l="1"/>
  <c r="AW872" i="2"/>
  <c r="AU872" i="2" s="1"/>
  <c r="AT872" i="2"/>
  <c r="AR873" i="2" l="1"/>
  <c r="AP873" i="2"/>
  <c r="AQ873" i="2"/>
  <c r="AS873" i="2"/>
  <c r="BB873" i="2" l="1"/>
  <c r="AW873" i="2" s="1"/>
  <c r="BD873" i="2"/>
  <c r="BA873" i="2" s="1"/>
  <c r="BC873" i="2"/>
  <c r="AY873" i="2" s="1"/>
  <c r="AU873" i="2" l="1"/>
  <c r="AZ873" i="2"/>
  <c r="AV873" i="2"/>
  <c r="AX873" i="2"/>
  <c r="AT873" i="2" l="1"/>
  <c r="AS874" i="2"/>
  <c r="AQ874" i="2"/>
  <c r="AR874" i="2" l="1"/>
  <c r="AP874" i="2"/>
  <c r="BB874" i="2" l="1"/>
  <c r="AW874" i="2" s="1"/>
  <c r="BC874" i="2"/>
  <c r="AY874" i="2" s="1"/>
  <c r="AV874" i="2"/>
  <c r="BD874" i="2"/>
  <c r="BA874" i="2" s="1"/>
  <c r="AZ874" i="2"/>
  <c r="AX874" i="2"/>
  <c r="AT874" i="2" l="1"/>
  <c r="AU874" i="2"/>
  <c r="AS875" i="2" l="1"/>
  <c r="AQ875" i="2"/>
  <c r="AP875" i="2"/>
  <c r="AR875" i="2"/>
  <c r="BC875" i="2" l="1"/>
  <c r="AY875" i="2" s="1"/>
  <c r="BD875" i="2"/>
  <c r="BA875" i="2" s="1"/>
  <c r="BB875" i="2"/>
  <c r="AX875" i="2"/>
  <c r="AV875" i="2"/>
  <c r="AW875" i="2"/>
  <c r="AZ875" i="2" l="1"/>
  <c r="AT875" i="2" s="1"/>
  <c r="AU875" i="2"/>
  <c r="AR876" i="2" l="1"/>
  <c r="AP876" i="2"/>
  <c r="AQ876" i="2"/>
  <c r="AS876" i="2"/>
  <c r="BD876" i="2" l="1"/>
  <c r="AZ876" i="2" s="1"/>
  <c r="BC876" i="2"/>
  <c r="AX876" i="2" s="1"/>
  <c r="AT876" i="2" s="1"/>
  <c r="AR877" i="2" s="1"/>
  <c r="BB876" i="2"/>
  <c r="AV876" i="2" s="1"/>
  <c r="AW876" i="2"/>
  <c r="AY876" i="2"/>
  <c r="BA876" i="2" l="1"/>
  <c r="AU876" i="2" s="1"/>
  <c r="AP877" i="2"/>
  <c r="AS877" i="2" l="1"/>
  <c r="AQ877" i="2"/>
  <c r="BC877" i="2" s="1"/>
  <c r="AX877" i="2" s="1"/>
  <c r="BB877" i="2" l="1"/>
  <c r="AV877" i="2" s="1"/>
  <c r="AT877" i="2" s="1"/>
  <c r="AY877" i="2"/>
  <c r="BD877" i="2"/>
  <c r="AZ877" i="2" s="1"/>
  <c r="AR878" i="2" l="1"/>
  <c r="AP878" i="2"/>
  <c r="AW877" i="2"/>
  <c r="AU877" i="2" s="1"/>
  <c r="BA877" i="2"/>
  <c r="BD878" i="2" l="1"/>
  <c r="AZ878" i="2" s="1"/>
  <c r="AQ878" i="2"/>
  <c r="BC878" i="2" s="1"/>
  <c r="AX878" i="2" s="1"/>
  <c r="AS878" i="2"/>
  <c r="AY878" i="2" l="1"/>
  <c r="BA878" i="2"/>
  <c r="BB878" i="2"/>
  <c r="AV878" i="2" s="1"/>
  <c r="AT878" i="2" s="1"/>
  <c r="AW878" i="2" l="1"/>
  <c r="AU878" i="2" s="1"/>
  <c r="AR879" i="2"/>
  <c r="AP879" i="2"/>
  <c r="AS879" i="2" l="1"/>
  <c r="AQ879" i="2"/>
  <c r="BB879" i="2" l="1"/>
  <c r="AV879" i="2" s="1"/>
  <c r="BC879" i="2"/>
  <c r="AX879" i="2" s="1"/>
  <c r="BD879" i="2"/>
  <c r="AZ879" i="2" s="1"/>
  <c r="AY879" i="2" l="1"/>
  <c r="BA879" i="2"/>
  <c r="AT879" i="2"/>
  <c r="AW879" i="2"/>
  <c r="AP880" i="2" l="1"/>
  <c r="AR880" i="2"/>
  <c r="AU879" i="2"/>
  <c r="AQ880" i="2" l="1"/>
  <c r="BC880" i="2" s="1"/>
  <c r="AS880" i="2"/>
  <c r="BB880" i="2"/>
  <c r="AW880" i="2" s="1"/>
  <c r="AY880" i="2" l="1"/>
  <c r="AX880" i="2"/>
  <c r="BD880" i="2"/>
  <c r="AV880" i="2"/>
  <c r="BA880" i="2" l="1"/>
  <c r="AU880" i="2" s="1"/>
  <c r="AZ880" i="2"/>
  <c r="AT880" i="2" s="1"/>
  <c r="AR881" i="2" l="1"/>
  <c r="AP881" i="2"/>
  <c r="AS881" i="2"/>
  <c r="AQ881" i="2"/>
  <c r="BD881" i="2" l="1"/>
  <c r="BA881" i="2" s="1"/>
  <c r="BC881" i="2"/>
  <c r="AY881" i="2" s="1"/>
  <c r="BB881" i="2"/>
  <c r="AW881" i="2" s="1"/>
  <c r="AZ881" i="2"/>
  <c r="AX881" i="2"/>
  <c r="AV881" i="2" l="1"/>
  <c r="AT881" i="2" s="1"/>
  <c r="AU881" i="2"/>
  <c r="AQ882" i="2" l="1"/>
  <c r="AS882" i="2"/>
  <c r="AR882" i="2"/>
  <c r="AP882" i="2"/>
  <c r="BD882" i="2" l="1"/>
  <c r="BA882" i="2" s="1"/>
  <c r="BC882" i="2"/>
  <c r="AX882" i="2" s="1"/>
  <c r="BB882" i="2"/>
  <c r="AV882" i="2" s="1"/>
  <c r="AZ882" i="2"/>
  <c r="AY882" i="2"/>
  <c r="AW882" i="2" l="1"/>
  <c r="AU882" i="2" s="1"/>
  <c r="AT882" i="2"/>
  <c r="AP883" i="2" l="1"/>
  <c r="AR883" i="2"/>
  <c r="AS883" i="2"/>
  <c r="AQ883" i="2"/>
  <c r="BD883" i="2" l="1"/>
  <c r="BA883" i="2" s="1"/>
  <c r="BC883" i="2"/>
  <c r="AY883" i="2" s="1"/>
  <c r="BB883" i="2"/>
  <c r="AW883" i="2" s="1"/>
  <c r="AU883" i="2" s="1"/>
  <c r="AQ884" i="2" s="1"/>
  <c r="AX883" i="2"/>
  <c r="AS884" i="2" l="1"/>
  <c r="AZ883" i="2"/>
  <c r="AV883" i="2"/>
  <c r="AT883" i="2" l="1"/>
  <c r="AR884" i="2" l="1"/>
  <c r="AP884" i="2"/>
  <c r="BB884" i="2" l="1"/>
  <c r="AW884" i="2" s="1"/>
  <c r="BC884" i="2"/>
  <c r="AY884" i="2" s="1"/>
  <c r="BD884" i="2"/>
  <c r="BA884" i="2" s="1"/>
  <c r="AV884" i="2"/>
  <c r="AZ884" i="2" l="1"/>
  <c r="AX884" i="2"/>
  <c r="AT884" i="2" s="1"/>
  <c r="AU884" i="2"/>
  <c r="AP885" i="2" l="1"/>
  <c r="AR885" i="2"/>
  <c r="AS885" i="2"/>
  <c r="AQ885" i="2"/>
  <c r="BC885" i="2" l="1"/>
  <c r="AY885" i="2" s="1"/>
  <c r="BB885" i="2"/>
  <c r="AW885" i="2" s="1"/>
  <c r="BD885" i="2"/>
  <c r="BA885" i="2" s="1"/>
  <c r="AZ885" i="2" l="1"/>
  <c r="AU885" i="2"/>
  <c r="AX885" i="2"/>
  <c r="AT885" i="2" s="1"/>
  <c r="AV885" i="2"/>
  <c r="AR886" i="2" l="1"/>
  <c r="AP886" i="2"/>
  <c r="AQ886" i="2"/>
  <c r="AS886" i="2"/>
  <c r="BD886" i="2" l="1"/>
  <c r="BA886" i="2" s="1"/>
  <c r="BC886" i="2"/>
  <c r="AY886" i="2" s="1"/>
  <c r="BB886" i="2"/>
  <c r="AW886" i="2" s="1"/>
  <c r="AU886" i="2" s="1"/>
  <c r="AS887" i="2" s="1"/>
  <c r="AX886" i="2" l="1"/>
  <c r="AZ886" i="2"/>
  <c r="AQ887" i="2"/>
  <c r="AV886" i="2"/>
  <c r="AT886" i="2" l="1"/>
  <c r="AR887" i="2" l="1"/>
  <c r="AP887" i="2"/>
  <c r="BB887" i="2" l="1"/>
  <c r="AW887" i="2" s="1"/>
  <c r="BD887" i="2"/>
  <c r="BA887" i="2" s="1"/>
  <c r="BC887" i="2"/>
  <c r="AY887" i="2" s="1"/>
  <c r="AU887" i="2" l="1"/>
  <c r="AX887" i="2"/>
  <c r="AV887" i="2"/>
  <c r="AZ887" i="2"/>
  <c r="AT887" i="2" l="1"/>
  <c r="AS888" i="2"/>
  <c r="AQ888" i="2"/>
  <c r="AP888" i="2" l="1"/>
  <c r="AR888" i="2"/>
  <c r="BD888" i="2" l="1"/>
  <c r="BA888" i="2" s="1"/>
  <c r="BB888" i="2"/>
  <c r="AW888" i="2" s="1"/>
  <c r="AU888" i="2" s="1"/>
  <c r="BC888" i="2"/>
  <c r="AY888" i="2" s="1"/>
  <c r="AZ888" i="2"/>
  <c r="AX888" i="2"/>
  <c r="AV888" i="2" l="1"/>
  <c r="AS889" i="2"/>
  <c r="AQ889" i="2"/>
  <c r="AT888" i="2"/>
  <c r="AR889" i="2" l="1"/>
  <c r="AP889" i="2"/>
  <c r="BD889" i="2" l="1"/>
  <c r="BA889" i="2" s="1"/>
  <c r="BC889" i="2"/>
  <c r="AY889" i="2" s="1"/>
  <c r="AU889" i="2" s="1"/>
  <c r="BB889" i="2"/>
  <c r="AW889" i="2" s="1"/>
  <c r="AZ889" i="2"/>
  <c r="AQ890" i="2" l="1"/>
  <c r="AS890" i="2"/>
  <c r="AX889" i="2"/>
  <c r="AV889" i="2"/>
  <c r="AT889" i="2" s="1"/>
  <c r="AP890" i="2" l="1"/>
  <c r="AR890" i="2"/>
  <c r="BB890" i="2" l="1"/>
  <c r="AW890" i="2" s="1"/>
  <c r="BC890" i="2"/>
  <c r="AY890" i="2" s="1"/>
  <c r="BD890" i="2"/>
  <c r="BA890" i="2" s="1"/>
  <c r="AV890" i="2"/>
  <c r="AU890" i="2" l="1"/>
  <c r="AX890" i="2"/>
  <c r="AT890" i="2" s="1"/>
  <c r="AZ890" i="2"/>
  <c r="AR891" i="2" l="1"/>
  <c r="AP891" i="2"/>
  <c r="AS891" i="2"/>
  <c r="AQ891" i="2"/>
  <c r="BD891" i="2" l="1"/>
  <c r="BA891" i="2" s="1"/>
  <c r="BB891" i="2"/>
  <c r="AW891" i="2" s="1"/>
  <c r="AU891" i="2" s="1"/>
  <c r="BC891" i="2"/>
  <c r="AY891" i="2" s="1"/>
  <c r="AX891" i="2"/>
  <c r="AQ892" i="2" l="1"/>
  <c r="AS892" i="2"/>
  <c r="AZ891" i="2"/>
  <c r="AV891" i="2"/>
  <c r="AT891" i="2" l="1"/>
  <c r="AP892" i="2" l="1"/>
  <c r="AR892" i="2"/>
  <c r="BD892" i="2" l="1"/>
  <c r="BA892" i="2" s="1"/>
  <c r="BC892" i="2"/>
  <c r="AY892" i="2" s="1"/>
  <c r="BB892" i="2"/>
  <c r="AW892" i="2" s="1"/>
  <c r="AX892" i="2"/>
  <c r="AV892" i="2"/>
  <c r="AZ892" i="2" l="1"/>
  <c r="AT892" i="2" s="1"/>
  <c r="AU892" i="2"/>
  <c r="AR893" i="2" l="1"/>
  <c r="AP893" i="2"/>
  <c r="AS893" i="2"/>
  <c r="AQ893" i="2"/>
  <c r="BB893" i="2" l="1"/>
  <c r="AW893" i="2" s="1"/>
  <c r="AU893" i="2" s="1"/>
  <c r="AQ894" i="2" s="1"/>
  <c r="BD893" i="2"/>
  <c r="BA893" i="2" s="1"/>
  <c r="BC893" i="2"/>
  <c r="AY893" i="2" s="1"/>
  <c r="AV893" i="2" l="1"/>
  <c r="AX893" i="2"/>
  <c r="AZ893" i="2"/>
  <c r="AT893" i="2" s="1"/>
  <c r="AS894" i="2"/>
  <c r="AP894" i="2" l="1"/>
  <c r="AR894" i="2"/>
  <c r="BD894" i="2" l="1"/>
  <c r="BA894" i="2" s="1"/>
  <c r="BC894" i="2"/>
  <c r="AY894" i="2" s="1"/>
  <c r="BB894" i="2"/>
  <c r="AW894" i="2" s="1"/>
  <c r="AU894" i="2" l="1"/>
  <c r="AV894" i="2"/>
  <c r="AZ894" i="2"/>
  <c r="AX894" i="2"/>
  <c r="AT894" i="2" l="1"/>
  <c r="AS895" i="2"/>
  <c r="AQ895" i="2"/>
  <c r="AR895" i="2" l="1"/>
  <c r="AP895" i="2"/>
  <c r="BC895" i="2" l="1"/>
  <c r="AY895" i="2" s="1"/>
  <c r="BD895" i="2"/>
  <c r="BA895" i="2" s="1"/>
  <c r="BB895" i="2"/>
  <c r="AW895" i="2" s="1"/>
  <c r="AX895" i="2"/>
  <c r="AU895" i="2" l="1"/>
  <c r="AZ895" i="2"/>
  <c r="AV895" i="2"/>
  <c r="AT895" i="2" s="1"/>
  <c r="AP896" i="2" l="1"/>
  <c r="AR896" i="2"/>
  <c r="AS896" i="2"/>
  <c r="AQ896" i="2"/>
  <c r="BC896" i="2" l="1"/>
  <c r="AY896" i="2" s="1"/>
  <c r="BB896" i="2"/>
  <c r="AW896" i="2" s="1"/>
  <c r="BD896" i="2"/>
  <c r="BA896" i="2" s="1"/>
  <c r="AX896" i="2"/>
  <c r="AZ896" i="2"/>
  <c r="AV896" i="2"/>
  <c r="AT896" i="2" l="1"/>
  <c r="AU896" i="2"/>
  <c r="AQ897" i="2" l="1"/>
  <c r="AS897" i="2"/>
  <c r="AR897" i="2"/>
  <c r="AP897" i="2"/>
  <c r="BB897" i="2" l="1"/>
  <c r="AW897" i="2" s="1"/>
  <c r="BC897" i="2"/>
  <c r="AY897" i="2" s="1"/>
  <c r="BD897" i="2"/>
  <c r="BA897" i="2" s="1"/>
  <c r="AV897" i="2"/>
  <c r="AX897" i="2"/>
  <c r="AZ897" i="2" l="1"/>
  <c r="AT897" i="2" s="1"/>
  <c r="AU897" i="2"/>
  <c r="AR898" i="2" l="1"/>
  <c r="AP898" i="2"/>
  <c r="AQ898" i="2"/>
  <c r="AS898" i="2"/>
  <c r="BB898" i="2" l="1"/>
  <c r="AW898" i="2" s="1"/>
  <c r="AU898" i="2" s="1"/>
  <c r="AS899" i="2" s="1"/>
  <c r="BC898" i="2"/>
  <c r="AY898" i="2" s="1"/>
  <c r="BD898" i="2"/>
  <c r="BA898" i="2" s="1"/>
  <c r="AV898" i="2"/>
  <c r="AX898" i="2"/>
  <c r="AZ898" i="2" l="1"/>
  <c r="AT898" i="2" s="1"/>
  <c r="AQ899" i="2"/>
  <c r="AP899" i="2" l="1"/>
  <c r="AR899" i="2"/>
  <c r="BB899" i="2" l="1"/>
  <c r="AW899" i="2" s="1"/>
  <c r="BC899" i="2"/>
  <c r="AY899" i="2" s="1"/>
  <c r="BD899" i="2"/>
  <c r="BA899" i="2" s="1"/>
  <c r="AZ899" i="2"/>
  <c r="AX899" i="2" l="1"/>
  <c r="AV899" i="2"/>
  <c r="AT899" i="2" s="1"/>
  <c r="AU899" i="2"/>
  <c r="AR900" i="2" l="1"/>
  <c r="AP900" i="2"/>
  <c r="AS900" i="2"/>
  <c r="AQ900" i="2"/>
  <c r="BB900" i="2" l="1"/>
  <c r="AV900" i="2" s="1"/>
  <c r="BC900" i="2"/>
  <c r="AY900" i="2" s="1"/>
  <c r="BD900" i="2"/>
  <c r="AZ900" i="2" s="1"/>
  <c r="AX900" i="2"/>
  <c r="AT900" i="2" s="1"/>
  <c r="AR901" i="2" s="1"/>
  <c r="AP901" i="2" l="1"/>
  <c r="BA900" i="2"/>
  <c r="AW900" i="2"/>
  <c r="AU900" i="2" s="1"/>
  <c r="AS901" i="2" l="1"/>
  <c r="AQ901" i="2"/>
  <c r="BB901" i="2" s="1"/>
  <c r="BC901" i="2"/>
  <c r="AX901" i="2" s="1"/>
  <c r="AW901" i="2" l="1"/>
  <c r="AV901" i="2"/>
  <c r="AY901" i="2"/>
  <c r="BD901" i="2"/>
  <c r="BA901" i="2" l="1"/>
  <c r="AU901" i="2" s="1"/>
  <c r="AZ901" i="2"/>
  <c r="AT901" i="2" s="1"/>
  <c r="AR902" i="2" l="1"/>
  <c r="AP902" i="2"/>
  <c r="AQ902" i="2"/>
  <c r="AS902" i="2"/>
  <c r="BC902" i="2" l="1"/>
  <c r="AY902" i="2" s="1"/>
  <c r="BB902" i="2"/>
  <c r="AW902" i="2" s="1"/>
  <c r="BD902" i="2"/>
  <c r="BA902" i="2" s="1"/>
  <c r="AU902" i="2" l="1"/>
  <c r="AV902" i="2"/>
  <c r="AT902" i="2" s="1"/>
  <c r="AZ902" i="2"/>
  <c r="AX902" i="2"/>
  <c r="AR903" i="2" l="1"/>
  <c r="AP903" i="2"/>
  <c r="AS903" i="2"/>
  <c r="AQ903" i="2"/>
  <c r="BD903" i="2" l="1"/>
  <c r="BA903" i="2" s="1"/>
  <c r="BB903" i="2"/>
  <c r="AW903" i="2" s="1"/>
  <c r="BC903" i="2"/>
  <c r="AY903" i="2" s="1"/>
  <c r="AZ903" i="2"/>
  <c r="AX903" i="2" l="1"/>
  <c r="AV903" i="2"/>
  <c r="AT903" i="2" s="1"/>
  <c r="AU903" i="2"/>
  <c r="AQ904" i="2" l="1"/>
  <c r="AS904" i="2"/>
  <c r="AR904" i="2"/>
  <c r="AP904" i="2"/>
  <c r="BB904" i="2" l="1"/>
  <c r="AW904" i="2" s="1"/>
  <c r="BC904" i="2"/>
  <c r="AY904" i="2" s="1"/>
  <c r="BD904" i="2"/>
  <c r="BA904" i="2" s="1"/>
  <c r="AV904" i="2"/>
  <c r="AX904" i="2" l="1"/>
  <c r="AT904" i="2" s="1"/>
  <c r="AZ904" i="2"/>
  <c r="AU904" i="2"/>
  <c r="AP905" i="2" l="1"/>
  <c r="AR905" i="2"/>
  <c r="AS905" i="2"/>
  <c r="AQ905" i="2"/>
  <c r="BC905" i="2" l="1"/>
  <c r="AY905" i="2" s="1"/>
  <c r="BD905" i="2"/>
  <c r="BA905" i="2" s="1"/>
  <c r="BB905" i="2"/>
  <c r="AW905" i="2" s="1"/>
  <c r="AU905" i="2" s="1"/>
  <c r="AQ906" i="2" s="1"/>
  <c r="AZ905" i="2"/>
  <c r="AV905" i="2"/>
  <c r="AX905" i="2" l="1"/>
  <c r="AS906" i="2"/>
  <c r="AT905" i="2"/>
  <c r="AP906" i="2" l="1"/>
  <c r="AR906" i="2"/>
  <c r="BD906" i="2" l="1"/>
  <c r="BA906" i="2" s="1"/>
  <c r="BC906" i="2"/>
  <c r="AY906" i="2" s="1"/>
  <c r="BB906" i="2"/>
  <c r="AW906" i="2" s="1"/>
  <c r="AU906" i="2" l="1"/>
  <c r="AX906" i="2"/>
  <c r="AZ906" i="2"/>
  <c r="AV906" i="2"/>
  <c r="AT906" i="2" s="1"/>
  <c r="AR907" i="2" l="1"/>
  <c r="AP907" i="2"/>
  <c r="AQ907" i="2"/>
  <c r="AS907" i="2"/>
  <c r="BC907" i="2" l="1"/>
  <c r="AY907" i="2" s="1"/>
  <c r="BD907" i="2"/>
  <c r="BA907" i="2" s="1"/>
  <c r="BB907" i="2"/>
  <c r="AW907" i="2" s="1"/>
  <c r="AV907" i="2" l="1"/>
  <c r="AX907" i="2"/>
  <c r="AU907" i="2"/>
  <c r="AZ907" i="2"/>
  <c r="AS908" i="2" l="1"/>
  <c r="AQ908" i="2"/>
  <c r="AT907" i="2"/>
  <c r="AR908" i="2" l="1"/>
  <c r="AP908" i="2"/>
  <c r="BC908" i="2" l="1"/>
  <c r="AY908" i="2" s="1"/>
  <c r="BD908" i="2"/>
  <c r="BA908" i="2" s="1"/>
  <c r="AX908" i="2"/>
  <c r="BB908" i="2"/>
  <c r="AZ908" i="2"/>
  <c r="AV908" i="2" l="1"/>
  <c r="AW908" i="2"/>
  <c r="AU908" i="2" s="1"/>
  <c r="AT908" i="2"/>
  <c r="AP909" i="2" l="1"/>
  <c r="AR909" i="2"/>
  <c r="AS909" i="2"/>
  <c r="AQ909" i="2"/>
  <c r="BC909" i="2" l="1"/>
  <c r="AX909" i="2" s="1"/>
  <c r="BB909" i="2"/>
  <c r="AW909" i="2" s="1"/>
  <c r="BD909" i="2"/>
  <c r="BA909" i="2" s="1"/>
  <c r="AV909" i="2" l="1"/>
  <c r="AZ909" i="2"/>
  <c r="AT909" i="2" s="1"/>
  <c r="AY909" i="2"/>
  <c r="AU909" i="2" s="1"/>
  <c r="AQ910" i="2" l="1"/>
  <c r="AS910" i="2"/>
  <c r="AP910" i="2"/>
  <c r="AR910" i="2"/>
  <c r="BB910" i="2" l="1"/>
  <c r="AW910" i="2" s="1"/>
  <c r="AU910" i="2" s="1"/>
  <c r="AQ911" i="2" s="1"/>
  <c r="BD910" i="2"/>
  <c r="BA910" i="2" s="1"/>
  <c r="BC910" i="2"/>
  <c r="AY910" i="2" s="1"/>
  <c r="AS911" i="2" l="1"/>
  <c r="AX910" i="2"/>
  <c r="AV910" i="2"/>
  <c r="AZ910" i="2"/>
  <c r="AT910" i="2" l="1"/>
  <c r="AR911" i="2" l="1"/>
  <c r="AP911" i="2"/>
  <c r="BD911" i="2" l="1"/>
  <c r="BA911" i="2" s="1"/>
  <c r="BB911" i="2"/>
  <c r="AW911" i="2" s="1"/>
  <c r="AU911" i="2" s="1"/>
  <c r="BC911" i="2"/>
  <c r="AY911" i="2" s="1"/>
  <c r="AZ911" i="2"/>
  <c r="AQ912" i="2" l="1"/>
  <c r="AS912" i="2"/>
  <c r="AX911" i="2"/>
  <c r="AV911" i="2"/>
  <c r="AT911" i="2" l="1"/>
  <c r="AR912" i="2" l="1"/>
  <c r="AP912" i="2"/>
  <c r="BC912" i="2" l="1"/>
  <c r="AY912" i="2" s="1"/>
  <c r="BB912" i="2"/>
  <c r="AW912" i="2" s="1"/>
  <c r="AU912" i="2" s="1"/>
  <c r="BD912" i="2"/>
  <c r="BA912" i="2" s="1"/>
  <c r="AV912" i="2" l="1"/>
  <c r="AQ913" i="2"/>
  <c r="AS913" i="2"/>
  <c r="AZ912" i="2"/>
  <c r="AT912" i="2" s="1"/>
  <c r="AX912" i="2"/>
  <c r="AP913" i="2" l="1"/>
  <c r="AR913" i="2"/>
  <c r="BC913" i="2" l="1"/>
  <c r="AY913" i="2" s="1"/>
  <c r="BB913" i="2"/>
  <c r="AW913" i="2" s="1"/>
  <c r="AU913" i="2" s="1"/>
  <c r="BD913" i="2"/>
  <c r="BA913" i="2" s="1"/>
  <c r="AZ913" i="2"/>
  <c r="AX913" i="2"/>
  <c r="AS914" i="2" l="1"/>
  <c r="AQ914" i="2"/>
  <c r="AV913" i="2"/>
  <c r="AT913" i="2" s="1"/>
  <c r="AR914" i="2" l="1"/>
  <c r="AP914" i="2"/>
  <c r="BC914" i="2" l="1"/>
  <c r="AY914" i="2" s="1"/>
  <c r="BB914" i="2"/>
  <c r="AW914" i="2" s="1"/>
  <c r="BD914" i="2"/>
  <c r="BA914" i="2" s="1"/>
  <c r="AV914" i="2"/>
  <c r="AX914" i="2"/>
  <c r="AZ914" i="2" l="1"/>
  <c r="AT914" i="2" s="1"/>
  <c r="AU914" i="2"/>
  <c r="AP915" i="2" l="1"/>
  <c r="AR915" i="2"/>
  <c r="AQ915" i="2"/>
  <c r="AS915" i="2"/>
  <c r="BB915" i="2" l="1"/>
  <c r="AW915" i="2" s="1"/>
  <c r="BC915" i="2"/>
  <c r="AY915" i="2" s="1"/>
  <c r="BD915" i="2"/>
  <c r="BA915" i="2" s="1"/>
  <c r="AU915" i="2" l="1"/>
  <c r="AX915" i="2"/>
  <c r="AV915" i="2"/>
  <c r="AZ915" i="2"/>
  <c r="AT915" i="2" l="1"/>
  <c r="AS916" i="2"/>
  <c r="AQ916" i="2"/>
  <c r="AR916" i="2" l="1"/>
  <c r="AP916" i="2"/>
  <c r="BD916" i="2" l="1"/>
  <c r="BA916" i="2" s="1"/>
  <c r="BC916" i="2"/>
  <c r="AY916" i="2" s="1"/>
  <c r="BB916" i="2"/>
  <c r="AW916" i="2" s="1"/>
  <c r="AU916" i="2" s="1"/>
  <c r="AV916" i="2"/>
  <c r="AX916" i="2" l="1"/>
  <c r="AS917" i="2"/>
  <c r="AQ917" i="2"/>
  <c r="AZ916" i="2"/>
  <c r="AT916" i="2" s="1"/>
  <c r="AR917" i="2" l="1"/>
  <c r="AP917" i="2"/>
  <c r="BC917" i="2" l="1"/>
  <c r="AY917" i="2" s="1"/>
  <c r="BB917" i="2"/>
  <c r="AW917" i="2" s="1"/>
  <c r="BD917" i="2"/>
  <c r="BA917" i="2" s="1"/>
  <c r="AV917" i="2"/>
  <c r="AX917" i="2"/>
  <c r="AZ917" i="2" l="1"/>
  <c r="AT917" i="2" s="1"/>
  <c r="AU917" i="2"/>
  <c r="AP918" i="2" l="1"/>
  <c r="AR918" i="2"/>
  <c r="AQ918" i="2"/>
  <c r="AS918" i="2"/>
  <c r="BD918" i="2" l="1"/>
  <c r="AZ918" i="2" s="1"/>
  <c r="BB918" i="2"/>
  <c r="AV918" i="2" s="1"/>
  <c r="BC918" i="2"/>
  <c r="AY918" i="2" s="1"/>
  <c r="AW918" i="2" l="1"/>
  <c r="BA918" i="2"/>
  <c r="AX918" i="2"/>
  <c r="AT918" i="2" s="1"/>
  <c r="AR919" i="2" l="1"/>
  <c r="AP919" i="2"/>
  <c r="AU918" i="2"/>
  <c r="AS919" i="2" l="1"/>
  <c r="AQ919" i="2"/>
  <c r="BB919" i="2" l="1"/>
  <c r="BC919" i="2"/>
  <c r="BD919" i="2"/>
  <c r="AZ919" i="2" s="1"/>
  <c r="AY919" i="2" l="1"/>
  <c r="AX919" i="2"/>
  <c r="AW919" i="2"/>
  <c r="AV919" i="2"/>
  <c r="AT919" i="2" s="1"/>
  <c r="BA919" i="2"/>
  <c r="AR920" i="2" l="1"/>
  <c r="AP920" i="2"/>
  <c r="AU919" i="2"/>
  <c r="BC920" i="2" l="1"/>
  <c r="AY920" i="2" s="1"/>
  <c r="AS920" i="2"/>
  <c r="AQ920" i="2"/>
  <c r="BD920" i="2" s="1"/>
  <c r="BA920" i="2" l="1"/>
  <c r="AZ920" i="2"/>
  <c r="AX920" i="2"/>
  <c r="BB920" i="2"/>
  <c r="AW920" i="2" l="1"/>
  <c r="AU920" i="2" s="1"/>
  <c r="AV920" i="2"/>
  <c r="AT920" i="2" s="1"/>
  <c r="AR921" i="2" l="1"/>
  <c r="AP921" i="2"/>
  <c r="AQ921" i="2"/>
  <c r="AS921" i="2"/>
  <c r="BB921" i="2" l="1"/>
  <c r="AW921" i="2" s="1"/>
  <c r="BC921" i="2"/>
  <c r="AY921" i="2" s="1"/>
  <c r="BD921" i="2"/>
  <c r="BA921" i="2" s="1"/>
  <c r="AZ921" i="2" l="1"/>
  <c r="AX921" i="2"/>
  <c r="AV921" i="2"/>
  <c r="AU921" i="2"/>
  <c r="AS922" i="2" l="1"/>
  <c r="AQ922" i="2"/>
  <c r="AT921" i="2"/>
  <c r="AR922" i="2" l="1"/>
  <c r="AP922" i="2"/>
  <c r="BB922" i="2" l="1"/>
  <c r="AW922" i="2" s="1"/>
  <c r="AZ922" i="2"/>
  <c r="BC922" i="2"/>
  <c r="AY922" i="2" s="1"/>
  <c r="BD922" i="2"/>
  <c r="BA922" i="2" s="1"/>
  <c r="AX922" i="2"/>
  <c r="AU922" i="2" l="1"/>
  <c r="AV922" i="2"/>
  <c r="AT922" i="2" s="1"/>
  <c r="AR923" i="2" l="1"/>
  <c r="AP923" i="2"/>
  <c r="AQ923" i="2"/>
  <c r="AS923" i="2"/>
  <c r="BB923" i="2" l="1"/>
  <c r="AW923" i="2" s="1"/>
  <c r="AU923" i="2" s="1"/>
  <c r="AS924" i="2" s="1"/>
  <c r="BD923" i="2"/>
  <c r="BA923" i="2" s="1"/>
  <c r="BC923" i="2"/>
  <c r="AY923" i="2" s="1"/>
  <c r="AV923" i="2"/>
  <c r="AX923" i="2"/>
  <c r="AZ923" i="2" l="1"/>
  <c r="AT923" i="2" s="1"/>
  <c r="AQ924" i="2"/>
  <c r="AR924" i="2" l="1"/>
  <c r="AP924" i="2"/>
  <c r="BB924" i="2" l="1"/>
  <c r="AW924" i="2" s="1"/>
  <c r="BD924" i="2"/>
  <c r="BA924" i="2" s="1"/>
  <c r="BC924" i="2"/>
  <c r="AV924" i="2"/>
  <c r="AZ924" i="2"/>
  <c r="AX924" i="2" l="1"/>
  <c r="AY924" i="2"/>
  <c r="AU924" i="2" s="1"/>
  <c r="AT924" i="2"/>
  <c r="AP925" i="2" l="1"/>
  <c r="AR925" i="2"/>
  <c r="AS925" i="2"/>
  <c r="AQ925" i="2"/>
  <c r="BB925" i="2" l="1"/>
  <c r="AW925" i="2" s="1"/>
  <c r="BD925" i="2"/>
  <c r="BA925" i="2" s="1"/>
  <c r="BC925" i="2"/>
  <c r="AY925" i="2" s="1"/>
  <c r="AU925" i="2" l="1"/>
  <c r="AX925" i="2"/>
  <c r="AV925" i="2"/>
  <c r="AT925" i="2" s="1"/>
  <c r="AZ925" i="2"/>
  <c r="AP926" i="2" l="1"/>
  <c r="AR926" i="2"/>
  <c r="AQ926" i="2"/>
  <c r="AS926" i="2"/>
  <c r="BC926" i="2" l="1"/>
  <c r="AY926" i="2" s="1"/>
  <c r="BB926" i="2"/>
  <c r="AW926" i="2" s="1"/>
  <c r="AU926" i="2" s="1"/>
  <c r="AQ927" i="2" s="1"/>
  <c r="BD926" i="2"/>
  <c r="BA926" i="2" s="1"/>
  <c r="AV926" i="2"/>
  <c r="AX926" i="2" l="1"/>
  <c r="AT926" i="2" s="1"/>
  <c r="AZ926" i="2"/>
  <c r="AS927" i="2"/>
  <c r="AP927" i="2" l="1"/>
  <c r="AR927" i="2"/>
  <c r="BB927" i="2" l="1"/>
  <c r="AW927" i="2" s="1"/>
  <c r="BD927" i="2"/>
  <c r="BA927" i="2" s="1"/>
  <c r="BC927" i="2"/>
  <c r="AY927" i="2" s="1"/>
  <c r="AZ927" i="2" l="1"/>
  <c r="AU927" i="2"/>
  <c r="AX927" i="2"/>
  <c r="AT927" i="2" s="1"/>
  <c r="AV927" i="2"/>
  <c r="AR928" i="2" l="1"/>
  <c r="AP928" i="2"/>
  <c r="AS928" i="2"/>
  <c r="AQ928" i="2"/>
  <c r="BC928" i="2" l="1"/>
  <c r="AY928" i="2" s="1"/>
  <c r="BB928" i="2"/>
  <c r="AW928" i="2" s="1"/>
  <c r="AV928" i="2"/>
  <c r="BD928" i="2"/>
  <c r="BA928" i="2" s="1"/>
  <c r="AX928" i="2" l="1"/>
  <c r="AZ928" i="2"/>
  <c r="AT928" i="2" s="1"/>
  <c r="AU928" i="2"/>
  <c r="AP929" i="2" l="1"/>
  <c r="AR929" i="2"/>
  <c r="AQ929" i="2"/>
  <c r="AS929" i="2"/>
  <c r="BC929" i="2" l="1"/>
  <c r="AY929" i="2" s="1"/>
  <c r="BD929" i="2"/>
  <c r="BA929" i="2" s="1"/>
  <c r="BB929" i="2"/>
  <c r="AW929" i="2" s="1"/>
  <c r="AU929" i="2" s="1"/>
  <c r="AS930" i="2" s="1"/>
  <c r="AZ929" i="2"/>
  <c r="AV929" i="2"/>
  <c r="AT929" i="2" s="1"/>
  <c r="AP930" i="2" s="1"/>
  <c r="AX929" i="2"/>
  <c r="AQ930" i="2" l="1"/>
  <c r="BB930" i="2" s="1"/>
  <c r="AR930" i="2"/>
  <c r="AW930" i="2" l="1"/>
  <c r="AV930" i="2"/>
  <c r="BC930" i="2"/>
  <c r="BD930" i="2"/>
  <c r="AY930" i="2" l="1"/>
  <c r="AX930" i="2"/>
  <c r="BA930" i="2"/>
  <c r="AU930" i="2" s="1"/>
  <c r="AZ930" i="2"/>
  <c r="AT930" i="2" s="1"/>
  <c r="AP931" i="2" l="1"/>
  <c r="AR931" i="2"/>
  <c r="AS931" i="2"/>
  <c r="AQ931" i="2"/>
  <c r="BB931" i="2" l="1"/>
  <c r="AW931" i="2" s="1"/>
  <c r="BD931" i="2"/>
  <c r="BA931" i="2" s="1"/>
  <c r="BC931" i="2"/>
  <c r="AY931" i="2" s="1"/>
  <c r="AU931" i="2" s="1"/>
  <c r="AQ932" i="2" s="1"/>
  <c r="AX931" i="2" l="1"/>
  <c r="AS932" i="2"/>
  <c r="AV931" i="2"/>
  <c r="AT931" i="2" s="1"/>
  <c r="AZ931" i="2"/>
  <c r="AP932" i="2" l="1"/>
  <c r="AR932" i="2"/>
  <c r="BC932" i="2" l="1"/>
  <c r="AY932" i="2" s="1"/>
  <c r="BB932" i="2"/>
  <c r="AW932" i="2" s="1"/>
  <c r="AU932" i="2" s="1"/>
  <c r="BD932" i="2"/>
  <c r="BA932" i="2" s="1"/>
  <c r="AX932" i="2"/>
  <c r="AV932" i="2"/>
  <c r="AZ932" i="2" l="1"/>
  <c r="AS933" i="2"/>
  <c r="AQ933" i="2"/>
  <c r="AT932" i="2"/>
  <c r="AR933" i="2" l="1"/>
  <c r="AP933" i="2"/>
  <c r="BD933" i="2" l="1"/>
  <c r="BA933" i="2" s="1"/>
  <c r="BC933" i="2"/>
  <c r="AY933" i="2" s="1"/>
  <c r="BB933" i="2"/>
  <c r="AW933" i="2" s="1"/>
  <c r="AU933" i="2" l="1"/>
  <c r="AX933" i="2"/>
  <c r="AZ933" i="2"/>
  <c r="AV933" i="2"/>
  <c r="AT933" i="2" s="1"/>
  <c r="AP934" i="2" l="1"/>
  <c r="AR934" i="2"/>
  <c r="AS934" i="2"/>
  <c r="AQ934" i="2"/>
  <c r="BD934" i="2" l="1"/>
  <c r="BA934" i="2" s="1"/>
  <c r="BC934" i="2"/>
  <c r="AY934" i="2" s="1"/>
  <c r="BB934" i="2"/>
  <c r="AW934" i="2" s="1"/>
  <c r="AZ934" i="2"/>
  <c r="AV934" i="2" l="1"/>
  <c r="AX934" i="2"/>
  <c r="AU934" i="2"/>
  <c r="AS935" i="2" l="1"/>
  <c r="AQ935" i="2"/>
  <c r="AT934" i="2"/>
  <c r="AR935" i="2" l="1"/>
  <c r="AP935" i="2"/>
  <c r="BD935" i="2" l="1"/>
  <c r="BA935" i="2" s="1"/>
  <c r="BB935" i="2"/>
  <c r="AW935" i="2" s="1"/>
  <c r="BC935" i="2"/>
  <c r="AY935" i="2" s="1"/>
  <c r="AZ935" i="2"/>
  <c r="AX935" i="2" l="1"/>
  <c r="AV935" i="2"/>
  <c r="AT935" i="2" s="1"/>
  <c r="AU935" i="2"/>
  <c r="AS936" i="2" l="1"/>
  <c r="AQ936" i="2"/>
  <c r="AP936" i="2"/>
  <c r="AR936" i="2"/>
  <c r="BC936" i="2" l="1"/>
  <c r="AY936" i="2" s="1"/>
  <c r="AV936" i="2"/>
  <c r="BD936" i="2"/>
  <c r="BB936" i="2"/>
  <c r="AW936" i="2" s="1"/>
  <c r="AX936" i="2"/>
  <c r="AZ936" i="2"/>
  <c r="BA936" i="2"/>
  <c r="AU936" i="2" s="1"/>
  <c r="AQ937" i="2"/>
  <c r="AS937" i="2"/>
  <c r="AT936" i="2" l="1"/>
  <c r="AR937" i="2" l="1"/>
  <c r="AP937" i="2"/>
  <c r="BB937" i="2" l="1"/>
  <c r="AW937" i="2" s="1"/>
  <c r="AV937" i="2"/>
  <c r="BD937" i="2"/>
  <c r="BA937" i="2" s="1"/>
  <c r="BC937" i="2"/>
  <c r="AY937" i="2" s="1"/>
  <c r="AX937" i="2" l="1"/>
  <c r="AZ937" i="2"/>
  <c r="AU937" i="2"/>
  <c r="AQ938" i="2" l="1"/>
  <c r="AS938" i="2"/>
  <c r="AT937" i="2"/>
  <c r="AP938" i="2" l="1"/>
  <c r="AR938" i="2"/>
  <c r="BB938" i="2" l="1"/>
  <c r="AW938" i="2" s="1"/>
  <c r="AU938" i="2" s="1"/>
  <c r="BD938" i="2"/>
  <c r="BA938" i="2" s="1"/>
  <c r="BC938" i="2"/>
  <c r="AY938" i="2" s="1"/>
  <c r="AZ938" i="2"/>
  <c r="AX938" i="2"/>
  <c r="AV938" i="2" l="1"/>
  <c r="AT938" i="2" s="1"/>
  <c r="AS939" i="2"/>
  <c r="AQ939" i="2"/>
  <c r="AR939" i="2" l="1"/>
  <c r="AP939" i="2"/>
  <c r="BB939" i="2" l="1"/>
  <c r="AW939" i="2" s="1"/>
  <c r="BD939" i="2"/>
  <c r="BA939" i="2" s="1"/>
  <c r="AV939" i="2"/>
  <c r="BC939" i="2"/>
  <c r="AY939" i="2" s="1"/>
  <c r="AX939" i="2" l="1"/>
  <c r="AT939" i="2" s="1"/>
  <c r="AZ939" i="2"/>
  <c r="AU939" i="2"/>
  <c r="AR940" i="2" l="1"/>
  <c r="AP940" i="2"/>
  <c r="AQ940" i="2"/>
  <c r="AS940" i="2"/>
  <c r="BC940" i="2" l="1"/>
  <c r="AY940" i="2" s="1"/>
  <c r="BD940" i="2"/>
  <c r="AZ940" i="2" s="1"/>
  <c r="BB940" i="2"/>
  <c r="AW940" i="2" s="1"/>
  <c r="BA940" i="2" l="1"/>
  <c r="AU940" i="2" s="1"/>
  <c r="AX940" i="2"/>
  <c r="AV940" i="2"/>
  <c r="AT940" i="2" s="1"/>
  <c r="AS941" i="2" l="1"/>
  <c r="AQ941" i="2"/>
  <c r="AR941" i="2"/>
  <c r="AP941" i="2"/>
  <c r="BC941" i="2" l="1"/>
  <c r="AY941" i="2" s="1"/>
  <c r="BD941" i="2"/>
  <c r="BA941" i="2" s="1"/>
  <c r="AX941" i="2"/>
  <c r="BB941" i="2"/>
  <c r="AW941" i="2" s="1"/>
  <c r="AU941" i="2" l="1"/>
  <c r="AZ941" i="2"/>
  <c r="AV941" i="2"/>
  <c r="AT941" i="2" s="1"/>
  <c r="AP942" i="2" l="1"/>
  <c r="AR942" i="2"/>
  <c r="AQ942" i="2"/>
  <c r="AS942" i="2"/>
  <c r="BD942" i="2" l="1"/>
  <c r="BA942" i="2" s="1"/>
  <c r="BC942" i="2"/>
  <c r="AY942" i="2" s="1"/>
  <c r="AZ942" i="2"/>
  <c r="BB942" i="2"/>
  <c r="AW942" i="2" s="1"/>
  <c r="AU942" i="2" s="1"/>
  <c r="AS943" i="2" s="1"/>
  <c r="AV942" i="2" l="1"/>
  <c r="AX942" i="2"/>
  <c r="AQ943" i="2"/>
  <c r="AT942" i="2" l="1"/>
  <c r="AP943" i="2" l="1"/>
  <c r="AR943" i="2"/>
  <c r="BD943" i="2" l="1"/>
  <c r="BA943" i="2" s="1"/>
  <c r="BB943" i="2"/>
  <c r="AW943" i="2" s="1"/>
  <c r="AU943" i="2" s="1"/>
  <c r="BC943" i="2"/>
  <c r="AY943" i="2" s="1"/>
  <c r="AS944" i="2" l="1"/>
  <c r="AQ944" i="2"/>
  <c r="AX943" i="2"/>
  <c r="AV943" i="2"/>
  <c r="AZ943" i="2"/>
  <c r="AT943" i="2" l="1"/>
  <c r="AR944" i="2" l="1"/>
  <c r="AP944" i="2"/>
  <c r="BD944" i="2" l="1"/>
  <c r="BA944" i="2" s="1"/>
  <c r="BC944" i="2"/>
  <c r="AY944" i="2" s="1"/>
  <c r="BB944" i="2"/>
  <c r="AW944" i="2" s="1"/>
  <c r="AU944" i="2" s="1"/>
  <c r="AZ944" i="2"/>
  <c r="AX944" i="2"/>
  <c r="AS945" i="2" l="1"/>
  <c r="AQ945" i="2"/>
  <c r="AV944" i="2"/>
  <c r="AT944" i="2" s="1"/>
  <c r="AP945" i="2" l="1"/>
  <c r="AR945" i="2"/>
  <c r="BB945" i="2" l="1"/>
  <c r="AW945" i="2" s="1"/>
  <c r="BC945" i="2"/>
  <c r="AY945" i="2" s="1"/>
  <c r="BD945" i="2"/>
  <c r="BA945" i="2" s="1"/>
  <c r="AU945" i="2" l="1"/>
  <c r="AZ945" i="2"/>
  <c r="AX945" i="2"/>
  <c r="AV945" i="2"/>
  <c r="AT945" i="2" l="1"/>
  <c r="AQ946" i="2"/>
  <c r="AS946" i="2"/>
  <c r="AR946" i="2" l="1"/>
  <c r="AP946" i="2"/>
  <c r="BD946" i="2" l="1"/>
  <c r="BA946" i="2" s="1"/>
  <c r="BB946" i="2"/>
  <c r="AW946" i="2" s="1"/>
  <c r="BC946" i="2"/>
  <c r="AY946" i="2" s="1"/>
  <c r="AZ946" i="2"/>
  <c r="AX946" i="2" l="1"/>
  <c r="AU946" i="2"/>
  <c r="AV946" i="2"/>
  <c r="AT946" i="2" s="1"/>
  <c r="AP947" i="2" l="1"/>
  <c r="AR947" i="2"/>
  <c r="AQ947" i="2"/>
  <c r="AS947" i="2"/>
  <c r="BC947" i="2" l="1"/>
  <c r="AY947" i="2" s="1"/>
  <c r="BD947" i="2"/>
  <c r="BA947" i="2" s="1"/>
  <c r="BB947" i="2"/>
  <c r="AW947" i="2" s="1"/>
  <c r="AZ947" i="2" l="1"/>
  <c r="AX947" i="2"/>
  <c r="AU947" i="2"/>
  <c r="AV947" i="2"/>
  <c r="AT947" i="2" s="1"/>
  <c r="AR948" i="2" l="1"/>
  <c r="AP948" i="2"/>
  <c r="AS948" i="2"/>
  <c r="AQ948" i="2"/>
  <c r="BB948" i="2" l="1"/>
  <c r="AW948" i="2" s="1"/>
  <c r="AU948" i="2" s="1"/>
  <c r="AQ949" i="2" s="1"/>
  <c r="BD948" i="2"/>
  <c r="BA948" i="2" s="1"/>
  <c r="BC948" i="2"/>
  <c r="AY948" i="2" s="1"/>
  <c r="AX948" i="2"/>
  <c r="AZ948" i="2"/>
  <c r="AV948" i="2" l="1"/>
  <c r="AT948" i="2" s="1"/>
  <c r="AS949" i="2"/>
  <c r="AP949" i="2" l="1"/>
  <c r="AR949" i="2"/>
  <c r="BB949" i="2" l="1"/>
  <c r="AW949" i="2" s="1"/>
  <c r="AX949" i="2"/>
  <c r="BC949" i="2"/>
  <c r="AY949" i="2" s="1"/>
  <c r="BD949" i="2"/>
  <c r="BA949" i="2" s="1"/>
  <c r="AV949" i="2"/>
  <c r="AZ949" i="2" l="1"/>
  <c r="AT949" i="2"/>
  <c r="AU949" i="2"/>
  <c r="AS950" i="2" l="1"/>
  <c r="AQ950" i="2"/>
  <c r="AR950" i="2"/>
  <c r="AP950" i="2"/>
  <c r="BC950" i="2" l="1"/>
  <c r="AY950" i="2" s="1"/>
  <c r="BB950" i="2"/>
  <c r="AW950" i="2" s="1"/>
  <c r="BD950" i="2"/>
  <c r="BA950" i="2" s="1"/>
  <c r="AV950" i="2"/>
  <c r="AX950" i="2"/>
  <c r="AZ950" i="2" l="1"/>
  <c r="AT950" i="2" s="1"/>
  <c r="AU950" i="2"/>
  <c r="AR951" i="2" l="1"/>
  <c r="AP951" i="2"/>
  <c r="AS951" i="2"/>
  <c r="AQ951" i="2"/>
  <c r="BB951" i="2" l="1"/>
  <c r="AW951" i="2" s="1"/>
  <c r="AU951" i="2" s="1"/>
  <c r="AQ952" i="2" s="1"/>
  <c r="BC951" i="2"/>
  <c r="AY951" i="2" s="1"/>
  <c r="BD951" i="2"/>
  <c r="BA951" i="2" s="1"/>
  <c r="AV951" i="2"/>
  <c r="AS952" i="2"/>
  <c r="AZ951" i="2" l="1"/>
  <c r="AX951" i="2"/>
  <c r="AT951" i="2" s="1"/>
  <c r="AP952" i="2" l="1"/>
  <c r="AR952" i="2"/>
  <c r="BD952" i="2" l="1"/>
  <c r="BA952" i="2" s="1"/>
  <c r="BC952" i="2"/>
  <c r="BB952" i="2"/>
  <c r="AW952" i="2" s="1"/>
  <c r="AX952" i="2" l="1"/>
  <c r="AY952" i="2"/>
  <c r="AU952" i="2" s="1"/>
  <c r="AV952" i="2"/>
  <c r="AT952" i="2" s="1"/>
  <c r="AZ952" i="2"/>
  <c r="AS953" i="2" l="1"/>
  <c r="AQ953" i="2"/>
  <c r="AR953" i="2"/>
  <c r="AP953" i="2"/>
  <c r="BB953" i="2" l="1"/>
  <c r="AW953" i="2" s="1"/>
  <c r="BD953" i="2"/>
  <c r="BA953" i="2" s="1"/>
  <c r="BC953" i="2"/>
  <c r="AY953" i="2" s="1"/>
  <c r="AX953" i="2" l="1"/>
  <c r="AV953" i="2"/>
  <c r="AZ953" i="2"/>
  <c r="AU953" i="2"/>
  <c r="AQ954" i="2" l="1"/>
  <c r="AS954" i="2"/>
  <c r="AT953" i="2"/>
  <c r="AP954" i="2" l="1"/>
  <c r="AR954" i="2"/>
  <c r="BB954" i="2" l="1"/>
  <c r="AW954" i="2" s="1"/>
  <c r="AU954" i="2" s="1"/>
  <c r="BD954" i="2"/>
  <c r="BA954" i="2" s="1"/>
  <c r="BC954" i="2"/>
  <c r="AY954" i="2" s="1"/>
  <c r="AZ954" i="2"/>
  <c r="AS955" i="2" l="1"/>
  <c r="AQ955" i="2"/>
  <c r="AV954" i="2"/>
  <c r="AT954" i="2" s="1"/>
  <c r="AX954" i="2"/>
  <c r="AR955" i="2" l="1"/>
  <c r="AP955" i="2"/>
  <c r="BC955" i="2" l="1"/>
  <c r="AY955" i="2" s="1"/>
  <c r="BB955" i="2"/>
  <c r="AW955" i="2" s="1"/>
  <c r="AU955" i="2" s="1"/>
  <c r="BD955" i="2"/>
  <c r="BA955" i="2" s="1"/>
  <c r="AQ956" i="2" l="1"/>
  <c r="AS956" i="2"/>
  <c r="AZ955" i="2"/>
  <c r="AV955" i="2"/>
  <c r="AX955" i="2"/>
  <c r="AT955" i="2" l="1"/>
  <c r="AP956" i="2" l="1"/>
  <c r="AR956" i="2"/>
  <c r="BC956" i="2" l="1"/>
  <c r="BB956" i="2"/>
  <c r="BD956" i="2"/>
  <c r="BA956" i="2" s="1"/>
  <c r="AX956" i="2" l="1"/>
  <c r="AY956" i="2"/>
  <c r="AV956" i="2"/>
  <c r="AW956" i="2"/>
  <c r="AU956" i="2" s="1"/>
  <c r="AZ956" i="2"/>
  <c r="AQ957" i="2" l="1"/>
  <c r="AS957" i="2"/>
  <c r="AT956" i="2"/>
  <c r="AR957" i="2" l="1"/>
  <c r="AP957" i="2"/>
  <c r="BB957" i="2" l="1"/>
  <c r="AW957" i="2" s="1"/>
  <c r="BC957" i="2"/>
  <c r="AY957" i="2" s="1"/>
  <c r="BD957" i="2"/>
  <c r="BA957" i="2" s="1"/>
  <c r="AV957" i="2"/>
  <c r="AZ957" i="2" l="1"/>
  <c r="AX957" i="2"/>
  <c r="AT957" i="2" s="1"/>
  <c r="AU957" i="2"/>
  <c r="AP958" i="2" l="1"/>
  <c r="AR958" i="2"/>
  <c r="AS958" i="2"/>
  <c r="AQ958" i="2"/>
  <c r="BB958" i="2" l="1"/>
  <c r="AW958" i="2" s="1"/>
  <c r="BD958" i="2"/>
  <c r="BA958" i="2" s="1"/>
  <c r="BC958" i="2"/>
  <c r="AY958" i="2" s="1"/>
  <c r="AZ958" i="2"/>
  <c r="AX958" i="2" l="1"/>
  <c r="AU958" i="2"/>
  <c r="AV958" i="2"/>
  <c r="AT958" i="2" s="1"/>
  <c r="AR959" i="2" l="1"/>
  <c r="AP959" i="2"/>
  <c r="AQ959" i="2"/>
  <c r="AS959" i="2"/>
  <c r="BD959" i="2" l="1"/>
  <c r="BA959" i="2" s="1"/>
  <c r="BC959" i="2"/>
  <c r="AX959" i="2" s="1"/>
  <c r="BB959" i="2"/>
  <c r="AW959" i="2" s="1"/>
  <c r="AV959" i="2"/>
  <c r="AZ959" i="2" l="1"/>
  <c r="AT959" i="2" s="1"/>
  <c r="AY959" i="2"/>
  <c r="AU959" i="2" s="1"/>
  <c r="AP960" i="2" l="1"/>
  <c r="AR960" i="2"/>
  <c r="AS960" i="2"/>
  <c r="AQ960" i="2"/>
  <c r="BC960" i="2" l="1"/>
  <c r="AY960" i="2" s="1"/>
  <c r="BD960" i="2"/>
  <c r="BA960" i="2" s="1"/>
  <c r="BB960" i="2"/>
  <c r="AW960" i="2" s="1"/>
  <c r="AX960" i="2"/>
  <c r="AZ960" i="2"/>
  <c r="AU960" i="2" l="1"/>
  <c r="AV960" i="2"/>
  <c r="AT960" i="2" s="1"/>
  <c r="AP961" i="2" l="1"/>
  <c r="AR961" i="2"/>
  <c r="AQ961" i="2"/>
  <c r="AS961" i="2"/>
  <c r="BC961" i="2" l="1"/>
  <c r="AY961" i="2" s="1"/>
  <c r="BD961" i="2"/>
  <c r="BA961" i="2" s="1"/>
  <c r="BB961" i="2"/>
  <c r="AW961" i="2" s="1"/>
  <c r="AV961" i="2"/>
  <c r="AU961" i="2" l="1"/>
  <c r="AX961" i="2"/>
  <c r="AT961" i="2" s="1"/>
  <c r="AZ961" i="2"/>
  <c r="AP962" i="2" l="1"/>
  <c r="AR962" i="2"/>
  <c r="AQ962" i="2"/>
  <c r="AS962" i="2"/>
  <c r="BB962" i="2" l="1"/>
  <c r="AW962" i="2" s="1"/>
  <c r="BD962" i="2"/>
  <c r="BA962" i="2" s="1"/>
  <c r="AV962" i="2"/>
  <c r="BC962" i="2"/>
  <c r="AX962" i="2" s="1"/>
  <c r="AY962" i="2" l="1"/>
  <c r="AU962" i="2" s="1"/>
  <c r="AZ962" i="2"/>
  <c r="AT962" i="2" s="1"/>
  <c r="AP963" i="2" l="1"/>
  <c r="AR963" i="2"/>
  <c r="AS963" i="2"/>
  <c r="AQ963" i="2"/>
  <c r="BB963" i="2" l="1"/>
  <c r="AW963" i="2" s="1"/>
  <c r="BD963" i="2"/>
  <c r="BA963" i="2" s="1"/>
  <c r="BC963" i="2"/>
  <c r="AY963" i="2" s="1"/>
  <c r="AU963" i="2" l="1"/>
  <c r="AZ963" i="2"/>
  <c r="AT963" i="2" s="1"/>
  <c r="AV963" i="2"/>
  <c r="AX963" i="2"/>
  <c r="AP964" i="2" l="1"/>
  <c r="AR964" i="2"/>
  <c r="AS964" i="2"/>
  <c r="AQ964" i="2"/>
  <c r="BD964" i="2" l="1"/>
  <c r="BA964" i="2" s="1"/>
  <c r="BC964" i="2"/>
  <c r="AY964" i="2" s="1"/>
  <c r="BB964" i="2"/>
  <c r="AW964" i="2" s="1"/>
  <c r="AU964" i="2" s="1"/>
  <c r="AQ965" i="2" s="1"/>
  <c r="AZ964" i="2"/>
  <c r="AS965" i="2" l="1"/>
  <c r="AX964" i="2"/>
  <c r="AV964" i="2"/>
  <c r="AT964" i="2" l="1"/>
  <c r="AR965" i="2" l="1"/>
  <c r="AP965" i="2"/>
  <c r="BB965" i="2" l="1"/>
  <c r="AW965" i="2" s="1"/>
  <c r="BD965" i="2"/>
  <c r="BA965" i="2" s="1"/>
  <c r="BC965" i="2"/>
  <c r="AY965" i="2" s="1"/>
  <c r="AZ965" i="2" l="1"/>
  <c r="AX965" i="2"/>
  <c r="AV965" i="2"/>
  <c r="AT965" i="2" s="1"/>
  <c r="AU965" i="2"/>
  <c r="AS966" i="2" l="1"/>
  <c r="AQ966" i="2"/>
  <c r="AP966" i="2"/>
  <c r="AR966" i="2"/>
  <c r="BB966" i="2" l="1"/>
  <c r="AW966" i="2" s="1"/>
  <c r="AU966" i="2" s="1"/>
  <c r="AS967" i="2" s="1"/>
  <c r="BD966" i="2"/>
  <c r="BA966" i="2" s="1"/>
  <c r="BC966" i="2"/>
  <c r="AY966" i="2" s="1"/>
  <c r="AV966" i="2" l="1"/>
  <c r="AX966" i="2"/>
  <c r="AZ966" i="2"/>
  <c r="AQ967" i="2"/>
  <c r="AT966" i="2" l="1"/>
  <c r="AR967" i="2" l="1"/>
  <c r="AP967" i="2"/>
  <c r="BD967" i="2" l="1"/>
  <c r="BA967" i="2" s="1"/>
  <c r="BB967" i="2"/>
  <c r="AW967" i="2" s="1"/>
  <c r="AU967" i="2" s="1"/>
  <c r="BC967" i="2"/>
  <c r="AY967" i="2" s="1"/>
  <c r="AZ967" i="2"/>
  <c r="AX967" i="2"/>
  <c r="AV967" i="2" l="1"/>
  <c r="AT967" i="2" s="1"/>
  <c r="AS968" i="2"/>
  <c r="AQ968" i="2"/>
  <c r="AP968" i="2" l="1"/>
  <c r="AR968" i="2"/>
  <c r="BC968" i="2" l="1"/>
  <c r="AY968" i="2" s="1"/>
  <c r="BD968" i="2"/>
  <c r="BA968" i="2" s="1"/>
  <c r="BB968" i="2"/>
  <c r="AW968" i="2" s="1"/>
  <c r="AU968" i="2" l="1"/>
  <c r="AV968" i="2"/>
  <c r="AZ968" i="2"/>
  <c r="AX968" i="2"/>
  <c r="AT968" i="2" l="1"/>
  <c r="AQ969" i="2"/>
  <c r="AS969" i="2"/>
  <c r="AR969" i="2" l="1"/>
  <c r="AP969" i="2"/>
  <c r="BB969" i="2" l="1"/>
  <c r="AW969" i="2" s="1"/>
  <c r="BD969" i="2"/>
  <c r="BA969" i="2" s="1"/>
  <c r="BC969" i="2"/>
  <c r="AY969" i="2" s="1"/>
  <c r="AX969" i="2" l="1"/>
  <c r="AV969" i="2"/>
  <c r="AZ969" i="2"/>
  <c r="AU969" i="2"/>
  <c r="AQ970" i="2" l="1"/>
  <c r="AS970" i="2"/>
  <c r="AT969" i="2"/>
  <c r="AP970" i="2" l="1"/>
  <c r="AR970" i="2"/>
  <c r="BC970" i="2" l="1"/>
  <c r="AY970" i="2" s="1"/>
  <c r="BD970" i="2"/>
  <c r="BA970" i="2" s="1"/>
  <c r="BB970" i="2"/>
  <c r="AZ970" i="2" l="1"/>
  <c r="AX970" i="2"/>
  <c r="AV970" i="2"/>
  <c r="AT970" i="2" s="1"/>
  <c r="AW970" i="2"/>
  <c r="AU970" i="2" s="1"/>
  <c r="AS971" i="2" l="1"/>
  <c r="AQ971" i="2"/>
  <c r="AR971" i="2"/>
  <c r="AP971" i="2"/>
  <c r="BD971" i="2" l="1"/>
  <c r="AZ971" i="2" s="1"/>
  <c r="BC971" i="2"/>
  <c r="AX971" i="2" s="1"/>
  <c r="BB971" i="2"/>
  <c r="AV971" i="2" s="1"/>
  <c r="AT971" i="2" s="1"/>
  <c r="AR972" i="2" s="1"/>
  <c r="AY971" i="2"/>
  <c r="AW971" i="2"/>
  <c r="AU971" i="2" s="1"/>
  <c r="AQ972" i="2" s="1"/>
  <c r="BA971" i="2"/>
  <c r="AP972" i="2" l="1"/>
  <c r="AS972" i="2"/>
  <c r="BD972" i="2" l="1"/>
  <c r="BA972" i="2" s="1"/>
  <c r="BC972" i="2"/>
  <c r="AY972" i="2" s="1"/>
  <c r="BB972" i="2"/>
  <c r="AW972" i="2" s="1"/>
  <c r="AZ972" i="2"/>
  <c r="AU972" i="2" l="1"/>
  <c r="AV972" i="2"/>
  <c r="AT972" i="2" s="1"/>
  <c r="AX972" i="2"/>
  <c r="AR973" i="2" l="1"/>
  <c r="AP973" i="2"/>
  <c r="AQ973" i="2"/>
  <c r="AS973" i="2"/>
  <c r="BD973" i="2" l="1"/>
  <c r="BA973" i="2" s="1"/>
  <c r="BC973" i="2"/>
  <c r="AX973" i="2" s="1"/>
  <c r="BB973" i="2"/>
  <c r="AV973" i="2" s="1"/>
  <c r="AY973" i="2" l="1"/>
  <c r="AW973" i="2"/>
  <c r="AU973" i="2" s="1"/>
  <c r="AZ973" i="2"/>
  <c r="AT973" i="2" s="1"/>
  <c r="AP974" i="2" l="1"/>
  <c r="AR974" i="2"/>
  <c r="AS974" i="2"/>
  <c r="AQ974" i="2"/>
  <c r="BD974" i="2" l="1"/>
  <c r="BA974" i="2" s="1"/>
  <c r="AZ974" i="2"/>
  <c r="BB974" i="2"/>
  <c r="AV974" i="2" s="1"/>
  <c r="BC974" i="2"/>
  <c r="AX974" i="2" s="1"/>
  <c r="AY974" i="2" l="1"/>
  <c r="AW974" i="2"/>
  <c r="AU974" i="2" s="1"/>
  <c r="AT974" i="2"/>
  <c r="AR975" i="2" l="1"/>
  <c r="AP975" i="2"/>
  <c r="AQ975" i="2"/>
  <c r="AS975" i="2"/>
  <c r="BD975" i="2" l="1"/>
  <c r="BA975" i="2" s="1"/>
  <c r="BB975" i="2"/>
  <c r="AV975" i="2" s="1"/>
  <c r="BC975" i="2"/>
  <c r="AY975" i="2" s="1"/>
  <c r="AW975" i="2"/>
  <c r="AU975" i="2" s="1"/>
  <c r="AS976" i="2" s="1"/>
  <c r="AX975" i="2" l="1"/>
  <c r="AT975" i="2" s="1"/>
  <c r="AQ976" i="2"/>
  <c r="AZ975" i="2"/>
  <c r="AR976" i="2" l="1"/>
  <c r="AP976" i="2"/>
  <c r="BB976" i="2" l="1"/>
  <c r="AW976" i="2" s="1"/>
  <c r="BC976" i="2"/>
  <c r="AY976" i="2" s="1"/>
  <c r="BD976" i="2"/>
  <c r="BA976" i="2" s="1"/>
  <c r="AU976" i="2" l="1"/>
  <c r="AZ976" i="2"/>
  <c r="AX976" i="2"/>
  <c r="AT976" i="2" s="1"/>
  <c r="AV976" i="2"/>
  <c r="AP977" i="2" l="1"/>
  <c r="AR977" i="2"/>
  <c r="AS977" i="2"/>
  <c r="AQ977" i="2"/>
  <c r="BB977" i="2" l="1"/>
  <c r="AW977" i="2" s="1"/>
  <c r="BD977" i="2"/>
  <c r="BA977" i="2" s="1"/>
  <c r="AV977" i="2"/>
  <c r="BC977" i="2"/>
  <c r="AY977" i="2" s="1"/>
  <c r="AX977" i="2"/>
  <c r="AZ977" i="2" l="1"/>
  <c r="AT977" i="2" s="1"/>
  <c r="AU977" i="2"/>
  <c r="AP978" i="2" l="1"/>
  <c r="AR978" i="2"/>
  <c r="AQ978" i="2"/>
  <c r="AS978" i="2"/>
  <c r="BC978" i="2" l="1"/>
  <c r="AY978" i="2" s="1"/>
  <c r="BB978" i="2"/>
  <c r="AW978" i="2" s="1"/>
  <c r="BD978" i="2"/>
  <c r="BA978" i="2" s="1"/>
  <c r="AX978" i="2"/>
  <c r="AV978" i="2"/>
  <c r="AZ978" i="2" l="1"/>
  <c r="AT978" i="2" s="1"/>
  <c r="AU978" i="2"/>
  <c r="AR979" i="2" l="1"/>
  <c r="AP979" i="2"/>
  <c r="AS979" i="2"/>
  <c r="AQ979" i="2"/>
  <c r="BD979" i="2" l="1"/>
  <c r="BA979" i="2" s="1"/>
  <c r="BB979" i="2"/>
  <c r="AW979" i="2" s="1"/>
  <c r="AU979" i="2" s="1"/>
  <c r="AQ980" i="2" s="1"/>
  <c r="BC979" i="2"/>
  <c r="AY979" i="2" s="1"/>
  <c r="AV979" i="2"/>
  <c r="AZ979" i="2" l="1"/>
  <c r="AX979" i="2"/>
  <c r="AT979" i="2" s="1"/>
  <c r="AS980" i="2"/>
  <c r="AR980" i="2" l="1"/>
  <c r="AP980" i="2"/>
  <c r="BB980" i="2" l="1"/>
  <c r="AW980" i="2" s="1"/>
  <c r="BC980" i="2"/>
  <c r="AY980" i="2" s="1"/>
  <c r="BD980" i="2"/>
  <c r="BA980" i="2" s="1"/>
  <c r="AV980" i="2"/>
  <c r="AX980" i="2"/>
  <c r="AZ980" i="2" l="1"/>
  <c r="AT980" i="2" s="1"/>
  <c r="AU980" i="2"/>
  <c r="AP981" i="2" l="1"/>
  <c r="AR981" i="2"/>
  <c r="AS981" i="2"/>
  <c r="AQ981" i="2"/>
  <c r="BD981" i="2" l="1"/>
  <c r="BA981" i="2" s="1"/>
  <c r="BC981" i="2"/>
  <c r="AY981" i="2" s="1"/>
  <c r="BB981" i="2"/>
  <c r="AW981" i="2" s="1"/>
  <c r="AU981" i="2" s="1"/>
  <c r="AQ982" i="2" s="1"/>
  <c r="AZ981" i="2"/>
  <c r="AS982" i="2" l="1"/>
  <c r="AV981" i="2"/>
  <c r="AX981" i="2"/>
  <c r="AT981" i="2" l="1"/>
  <c r="AP982" i="2" l="1"/>
  <c r="AR982" i="2"/>
  <c r="BC982" i="2" l="1"/>
  <c r="AY982" i="2" s="1"/>
  <c r="BB982" i="2"/>
  <c r="AW982" i="2" s="1"/>
  <c r="AU982" i="2" s="1"/>
  <c r="BD982" i="2"/>
  <c r="BA982" i="2" s="1"/>
  <c r="AZ982" i="2" l="1"/>
  <c r="AS983" i="2"/>
  <c r="AQ983" i="2"/>
  <c r="AV982" i="2"/>
  <c r="AT982" i="2" s="1"/>
  <c r="AX982" i="2"/>
  <c r="AR983" i="2" l="1"/>
  <c r="AP983" i="2"/>
  <c r="BD983" i="2" l="1"/>
  <c r="BA983" i="2" s="1"/>
  <c r="BB983" i="2"/>
  <c r="BC983" i="2"/>
  <c r="AY983" i="2" s="1"/>
  <c r="AZ983" i="2"/>
  <c r="AX983" i="2" l="1"/>
  <c r="AV983" i="2"/>
  <c r="AT983" i="2" s="1"/>
  <c r="AW983" i="2"/>
  <c r="AU983" i="2" s="1"/>
  <c r="AR984" i="2" l="1"/>
  <c r="AP984" i="2"/>
  <c r="AS984" i="2"/>
  <c r="AQ984" i="2"/>
  <c r="BB984" i="2" l="1"/>
  <c r="AW984" i="2" s="1"/>
  <c r="AU984" i="2" s="1"/>
  <c r="BD984" i="2"/>
  <c r="BA984" i="2" s="1"/>
  <c r="BC984" i="2"/>
  <c r="AY984" i="2" s="1"/>
  <c r="AZ984" i="2"/>
  <c r="AQ985" i="2" l="1"/>
  <c r="AS985" i="2"/>
  <c r="AV984" i="2"/>
  <c r="AT984" i="2" s="1"/>
  <c r="AX984" i="2"/>
  <c r="AP985" i="2" l="1"/>
  <c r="AR985" i="2"/>
  <c r="BC985" i="2" l="1"/>
  <c r="AY985" i="2" s="1"/>
  <c r="BD985" i="2"/>
  <c r="BB985" i="2"/>
  <c r="AX985" i="2"/>
  <c r="AV985" i="2" l="1"/>
  <c r="AT985" i="2" s="1"/>
  <c r="AW985" i="2"/>
  <c r="AU985" i="2" s="1"/>
  <c r="AZ985" i="2"/>
  <c r="BA985" i="2"/>
  <c r="AR986" i="2" l="1"/>
  <c r="AP986" i="2"/>
  <c r="AQ986" i="2"/>
  <c r="AS986" i="2"/>
  <c r="BD986" i="2" l="1"/>
  <c r="AZ986" i="2" s="1"/>
  <c r="AT986" i="2" s="1"/>
  <c r="BB986" i="2"/>
  <c r="AV986" i="2" s="1"/>
  <c r="BC986" i="2"/>
  <c r="AX986" i="2" s="1"/>
  <c r="AP987" i="2" l="1"/>
  <c r="AR987" i="2"/>
  <c r="AY986" i="2"/>
  <c r="AU986" i="2" s="1"/>
  <c r="AW986" i="2"/>
  <c r="BA986" i="2"/>
  <c r="AS987" i="2" l="1"/>
  <c r="AQ987" i="2"/>
  <c r="BB987" i="2" s="1"/>
  <c r="AV987" i="2" s="1"/>
  <c r="BC987" i="2"/>
  <c r="AY987" i="2" s="1"/>
  <c r="AX987" i="2" l="1"/>
  <c r="AW987" i="2"/>
  <c r="BD987" i="2"/>
  <c r="BA987" i="2" l="1"/>
  <c r="AZ987" i="2"/>
  <c r="AT987" i="2" s="1"/>
  <c r="AU987" i="2"/>
  <c r="AP988" i="2" l="1"/>
  <c r="AR988" i="2"/>
  <c r="AS988" i="2"/>
  <c r="AQ988" i="2"/>
  <c r="BD988" i="2" l="1"/>
  <c r="BA988" i="2" s="1"/>
  <c r="BC988" i="2"/>
  <c r="AY988" i="2" s="1"/>
  <c r="BB988" i="2"/>
  <c r="AW988" i="2" s="1"/>
  <c r="AZ988" i="2"/>
  <c r="AX988" i="2" l="1"/>
  <c r="AV988" i="2"/>
  <c r="AT988" i="2" s="1"/>
  <c r="AU988" i="2"/>
  <c r="AR989" i="2" l="1"/>
  <c r="AP989" i="2"/>
  <c r="AQ989" i="2"/>
  <c r="AS989" i="2"/>
  <c r="BD989" i="2" l="1"/>
  <c r="BA989" i="2" s="1"/>
  <c r="BB989" i="2"/>
  <c r="AW989" i="2" s="1"/>
  <c r="BC989" i="2"/>
  <c r="AY989" i="2" s="1"/>
  <c r="AX989" i="2"/>
  <c r="AV989" i="2"/>
  <c r="AU989" i="2" l="1"/>
  <c r="AZ989" i="2"/>
  <c r="AT989" i="2" s="1"/>
  <c r="AP990" i="2" l="1"/>
  <c r="AR990" i="2"/>
  <c r="AS990" i="2"/>
  <c r="AQ990" i="2"/>
  <c r="BC990" i="2" l="1"/>
  <c r="AY990" i="2" s="1"/>
  <c r="BD990" i="2"/>
  <c r="BA990" i="2" s="1"/>
  <c r="BB990" i="2"/>
  <c r="AW990" i="2" s="1"/>
  <c r="AU990" i="2" s="1"/>
  <c r="AQ991" i="2" s="1"/>
  <c r="AZ990" i="2"/>
  <c r="AS991" i="2" l="1"/>
  <c r="AV990" i="2"/>
  <c r="AX990" i="2"/>
  <c r="AT990" i="2" l="1"/>
  <c r="AR991" i="2" l="1"/>
  <c r="AP991" i="2"/>
  <c r="BC991" i="2" l="1"/>
  <c r="AY991" i="2" s="1"/>
  <c r="BB991" i="2"/>
  <c r="AW991" i="2" s="1"/>
  <c r="BD991" i="2"/>
  <c r="BA991" i="2" s="1"/>
  <c r="AV991" i="2"/>
  <c r="AX991" i="2" l="1"/>
  <c r="AT991" i="2" s="1"/>
  <c r="AU991" i="2"/>
  <c r="AZ991" i="2"/>
  <c r="AP992" i="2" l="1"/>
  <c r="AR992" i="2"/>
  <c r="AQ992" i="2"/>
  <c r="AS992" i="2"/>
  <c r="BC992" i="2" l="1"/>
  <c r="AY992" i="2" s="1"/>
  <c r="BB992" i="2"/>
  <c r="AW992" i="2" s="1"/>
  <c r="BD992" i="2"/>
  <c r="BA992" i="2" s="1"/>
  <c r="AZ992" i="2"/>
  <c r="AU992" i="2" l="1"/>
  <c r="AV992" i="2"/>
  <c r="AX992" i="2"/>
  <c r="AT992" i="2" l="1"/>
  <c r="AS993" i="2"/>
  <c r="AQ993" i="2"/>
  <c r="AR993" i="2" l="1"/>
  <c r="AP993" i="2"/>
  <c r="BB993" i="2" l="1"/>
  <c r="BC993" i="2"/>
  <c r="AY993" i="2" s="1"/>
  <c r="BD993" i="2"/>
  <c r="AX993" i="2" l="1"/>
  <c r="AZ993" i="2"/>
  <c r="BA993" i="2"/>
  <c r="AV993" i="2"/>
  <c r="AW993" i="2"/>
  <c r="AU993" i="2" l="1"/>
  <c r="AT993" i="2"/>
  <c r="AP994" i="2" l="1"/>
  <c r="AR994" i="2"/>
  <c r="AQ994" i="2"/>
  <c r="AS994" i="2"/>
  <c r="BB994" i="2" l="1"/>
  <c r="AW994" i="2" s="1"/>
  <c r="BD994" i="2"/>
  <c r="AZ994" i="2" s="1"/>
  <c r="BC994" i="2"/>
  <c r="AX994" i="2" s="1"/>
  <c r="AY994" i="2" l="1"/>
  <c r="BA994" i="2"/>
  <c r="AU994" i="2" s="1"/>
  <c r="AV994" i="2"/>
  <c r="AT994" i="2" s="1"/>
  <c r="AR995" i="2" l="1"/>
  <c r="AP995" i="2"/>
  <c r="AS995" i="2"/>
  <c r="AQ995" i="2"/>
  <c r="BD995" i="2" l="1"/>
  <c r="BA995" i="2" s="1"/>
  <c r="BC995" i="2"/>
  <c r="AY995" i="2" s="1"/>
  <c r="AU995" i="2" s="1"/>
  <c r="AQ996" i="2" s="1"/>
  <c r="BB995" i="2"/>
  <c r="AW995" i="2" s="1"/>
  <c r="AV995" i="2" l="1"/>
  <c r="AZ995" i="2"/>
  <c r="AS996" i="2"/>
  <c r="AX995" i="2"/>
  <c r="AT995" i="2" l="1"/>
  <c r="AP996" i="2" l="1"/>
  <c r="AR996" i="2"/>
  <c r="BB996" i="2" l="1"/>
  <c r="AW996" i="2" s="1"/>
  <c r="BD996" i="2"/>
  <c r="BA996" i="2" s="1"/>
  <c r="BC996" i="2"/>
  <c r="AY996" i="2" s="1"/>
  <c r="AZ996" i="2" l="1"/>
  <c r="AX996" i="2"/>
  <c r="AU996" i="2"/>
  <c r="AV996" i="2"/>
  <c r="AT996" i="2" s="1"/>
  <c r="AR997" i="2" l="1"/>
  <c r="AP997" i="2"/>
  <c r="AS997" i="2"/>
  <c r="AQ997" i="2"/>
  <c r="BD997" i="2" l="1"/>
  <c r="BA997" i="2" s="1"/>
  <c r="AU997" i="2" s="1"/>
  <c r="BC997" i="2"/>
  <c r="AY997" i="2" s="1"/>
  <c r="BB997" i="2"/>
  <c r="AW997" i="2" s="1"/>
  <c r="AZ997" i="2"/>
  <c r="AX997" i="2"/>
  <c r="AV997" i="2"/>
  <c r="AT997" i="2" s="1"/>
  <c r="AP998" i="2" s="1"/>
  <c r="AQ998" i="2" l="1"/>
  <c r="AS998" i="2"/>
  <c r="AR998" i="2"/>
  <c r="BD998" i="2" l="1"/>
  <c r="BB998" i="2"/>
  <c r="BC998" i="2"/>
  <c r="AW998" i="2" l="1"/>
  <c r="AV998" i="2"/>
  <c r="AY998" i="2"/>
  <c r="AX998" i="2"/>
  <c r="BA998" i="2"/>
  <c r="AZ998" i="2"/>
  <c r="AT998" i="2" l="1"/>
  <c r="AU998" i="2"/>
  <c r="AQ999" i="2" l="1"/>
  <c r="AS999" i="2"/>
  <c r="AP999" i="2"/>
  <c r="AR999" i="2"/>
  <c r="BD999" i="2" l="1"/>
  <c r="BA999" i="2" s="1"/>
  <c r="BC999" i="2"/>
  <c r="AY999" i="2" s="1"/>
  <c r="BB999" i="2"/>
  <c r="AW999" i="2" s="1"/>
  <c r="AV999" i="2"/>
  <c r="AX999" i="2"/>
  <c r="AZ999" i="2"/>
  <c r="AT999" i="2" s="1"/>
  <c r="AR1000" i="2" s="1"/>
  <c r="AP1000" i="2" l="1"/>
  <c r="AU999" i="2"/>
  <c r="AS1000" i="2" l="1"/>
  <c r="AQ1000" i="2"/>
  <c r="BD1000" i="2"/>
  <c r="BA1000" i="2" s="1"/>
  <c r="BB1000" i="2"/>
  <c r="AW1000" i="2" s="1"/>
  <c r="AZ1000" i="2" l="1"/>
  <c r="AV1000" i="2"/>
  <c r="BC1000" i="2"/>
  <c r="AY1000" i="2" l="1"/>
  <c r="AU1000" i="2" s="1"/>
  <c r="AX1000" i="2"/>
  <c r="AT1000" i="2" s="1"/>
  <c r="AR1001" i="2" l="1"/>
  <c r="AP1001" i="2"/>
  <c r="AS1001" i="2"/>
  <c r="AQ1001" i="2"/>
  <c r="BD1001" i="2" l="1"/>
  <c r="BA1001" i="2" s="1"/>
  <c r="BC1001" i="2"/>
  <c r="AX1001" i="2" s="1"/>
  <c r="BB1001" i="2"/>
  <c r="AV1001" i="2" s="1"/>
  <c r="AZ1001" i="2" l="1"/>
  <c r="AT1001" i="2"/>
  <c r="AY1001" i="2"/>
  <c r="AW1001" i="2"/>
  <c r="AU1001" i="2" s="1"/>
  <c r="AS1002" i="2" l="1"/>
  <c r="AQ1002" i="2"/>
  <c r="AP1002" i="2"/>
  <c r="AR1002" i="2"/>
  <c r="BD1002" i="2" l="1"/>
  <c r="BA1002" i="2" s="1"/>
  <c r="BB1002" i="2"/>
  <c r="AW1002" i="2" s="1"/>
  <c r="BC1002" i="2"/>
  <c r="AY1002" i="2" s="1"/>
  <c r="AU1002" i="2" s="1"/>
  <c r="AZ1002" i="2"/>
  <c r="AX1002" i="2"/>
  <c r="AS1003" i="2" l="1"/>
  <c r="AQ1003" i="2"/>
  <c r="AV1002" i="2"/>
  <c r="AT1002" i="2" s="1"/>
  <c r="AR1003" i="2" l="1"/>
  <c r="AP1003" i="2"/>
  <c r="BB1003" i="2" l="1"/>
  <c r="BC1003" i="2"/>
  <c r="BD1003" i="2"/>
  <c r="AZ1003" i="2" l="1"/>
  <c r="BA1003" i="2"/>
  <c r="AX1003" i="2"/>
  <c r="AY1003" i="2"/>
  <c r="AV1003" i="2"/>
  <c r="AW1003" i="2"/>
  <c r="AU1003" i="2" s="1"/>
  <c r="AQ1004" i="2" l="1"/>
  <c r="AS1004" i="2"/>
  <c r="AT1003" i="2"/>
  <c r="AR1004" i="2" l="1"/>
  <c r="AP1004" i="2"/>
  <c r="BC1004" i="2" s="1"/>
  <c r="AX1004" i="2" l="1"/>
  <c r="AY1004" i="2"/>
  <c r="BB1004" i="2"/>
  <c r="BD1004" i="2"/>
  <c r="BA1004" i="2" s="1"/>
  <c r="AV1004" i="2" l="1"/>
  <c r="AW1004" i="2"/>
  <c r="AU1004" i="2" s="1"/>
  <c r="AZ1004" i="2"/>
  <c r="AT1004" i="2" s="1"/>
  <c r="AS1005" i="2" l="1"/>
  <c r="AQ1005" i="2"/>
  <c r="BK7" i="2" s="1" a="1"/>
  <c r="BK7" i="2" s="1"/>
  <c r="BH9" i="2" s="1" a="1"/>
  <c r="BH9" i="2" s="1"/>
  <c r="AR1005" i="2"/>
  <c r="AP1005" i="2"/>
  <c r="BK6" i="2" l="1" a="1"/>
  <c r="BK6" i="2" s="1"/>
  <c r="BG9" i="2" s="1" a="1"/>
  <c r="BG9" i="2" s="1"/>
  <c r="BC1005" i="2"/>
  <c r="AY1005" i="2" s="1"/>
  <c r="BB1005" i="2"/>
  <c r="AW1005" i="2" s="1"/>
  <c r="AX1005" i="2"/>
  <c r="BD1005" i="2"/>
  <c r="BA1005" i="2" s="1"/>
  <c r="AU1005" i="2" l="1"/>
  <c r="AV1005" i="2"/>
  <c r="AT1005" i="2" s="1"/>
  <c r="AZ100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<sst xmlns="http://schemas.openxmlformats.org/spreadsheetml/2006/main" count="170" uniqueCount="98">
  <si>
    <t>x</t>
  </si>
  <si>
    <t>y</t>
  </si>
  <si>
    <t>Incrément</t>
  </si>
  <si>
    <t>Rayon</t>
  </si>
  <si>
    <t>Conditions initiales de la simulation</t>
  </si>
  <si>
    <t>Représentation des conditions initiales</t>
  </si>
  <si>
    <t>Corps 1</t>
  </si>
  <si>
    <t>Corps 2</t>
  </si>
  <si>
    <t>Corps 3</t>
  </si>
  <si>
    <t>Paramètres généraux</t>
  </si>
  <si>
    <t>Angle</t>
  </si>
  <si>
    <t>t</t>
  </si>
  <si>
    <t>Vx</t>
  </si>
  <si>
    <t>Vy</t>
  </si>
  <si>
    <t>Ax</t>
  </si>
  <si>
    <t>Ay</t>
  </si>
  <si>
    <t>A1x</t>
  </si>
  <si>
    <t>A1y</t>
  </si>
  <si>
    <t>A2x</t>
  </si>
  <si>
    <t>A2y</t>
  </si>
  <si>
    <t>A3x</t>
  </si>
  <si>
    <t>A3y</t>
  </si>
  <si>
    <t>d1</t>
  </si>
  <si>
    <t>d2</t>
  </si>
  <si>
    <t>d3</t>
  </si>
  <si>
    <t>Base de temps</t>
  </si>
  <si>
    <t>seconde</t>
  </si>
  <si>
    <t>Coefficient de friction</t>
  </si>
  <si>
    <t>f</t>
  </si>
  <si>
    <t>mètre / seconde</t>
  </si>
  <si>
    <t>Ratio de la constante d'Aarseth</t>
  </si>
  <si>
    <t>Λ</t>
  </si>
  <si>
    <t>-</t>
  </si>
  <si>
    <t>Masse</t>
  </si>
  <si>
    <t>m</t>
  </si>
  <si>
    <t>gramme</t>
  </si>
  <si>
    <t>Position initiale</t>
  </si>
  <si>
    <r>
      <t>p</t>
    </r>
    <r>
      <rPr>
        <sz val="10"/>
        <color theme="1" tint="0.499984740745262"/>
        <rFont val="Calibri"/>
        <family val="2"/>
      </rPr>
      <t>₀․₀</t>
    </r>
  </si>
  <si>
    <t>mètre</t>
  </si>
  <si>
    <t>Vitesse initiale</t>
  </si>
  <si>
    <r>
      <t xml:space="preserve">v </t>
    </r>
    <r>
      <rPr>
        <i/>
        <sz val="10"/>
        <color theme="1" tint="0.499984740745262"/>
        <rFont val="Calibri"/>
        <family val="2"/>
        <scheme val="minor"/>
      </rPr>
      <t>₀․₀</t>
    </r>
  </si>
  <si>
    <t>Accélération initiale</t>
  </si>
  <si>
    <r>
      <t xml:space="preserve">a </t>
    </r>
    <r>
      <rPr>
        <i/>
        <sz val="10"/>
        <color theme="1" tint="0.499984740745262"/>
        <rFont val="Calibri"/>
        <family val="2"/>
        <scheme val="minor"/>
      </rPr>
      <t>₀․₀</t>
    </r>
  </si>
  <si>
    <r>
      <t>mètre / seconde</t>
    </r>
    <r>
      <rPr>
        <i/>
        <sz val="10"/>
        <color theme="1"/>
        <rFont val="Calibri"/>
        <family val="2"/>
      </rPr>
      <t>²</t>
    </r>
  </si>
  <si>
    <t>Dimension</t>
  </si>
  <si>
    <t>s</t>
  </si>
  <si>
    <t>Position</t>
  </si>
  <si>
    <r>
      <t>q₁</t>
    </r>
    <r>
      <rPr>
        <i/>
        <sz val="10"/>
        <color theme="1"/>
        <rFont val="Calibri"/>
        <family val="2"/>
      </rPr>
      <t>ₓ</t>
    </r>
  </si>
  <si>
    <r>
      <t xml:space="preserve">r </t>
    </r>
    <r>
      <rPr>
        <i/>
        <sz val="10"/>
        <color theme="1"/>
        <rFont val="Calibri"/>
        <family val="2"/>
      </rPr>
      <t>₁</t>
    </r>
  </si>
  <si>
    <t>Masse volumique moyenne</t>
  </si>
  <si>
    <t>ρ ₁</t>
  </si>
  <si>
    <r>
      <t>gramme / mètre</t>
    </r>
    <r>
      <rPr>
        <i/>
        <sz val="10"/>
        <color theme="1"/>
        <rFont val="Calibri"/>
        <family val="2"/>
      </rPr>
      <t>³</t>
    </r>
  </si>
  <si>
    <t>Volume</t>
  </si>
  <si>
    <t>V ₁</t>
  </si>
  <si>
    <r>
      <t>mètre</t>
    </r>
    <r>
      <rPr>
        <i/>
        <sz val="10"/>
        <color theme="0" tint="-0.499984740745262"/>
        <rFont val="Calibri"/>
        <family val="2"/>
      </rPr>
      <t>³</t>
    </r>
  </si>
  <si>
    <t>Masse totale</t>
  </si>
  <si>
    <t>M ₁</t>
  </si>
  <si>
    <t>Constante d'Aarseth</t>
  </si>
  <si>
    <t>λ ₁</t>
  </si>
  <si>
    <t>Attraction/Répulsion</t>
  </si>
  <si>
    <t>ω ₁</t>
  </si>
  <si>
    <t>Attraction</t>
  </si>
  <si>
    <r>
      <t>q</t>
    </r>
    <r>
      <rPr>
        <sz val="10"/>
        <color theme="1"/>
        <rFont val="Calibri"/>
        <family val="2"/>
      </rPr>
      <t>₂</t>
    </r>
    <r>
      <rPr>
        <i/>
        <sz val="10"/>
        <color theme="1"/>
        <rFont val="Calibri"/>
        <family val="2"/>
      </rPr>
      <t>ₓ</t>
    </r>
  </si>
  <si>
    <r>
      <t>V</t>
    </r>
    <r>
      <rPr>
        <sz val="10"/>
        <color theme="0" tint="-0.499984740745262"/>
        <rFont val="Calibri"/>
        <family val="2"/>
      </rPr>
      <t>₂</t>
    </r>
  </si>
  <si>
    <r>
      <t>M</t>
    </r>
    <r>
      <rPr>
        <sz val="10"/>
        <color theme="0" tint="-0.499984740745262"/>
        <rFont val="Calibri"/>
        <family val="2"/>
      </rPr>
      <t>₂</t>
    </r>
  </si>
  <si>
    <t>2 Pi</t>
  </si>
  <si>
    <r>
      <t>q</t>
    </r>
    <r>
      <rPr>
        <i/>
        <sz val="10"/>
        <color theme="1"/>
        <rFont val="Calibri"/>
        <family val="2"/>
      </rPr>
      <t>₃ₓ</t>
    </r>
  </si>
  <si>
    <t>r ₃</t>
  </si>
  <si>
    <t>ρ ₃</t>
  </si>
  <si>
    <t>V ₃</t>
  </si>
  <si>
    <t>M ₃</t>
  </si>
  <si>
    <t>λ ₃</t>
  </si>
  <si>
    <t>ω ₃</t>
  </si>
  <si>
    <t>r ₂</t>
  </si>
  <si>
    <t>ρ ₂</t>
  </si>
  <si>
    <t>ω ₂</t>
  </si>
  <si>
    <t>λ ₂</t>
  </si>
  <si>
    <t>Trois corps statiques (k)</t>
  </si>
  <si>
    <t>Vaisseau (j)</t>
  </si>
  <si>
    <t>Pxj</t>
  </si>
  <si>
    <t>Pyj</t>
  </si>
  <si>
    <t>Position finale</t>
  </si>
  <si>
    <t>Index</t>
  </si>
  <si>
    <t>Position x</t>
  </si>
  <si>
    <t>Position y</t>
  </si>
  <si>
    <t>Vaisseau</t>
  </si>
  <si>
    <t>Rayon path</t>
  </si>
  <si>
    <t>Vaisseau en</t>
  </si>
  <si>
    <t>mouvement</t>
  </si>
  <si>
    <t>Position (j) x</t>
  </si>
  <si>
    <t>Position (j) y</t>
  </si>
  <si>
    <t>Animation du graphique</t>
  </si>
  <si>
    <t>statique</t>
  </si>
  <si>
    <t>Rayon lune</t>
  </si>
  <si>
    <t>Position (l) x</t>
  </si>
  <si>
    <t>Position (l) y</t>
  </si>
  <si>
    <t>Lune (l)</t>
  </si>
  <si>
    <t>Lune 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</si>
</sst>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theme="1"/>
      <name val="Calibri"/>
      <family val="2"/>
    </font>
    <font>
      <b/>
      <i/>
      <sz val="10"/>
      <color theme="0" tint="-0.499984740745262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</font>
    <font>
      <i/>
      <sz val="10"/>
      <color theme="0" tint="-0.499984740745262"/>
      <name val="Calibri"/>
      <family val="2"/>
    </font>
    <font>
      <sz val="10"/>
      <color theme="0" tint="-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 tint="0.499984740745262"/>
      <name val="Calibri"/>
      <family val="2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color theme="1" tint="0.499984740745262"/>
      <name val="Calibri"/>
      <family val="2"/>
      <scheme val="minor"/>
    </font>
    <font>
      <sz val="10"/>
      <color rgb="FF000000"/>
      <name val="Calibri"/>
      <family val="2"/>
    </font>
    <font>
      <b/>
      <i/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CC0053"/>
        <bgColor indexed="64"/>
      </patternFill>
    </fill>
    <fill>
      <patternFill patternType="solid">
        <fgColor rgb="FF874B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71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theme="1" tint="4.9989318521683403E-2"/>
      </right>
      <top style="thin">
        <color theme="0"/>
      </top>
      <bottom style="thin">
        <color theme="1" tint="4.9989318521683403E-2"/>
      </bottom>
      <diagonal/>
    </border>
    <border>
      <left/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thin">
        <color theme="1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1"/>
      </right>
      <top style="thin">
        <color theme="0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theme="1"/>
      </right>
      <top style="thin">
        <color theme="0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14" fillId="3" borderId="18" xfId="0" applyFont="1" applyFill="1" applyBorder="1" applyAlignment="1">
      <alignment horizontal="center" vertical="center"/>
    </xf>
    <xf numFmtId="0" fontId="14" fillId="3" borderId="17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4" fillId="3" borderId="19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3" fillId="4" borderId="10" xfId="0" applyFont="1" applyFill="1" applyBorder="1" applyAlignment="1">
      <alignment horizontal="center" vertical="top"/>
    </xf>
    <xf numFmtId="0" fontId="3" fillId="6" borderId="0" xfId="0" applyFont="1" applyFill="1" applyAlignment="1">
      <alignment horizontal="center" vertical="center"/>
    </xf>
    <xf numFmtId="0" fontId="0" fillId="0" borderId="0" xfId="0" applyBorder="1"/>
    <xf numFmtId="0" fontId="0" fillId="0" borderId="0" xfId="0" applyFill="1"/>
    <xf numFmtId="0" fontId="10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top"/>
    </xf>
    <xf numFmtId="0" fontId="3" fillId="8" borderId="10" xfId="0" applyFont="1" applyFill="1" applyBorder="1" applyAlignment="1">
      <alignment horizontal="center" vertical="top"/>
    </xf>
    <xf numFmtId="0" fontId="10" fillId="2" borderId="0" xfId="0" applyFont="1" applyFill="1" applyAlignment="1">
      <alignment horizontal="left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0" fillId="0" borderId="19" xfId="0" applyBorder="1"/>
    <xf numFmtId="0" fontId="20" fillId="0" borderId="0" xfId="0" applyFont="1"/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" fillId="9" borderId="28" xfId="0" applyFont="1" applyFill="1" applyBorder="1" applyAlignment="1">
      <alignment horizontal="center" vertical="center"/>
    </xf>
    <xf numFmtId="0" fontId="2" fillId="10" borderId="29" xfId="0" applyFont="1" applyFill="1" applyBorder="1" applyAlignment="1">
      <alignment horizontal="center" vertical="center"/>
    </xf>
    <xf numFmtId="0" fontId="2" fillId="9" borderId="30" xfId="0" applyFont="1" applyFill="1" applyBorder="1" applyAlignment="1">
      <alignment horizontal="center"/>
    </xf>
    <xf numFmtId="0" fontId="2" fillId="10" borderId="31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164" fontId="0" fillId="9" borderId="43" xfId="0" applyNumberFormat="1" applyFill="1" applyBorder="1" applyAlignment="1">
      <alignment horizontal="center" vertical="center"/>
    </xf>
    <xf numFmtId="0" fontId="0" fillId="9" borderId="44" xfId="0" applyFill="1" applyBorder="1" applyAlignment="1">
      <alignment horizontal="center" vertical="center"/>
    </xf>
    <xf numFmtId="164" fontId="0" fillId="9" borderId="37" xfId="0" applyNumberFormat="1" applyFill="1" applyBorder="1" applyAlignment="1">
      <alignment horizontal="center" vertical="center"/>
    </xf>
    <xf numFmtId="164" fontId="0" fillId="9" borderId="45" xfId="0" applyNumberFormat="1" applyFill="1" applyBorder="1" applyAlignment="1">
      <alignment horizontal="center" vertical="center"/>
    </xf>
    <xf numFmtId="0" fontId="0" fillId="9" borderId="46" xfId="0" applyFill="1" applyBorder="1" applyAlignment="1">
      <alignment horizontal="center" vertical="center"/>
    </xf>
    <xf numFmtId="0" fontId="0" fillId="9" borderId="44" xfId="0" applyFill="1" applyBorder="1" applyAlignment="1">
      <alignment horizontal="center"/>
    </xf>
    <xf numFmtId="1" fontId="0" fillId="9" borderId="44" xfId="0" applyNumberFormat="1" applyFill="1" applyBorder="1" applyAlignment="1">
      <alignment horizontal="center"/>
    </xf>
    <xf numFmtId="1" fontId="0" fillId="9" borderId="33" xfId="0" applyNumberFormat="1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1" fontId="0" fillId="9" borderId="25" xfId="0" applyNumberFormat="1" applyFill="1" applyBorder="1" applyAlignment="1">
      <alignment horizontal="center"/>
    </xf>
    <xf numFmtId="1" fontId="0" fillId="9" borderId="34" xfId="0" applyNumberFormat="1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1" fontId="0" fillId="9" borderId="46" xfId="0" applyNumberFormat="1" applyFill="1" applyBorder="1" applyAlignment="1">
      <alignment horizontal="center"/>
    </xf>
    <xf numFmtId="1" fontId="0" fillId="9" borderId="42" xfId="0" applyNumberFormat="1" applyFill="1" applyBorder="1" applyAlignment="1">
      <alignment horizontal="center"/>
    </xf>
    <xf numFmtId="0" fontId="2" fillId="9" borderId="47" xfId="0" applyFont="1" applyFill="1" applyBorder="1" applyAlignment="1">
      <alignment horizontal="center" vertical="center"/>
    </xf>
    <xf numFmtId="0" fontId="20" fillId="0" borderId="0" xfId="0" applyFont="1" applyFill="1" applyBorder="1"/>
    <xf numFmtId="0" fontId="19" fillId="5" borderId="18" xfId="0" applyFont="1" applyFill="1" applyBorder="1" applyAlignment="1">
      <alignment horizontal="center"/>
    </xf>
    <xf numFmtId="0" fontId="19" fillId="5" borderId="17" xfId="0" applyFont="1" applyFill="1" applyBorder="1" applyAlignment="1">
      <alignment horizontal="center"/>
    </xf>
    <xf numFmtId="0" fontId="19" fillId="5" borderId="19" xfId="0" applyFont="1" applyFill="1" applyBorder="1" applyAlignment="1">
      <alignment horizontal="center"/>
    </xf>
    <xf numFmtId="0" fontId="3" fillId="2" borderId="0" xfId="0" applyFont="1" applyFill="1" applyBorder="1"/>
    <xf numFmtId="0" fontId="2" fillId="10" borderId="47" xfId="0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top"/>
    </xf>
    <xf numFmtId="0" fontId="3" fillId="2" borderId="6" xfId="0" applyFont="1" applyFill="1" applyBorder="1" applyAlignment="1">
      <alignment horizontal="left" vertical="center"/>
    </xf>
    <xf numFmtId="0" fontId="3" fillId="2" borderId="49" xfId="0" applyFont="1" applyFill="1" applyBorder="1" applyAlignment="1">
      <alignment horizontal="left" vertical="center"/>
    </xf>
    <xf numFmtId="0" fontId="3" fillId="2" borderId="50" xfId="0" applyFont="1" applyFill="1" applyBorder="1" applyAlignment="1">
      <alignment horizontal="left" vertical="center"/>
    </xf>
    <xf numFmtId="0" fontId="3" fillId="2" borderId="5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 indent="2"/>
    </xf>
    <xf numFmtId="0" fontId="7" fillId="3" borderId="5" xfId="0" applyFont="1" applyFill="1" applyBorder="1" applyAlignment="1">
      <alignment horizontal="left" vertical="center" indent="2"/>
    </xf>
    <xf numFmtId="0" fontId="4" fillId="3" borderId="7" xfId="0" applyFont="1" applyFill="1" applyBorder="1" applyAlignment="1">
      <alignment horizontal="left" indent="2"/>
    </xf>
    <xf numFmtId="0" fontId="4" fillId="3" borderId="5" xfId="0" applyFont="1" applyFill="1" applyBorder="1" applyAlignment="1">
      <alignment horizontal="left" indent="2"/>
    </xf>
    <xf numFmtId="0" fontId="4" fillId="3" borderId="6" xfId="0" applyFont="1" applyFill="1" applyBorder="1" applyAlignment="1">
      <alignment horizontal="left" vertical="center" indent="2"/>
    </xf>
    <xf numFmtId="0" fontId="4" fillId="3" borderId="2" xfId="0" applyFont="1" applyFill="1" applyBorder="1" applyAlignment="1">
      <alignment horizontal="left" vertical="center" indent="2"/>
    </xf>
    <xf numFmtId="0" fontId="4" fillId="3" borderId="7" xfId="0" applyFont="1" applyFill="1" applyBorder="1" applyAlignment="1">
      <alignment horizontal="left" vertical="center" indent="2"/>
    </xf>
    <xf numFmtId="0" fontId="4" fillId="3" borderId="5" xfId="0" applyFont="1" applyFill="1" applyBorder="1" applyAlignment="1">
      <alignment horizontal="left" vertical="center" indent="2"/>
    </xf>
    <xf numFmtId="0" fontId="4" fillId="3" borderId="13" xfId="0" applyFont="1" applyFill="1" applyBorder="1" applyAlignment="1">
      <alignment horizontal="left" vertical="center" indent="2"/>
    </xf>
    <xf numFmtId="0" fontId="4" fillId="3" borderId="15" xfId="0" applyFont="1" applyFill="1" applyBorder="1" applyAlignment="1">
      <alignment horizontal="left" vertical="center" indent="2"/>
    </xf>
    <xf numFmtId="0" fontId="3" fillId="4" borderId="0" xfId="0" applyFont="1" applyFill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8" borderId="2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0" xfId="0" applyFill="1"/>
    <xf numFmtId="0" fontId="2" fillId="9" borderId="23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/>
    </xf>
    <xf numFmtId="0" fontId="2" fillId="10" borderId="34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42" xfId="0" applyFont="1" applyFill="1" applyBorder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10" borderId="41" xfId="0" applyFont="1" applyFill="1" applyBorder="1" applyAlignment="1">
      <alignment horizontal="center" vertical="center"/>
    </xf>
    <xf numFmtId="0" fontId="2" fillId="10" borderId="42" xfId="0" applyFont="1" applyFill="1" applyBorder="1" applyAlignment="1">
      <alignment horizontal="center" vertical="center"/>
    </xf>
    <xf numFmtId="0" fontId="2" fillId="10" borderId="22" xfId="0" applyFont="1" applyFill="1" applyBorder="1" applyAlignment="1">
      <alignment horizontal="center" vertical="center"/>
    </xf>
    <xf numFmtId="0" fontId="2" fillId="10" borderId="3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2" fillId="9" borderId="52" xfId="0" applyFont="1" applyFill="1" applyBorder="1" applyAlignment="1">
      <alignment horizontal="center" vertical="center"/>
    </xf>
    <xf numFmtId="0" fontId="2" fillId="9" borderId="31" xfId="0" applyFont="1" applyFill="1" applyBorder="1" applyAlignment="1">
      <alignment horizontal="center" vertical="center"/>
    </xf>
    <xf numFmtId="0" fontId="2" fillId="10" borderId="52" xfId="0" applyFont="1" applyFill="1" applyBorder="1" applyAlignment="1">
      <alignment horizontal="center" vertical="center"/>
    </xf>
    <xf numFmtId="0" fontId="2" fillId="10" borderId="53" xfId="0" applyFont="1" applyFill="1" applyBorder="1" applyAlignment="1">
      <alignment horizontal="center" vertical="center"/>
    </xf>
    <xf numFmtId="0" fontId="2" fillId="10" borderId="3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35" xfId="0" applyFont="1" applyFill="1" applyBorder="1" applyAlignment="1">
      <alignment horizontal="center" vertical="center"/>
    </xf>
    <xf numFmtId="0" fontId="2" fillId="10" borderId="24" xfId="0" applyFont="1" applyFill="1" applyBorder="1" applyAlignment="1">
      <alignment horizontal="center" vertical="center"/>
    </xf>
    <xf numFmtId="0" fontId="2" fillId="9" borderId="37" xfId="0" applyFont="1" applyFill="1" applyBorder="1"/>
    <xf numFmtId="0" fontId="2" fillId="9" borderId="25" xfId="0" applyFont="1" applyFill="1" applyBorder="1" applyAlignment="1">
      <alignment horizontal="center" vertical="center"/>
    </xf>
    <xf numFmtId="0" fontId="2" fillId="10" borderId="37" xfId="0" applyFont="1" applyFill="1" applyBorder="1"/>
    <xf numFmtId="0" fontId="2" fillId="10" borderId="25" xfId="0" applyFont="1" applyFill="1" applyBorder="1" applyAlignment="1">
      <alignment horizontal="center" vertical="center"/>
    </xf>
    <xf numFmtId="0" fontId="2" fillId="9" borderId="38" xfId="0" applyFont="1" applyFill="1" applyBorder="1"/>
    <xf numFmtId="0" fontId="2" fillId="9" borderId="26" xfId="0" applyFont="1" applyFill="1" applyBorder="1" applyAlignment="1">
      <alignment horizontal="center" vertical="center"/>
    </xf>
    <xf numFmtId="0" fontId="2" fillId="9" borderId="39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22" fillId="0" borderId="54" xfId="0" applyFont="1" applyBorder="1" applyAlignment="1">
      <alignment horizontal="center"/>
    </xf>
    <xf numFmtId="0" fontId="22" fillId="0" borderId="55" xfId="0" applyFont="1" applyBorder="1" applyAlignment="1">
      <alignment horizontal="center" vertical="center"/>
    </xf>
    <xf numFmtId="0" fontId="23" fillId="0" borderId="54" xfId="0" applyFont="1" applyBorder="1" applyAlignment="1">
      <alignment horizontal="center"/>
    </xf>
    <xf numFmtId="0" fontId="3" fillId="4" borderId="9" xfId="0" applyFont="1" applyFill="1" applyBorder="1" applyAlignment="1">
      <alignment horizontal="left" vertical="center"/>
    </xf>
    <xf numFmtId="0" fontId="3" fillId="8" borderId="9" xfId="0" applyFont="1" applyFill="1" applyBorder="1" applyAlignment="1">
      <alignment horizontal="left" vertical="center"/>
    </xf>
    <xf numFmtId="0" fontId="3" fillId="7" borderId="56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0" fontId="10" fillId="2" borderId="57" xfId="0" applyFont="1" applyFill="1" applyBorder="1" applyAlignment="1">
      <alignment horizontal="left"/>
    </xf>
    <xf numFmtId="0" fontId="10" fillId="7" borderId="58" xfId="0" applyFont="1" applyFill="1" applyBorder="1" applyAlignment="1">
      <alignment horizontal="left"/>
    </xf>
    <xf numFmtId="0" fontId="5" fillId="3" borderId="59" xfId="0" applyFont="1" applyFill="1" applyBorder="1" applyAlignment="1">
      <alignment horizontal="center"/>
    </xf>
    <xf numFmtId="0" fontId="5" fillId="3" borderId="60" xfId="0" applyFont="1" applyFill="1" applyBorder="1" applyAlignment="1">
      <alignment horizontal="center"/>
    </xf>
    <xf numFmtId="0" fontId="8" fillId="3" borderId="60" xfId="0" applyFont="1" applyFill="1" applyBorder="1" applyAlignment="1">
      <alignment horizontal="center" vertical="center"/>
    </xf>
    <xf numFmtId="0" fontId="2" fillId="3" borderId="61" xfId="0" applyFont="1" applyFill="1" applyBorder="1" applyAlignment="1">
      <alignment horizontal="center" vertical="center"/>
    </xf>
    <xf numFmtId="0" fontId="10" fillId="8" borderId="62" xfId="0" applyFont="1" applyFill="1" applyBorder="1" applyAlignment="1">
      <alignment horizontal="left"/>
    </xf>
    <xf numFmtId="0" fontId="2" fillId="3" borderId="63" xfId="0" applyFont="1" applyFill="1" applyBorder="1" applyAlignment="1">
      <alignment horizontal="center" vertical="center"/>
    </xf>
    <xf numFmtId="0" fontId="10" fillId="4" borderId="62" xfId="0" applyFont="1" applyFill="1" applyBorder="1" applyAlignment="1">
      <alignment horizontal="left"/>
    </xf>
    <xf numFmtId="0" fontId="4" fillId="3" borderId="64" xfId="0" applyFont="1" applyFill="1" applyBorder="1" applyAlignment="1">
      <alignment horizontal="left" vertical="center" indent="2"/>
    </xf>
    <xf numFmtId="0" fontId="4" fillId="3" borderId="65" xfId="0" applyFont="1" applyFill="1" applyBorder="1" applyAlignment="1">
      <alignment horizontal="left" vertical="center" indent="2"/>
    </xf>
    <xf numFmtId="0" fontId="6" fillId="3" borderId="66" xfId="0" applyFont="1" applyFill="1" applyBorder="1" applyAlignment="1">
      <alignment horizontal="center" vertical="center"/>
    </xf>
    <xf numFmtId="0" fontId="2" fillId="3" borderId="64" xfId="0" applyFont="1" applyFill="1" applyBorder="1" applyAlignment="1">
      <alignment horizontal="center"/>
    </xf>
    <xf numFmtId="0" fontId="2" fillId="3" borderId="66" xfId="0" applyFont="1" applyFill="1" applyBorder="1" applyAlignment="1">
      <alignment horizontal="center"/>
    </xf>
    <xf numFmtId="0" fontId="2" fillId="3" borderId="67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left" vertical="center"/>
    </xf>
    <xf numFmtId="0" fontId="10" fillId="2" borderId="57" xfId="0" applyFont="1" applyFill="1" applyBorder="1" applyAlignment="1">
      <alignment horizontal="left" vertical="center"/>
    </xf>
    <xf numFmtId="0" fontId="5" fillId="3" borderId="68" xfId="0" applyFont="1" applyFill="1" applyBorder="1" applyAlignment="1">
      <alignment horizontal="center" vertical="center"/>
    </xf>
    <xf numFmtId="0" fontId="5" fillId="3" borderId="63" xfId="0" applyFont="1" applyFill="1" applyBorder="1" applyAlignment="1">
      <alignment horizontal="center" vertical="center"/>
    </xf>
    <xf numFmtId="0" fontId="4" fillId="3" borderId="64" xfId="0" applyFont="1" applyFill="1" applyBorder="1" applyAlignment="1">
      <alignment horizontal="left" indent="2"/>
    </xf>
    <xf numFmtId="0" fontId="4" fillId="3" borderId="65" xfId="0" applyFont="1" applyFill="1" applyBorder="1" applyAlignment="1">
      <alignment horizontal="left" indent="2"/>
    </xf>
    <xf numFmtId="0" fontId="5" fillId="3" borderId="69" xfId="0" applyFont="1" applyFill="1" applyBorder="1" applyAlignment="1">
      <alignment horizontal="center"/>
    </xf>
    <xf numFmtId="0" fontId="2" fillId="3" borderId="64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5" fillId="3" borderId="67" xfId="0" applyFont="1" applyFill="1" applyBorder="1" applyAlignment="1">
      <alignment horizontal="center" vertical="center"/>
    </xf>
    <xf numFmtId="0" fontId="1" fillId="3" borderId="7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" fillId="11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53"/>
      <color rgb="FF00FF00"/>
      <color rgb="FF0000FF"/>
      <color rgb="FF874BFF"/>
      <color rgb="FF00CC00"/>
      <color rgb="FFFF0066"/>
      <color rgb="FFFF217B"/>
      <color rgb="FFE39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48715987195986E-2"/>
          <c:y val="2.8635415371437257E-2"/>
          <c:w val="0.89020195967685911"/>
          <c:h val="0.933508086618051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Tableau!$AB$3</c:f>
              <c:strCache>
                <c:ptCount val="1"/>
                <c:pt idx="0">
                  <c:v>Corps 1</c:v>
                </c:pt>
              </c:strCache>
            </c:strRef>
          </c:tx>
          <c:spPr>
            <a:ln w="19050" cap="rnd">
              <a:solidFill>
                <a:srgbClr val="CC0053"/>
              </a:solidFill>
              <a:round/>
            </a:ln>
            <a:effectLst/>
          </c:spPr>
          <c:marker>
            <c:symbol val="none"/>
          </c:marker>
          <c:xVal>
            <c:numRef>
              <c:f>Tableau!$AC$5:$AC$30</c:f>
              <c:numCache>
                <c:formatCode>General</c:formatCode>
                <c:ptCount val="26"/>
                <c:pt idx="0">
                  <c:v>25000</c:v>
                </c:pt>
                <c:pt idx="1">
                  <c:v>24842.915805643155</c:v>
                </c:pt>
                <c:pt idx="2">
                  <c:v>24381.533400219319</c:v>
                </c:pt>
                <c:pt idx="3">
                  <c:v>23644.843137107058</c:v>
                </c:pt>
                <c:pt idx="4">
                  <c:v>22679.133974894983</c:v>
                </c:pt>
                <c:pt idx="5">
                  <c:v>21545.084971874738</c:v>
                </c:pt>
                <c:pt idx="6">
                  <c:v>20313.952597646567</c:v>
                </c:pt>
                <c:pt idx="7">
                  <c:v>19063.093427071377</c:v>
                </c:pt>
                <c:pt idx="8">
                  <c:v>17871.103542174635</c:v>
                </c:pt>
                <c:pt idx="9">
                  <c:v>16812.88005125655</c:v>
                </c:pt>
                <c:pt idx="10">
                  <c:v>15954.915028125262</c:v>
                </c:pt>
                <c:pt idx="11">
                  <c:v>15351.117570558743</c:v>
                </c:pt>
                <c:pt idx="12">
                  <c:v>15039.426493427611</c:v>
                </c:pt>
                <c:pt idx="13">
                  <c:v>15039.426493427611</c:v>
                </c:pt>
                <c:pt idx="14">
                  <c:v>15351.117570558745</c:v>
                </c:pt>
                <c:pt idx="15">
                  <c:v>15954.915028125264</c:v>
                </c:pt>
                <c:pt idx="16">
                  <c:v>16812.88005125655</c:v>
                </c:pt>
                <c:pt idx="17">
                  <c:v>17871.103542174638</c:v>
                </c:pt>
                <c:pt idx="18">
                  <c:v>19063.093427071377</c:v>
                </c:pt>
                <c:pt idx="19">
                  <c:v>20313.95259764657</c:v>
                </c:pt>
                <c:pt idx="20">
                  <c:v>21545.084971874738</c:v>
                </c:pt>
                <c:pt idx="21">
                  <c:v>22679.133974894983</c:v>
                </c:pt>
                <c:pt idx="22">
                  <c:v>23644.843137107058</c:v>
                </c:pt>
                <c:pt idx="23">
                  <c:v>24381.533400219319</c:v>
                </c:pt>
                <c:pt idx="24">
                  <c:v>24842.915805643155</c:v>
                </c:pt>
                <c:pt idx="25">
                  <c:v>25000</c:v>
                </c:pt>
              </c:numCache>
            </c:numRef>
          </c:xVal>
          <c:yVal>
            <c:numRef>
              <c:f>Tableau!$AD$5:$AD$30</c:f>
              <c:numCache>
                <c:formatCode>General</c:formatCode>
                <c:ptCount val="26"/>
                <c:pt idx="0">
                  <c:v>7500</c:v>
                </c:pt>
                <c:pt idx="1">
                  <c:v>8743.4494358242737</c:v>
                </c:pt>
                <c:pt idx="2">
                  <c:v>9908.7683705085765</c:v>
                </c:pt>
                <c:pt idx="3">
                  <c:v>10922.735529643443</c:v>
                </c:pt>
                <c:pt idx="4">
                  <c:v>11721.639627510074</c:v>
                </c:pt>
                <c:pt idx="5">
                  <c:v>12255.282581475767</c:v>
                </c:pt>
                <c:pt idx="6">
                  <c:v>12490.133642141358</c:v>
                </c:pt>
                <c:pt idx="7">
                  <c:v>12411.436253643442</c:v>
                </c:pt>
                <c:pt idx="8">
                  <c:v>12024.135262330097</c:v>
                </c:pt>
                <c:pt idx="9">
                  <c:v>11352.566213878947</c:v>
                </c:pt>
                <c:pt idx="10">
                  <c:v>10438.926261462366</c:v>
                </c:pt>
                <c:pt idx="11">
                  <c:v>9340.6227634233892</c:v>
                </c:pt>
                <c:pt idx="12">
                  <c:v>8126.6661678215205</c:v>
                </c:pt>
                <c:pt idx="13">
                  <c:v>6873.3338321784786</c:v>
                </c:pt>
                <c:pt idx="14">
                  <c:v>5659.377236576609</c:v>
                </c:pt>
                <c:pt idx="15">
                  <c:v>4561.0737385376333</c:v>
                </c:pt>
                <c:pt idx="16">
                  <c:v>3647.4337861210533</c:v>
                </c:pt>
                <c:pt idx="17">
                  <c:v>2975.8647376699009</c:v>
                </c:pt>
                <c:pt idx="18">
                  <c:v>2588.5637463565563</c:v>
                </c:pt>
                <c:pt idx="19">
                  <c:v>2509.866357858642</c:v>
                </c:pt>
                <c:pt idx="20">
                  <c:v>2744.717418524232</c:v>
                </c:pt>
                <c:pt idx="21">
                  <c:v>3278.3603724899249</c:v>
                </c:pt>
                <c:pt idx="22">
                  <c:v>4077.2644703565584</c:v>
                </c:pt>
                <c:pt idx="23">
                  <c:v>5091.2316294914235</c:v>
                </c:pt>
                <c:pt idx="24">
                  <c:v>6256.5505641757272</c:v>
                </c:pt>
                <c:pt idx="25">
                  <c:v>7500.0000000000036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9B-4741-A0A1-99FC2642ED33}"/>
            </c:ext>
          </c:extLst>
        </c:ser>
        <c:ser>
          <c:idx val="1"/>
          <c:order val="1"/>
          <c:tx>
            <c:strRef>
              <c:f>Tableau!$AF$3</c:f>
              <c:strCache>
                <c:ptCount val="1"/>
                <c:pt idx="0">
                  <c:v>Corps 2</c:v>
                </c:pt>
              </c:strCache>
            </c:strRef>
          </c:tx>
          <c:spPr>
            <a:ln w="19050" cap="rnd">
              <a:solidFill>
                <a:srgbClr val="874BFF"/>
              </a:solidFill>
              <a:round/>
            </a:ln>
            <a:effectLst/>
          </c:spPr>
          <c:marker>
            <c:symbol val="none"/>
          </c:marker>
          <c:xVal>
            <c:numRef>
              <c:f>Tableau!$AG$5:$AG$30</c:f>
              <c:numCache>
                <c:formatCode>General</c:formatCode>
                <c:ptCount val="26"/>
                <c:pt idx="0">
                  <c:v>-16500</c:v>
                </c:pt>
                <c:pt idx="1">
                  <c:v>-16609.958936049792</c:v>
                </c:pt>
                <c:pt idx="2">
                  <c:v>-16932.926619846476</c:v>
                </c:pt>
                <c:pt idx="3">
                  <c:v>-17448.609804025058</c:v>
                </c:pt>
                <c:pt idx="4">
                  <c:v>-18124.606217573513</c:v>
                </c:pt>
                <c:pt idx="5">
                  <c:v>-18918.440519687683</c:v>
                </c:pt>
                <c:pt idx="6">
                  <c:v>-19780.233181647403</c:v>
                </c:pt>
                <c:pt idx="7">
                  <c:v>-20655.834601050035</c:v>
                </c:pt>
                <c:pt idx="8">
                  <c:v>-21490.227520477754</c:v>
                </c:pt>
                <c:pt idx="9">
                  <c:v>-22230.983964120413</c:v>
                </c:pt>
                <c:pt idx="10">
                  <c:v>-22831.559480312317</c:v>
                </c:pt>
                <c:pt idx="11">
                  <c:v>-23254.217700608879</c:v>
                </c:pt>
                <c:pt idx="12">
                  <c:v>-23472.401454600673</c:v>
                </c:pt>
                <c:pt idx="13">
                  <c:v>-23472.401454600673</c:v>
                </c:pt>
                <c:pt idx="14">
                  <c:v>-23254.217700608879</c:v>
                </c:pt>
                <c:pt idx="15">
                  <c:v>-22831.559480312317</c:v>
                </c:pt>
                <c:pt idx="16">
                  <c:v>-22230.983964120413</c:v>
                </c:pt>
                <c:pt idx="17">
                  <c:v>-21490.227520477754</c:v>
                </c:pt>
                <c:pt idx="18">
                  <c:v>-20655.834601050035</c:v>
                </c:pt>
                <c:pt idx="19">
                  <c:v>-19780.233181647403</c:v>
                </c:pt>
                <c:pt idx="20">
                  <c:v>-18918.440519687683</c:v>
                </c:pt>
                <c:pt idx="21">
                  <c:v>-18124.60621757351</c:v>
                </c:pt>
                <c:pt idx="22">
                  <c:v>-17448.609804025058</c:v>
                </c:pt>
                <c:pt idx="23">
                  <c:v>-16932.926619846476</c:v>
                </c:pt>
                <c:pt idx="24">
                  <c:v>-16609.958936049792</c:v>
                </c:pt>
                <c:pt idx="25">
                  <c:v>-16500</c:v>
                </c:pt>
              </c:numCache>
            </c:numRef>
          </c:xVal>
          <c:yVal>
            <c:numRef>
              <c:f>Tableau!$AH$5:$AH$30</c:f>
              <c:numCache>
                <c:formatCode>General</c:formatCode>
                <c:ptCount val="26"/>
                <c:pt idx="0">
                  <c:v>10000</c:v>
                </c:pt>
                <c:pt idx="1">
                  <c:v>10870.414605076992</c:v>
                </c:pt>
                <c:pt idx="2">
                  <c:v>11686.137859356004</c:v>
                </c:pt>
                <c:pt idx="3">
                  <c:v>12395.91487075041</c:v>
                </c:pt>
                <c:pt idx="4">
                  <c:v>12955.147739257052</c:v>
                </c:pt>
                <c:pt idx="5">
                  <c:v>13328.697807033037</c:v>
                </c:pt>
                <c:pt idx="6">
                  <c:v>13493.09354949895</c:v>
                </c:pt>
                <c:pt idx="7">
                  <c:v>13438.005377550409</c:v>
                </c:pt>
                <c:pt idx="8">
                  <c:v>13166.894683631068</c:v>
                </c:pt>
                <c:pt idx="9">
                  <c:v>12696.796349715263</c:v>
                </c:pt>
                <c:pt idx="10">
                  <c:v>12057.248383023656</c:v>
                </c:pt>
                <c:pt idx="11">
                  <c:v>11288.435934396372</c:v>
                </c:pt>
                <c:pt idx="12">
                  <c:v>10438.666317475065</c:v>
                </c:pt>
                <c:pt idx="13">
                  <c:v>9561.3336825249353</c:v>
                </c:pt>
                <c:pt idx="14">
                  <c:v>8711.5640656036267</c:v>
                </c:pt>
                <c:pt idx="15">
                  <c:v>7942.751616976343</c:v>
                </c:pt>
                <c:pt idx="16">
                  <c:v>7303.2036502847368</c:v>
                </c:pt>
                <c:pt idx="17">
                  <c:v>6833.1053163689303</c:v>
                </c:pt>
                <c:pt idx="18">
                  <c:v>6561.9946224495889</c:v>
                </c:pt>
                <c:pt idx="19">
                  <c:v>6506.9064505010501</c:v>
                </c:pt>
                <c:pt idx="20">
                  <c:v>6671.3021929669621</c:v>
                </c:pt>
                <c:pt idx="21">
                  <c:v>7044.8522607429477</c:v>
                </c:pt>
                <c:pt idx="22">
                  <c:v>7604.0851292495909</c:v>
                </c:pt>
                <c:pt idx="23">
                  <c:v>8313.8621406439961</c:v>
                </c:pt>
                <c:pt idx="24">
                  <c:v>9129.5853949230095</c:v>
                </c:pt>
                <c:pt idx="25">
                  <c:v>10000.000000000002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9B-4741-A0A1-99FC2642ED33}"/>
            </c:ext>
          </c:extLst>
        </c:ser>
        <c:ser>
          <c:idx val="2"/>
          <c:order val="2"/>
          <c:tx>
            <c:strRef>
              <c:f>Tableau!$AJ$3</c:f>
              <c:strCache>
                <c:ptCount val="1"/>
                <c:pt idx="0">
                  <c:v>Corps 3</c:v>
                </c:pt>
              </c:strCache>
            </c:strRef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Tableau!$AK$5:$AK$30</c:f>
              <c:numCache>
                <c:formatCode>General</c:formatCode>
                <c:ptCount val="26"/>
                <c:pt idx="0">
                  <c:v>0</c:v>
                </c:pt>
                <c:pt idx="1">
                  <c:v>-157.08419435684482</c:v>
                </c:pt>
                <c:pt idx="2">
                  <c:v>-618.46659978068237</c:v>
                </c:pt>
                <c:pt idx="3">
                  <c:v>-1355.1568628929422</c:v>
                </c:pt>
                <c:pt idx="4">
                  <c:v>-2320.8660251050173</c:v>
                </c:pt>
                <c:pt idx="5">
                  <c:v>-3454.9150281252628</c:v>
                </c:pt>
                <c:pt idx="6">
                  <c:v>-4686.0474023534334</c:v>
                </c:pt>
                <c:pt idx="7">
                  <c:v>-5936.906572928624</c:v>
                </c:pt>
                <c:pt idx="8">
                  <c:v>-7128.8964578253635</c:v>
                </c:pt>
                <c:pt idx="9">
                  <c:v>-8187.1199487434487</c:v>
                </c:pt>
                <c:pt idx="10">
                  <c:v>-9045.0849718747377</c:v>
                </c:pt>
                <c:pt idx="11">
                  <c:v>-9648.882429441257</c:v>
                </c:pt>
                <c:pt idx="12">
                  <c:v>-9960.5735065723893</c:v>
                </c:pt>
                <c:pt idx="13">
                  <c:v>-9960.5735065723893</c:v>
                </c:pt>
                <c:pt idx="14">
                  <c:v>-9648.8824294412552</c:v>
                </c:pt>
                <c:pt idx="15">
                  <c:v>-9045.0849718747359</c:v>
                </c:pt>
                <c:pt idx="16">
                  <c:v>-8187.1199487434478</c:v>
                </c:pt>
                <c:pt idx="17">
                  <c:v>-7128.8964578253608</c:v>
                </c:pt>
                <c:pt idx="18">
                  <c:v>-5936.9065729286231</c:v>
                </c:pt>
                <c:pt idx="19">
                  <c:v>-4686.0474023534316</c:v>
                </c:pt>
                <c:pt idx="20">
                  <c:v>-3454.9150281252641</c:v>
                </c:pt>
                <c:pt idx="21">
                  <c:v>-2320.866025105016</c:v>
                </c:pt>
                <c:pt idx="22">
                  <c:v>-1355.1568628929404</c:v>
                </c:pt>
                <c:pt idx="23">
                  <c:v>-618.46659978068237</c:v>
                </c:pt>
                <c:pt idx="24">
                  <c:v>-157.08419435684391</c:v>
                </c:pt>
                <c:pt idx="25">
                  <c:v>0</c:v>
                </c:pt>
              </c:numCache>
            </c:numRef>
          </c:xVal>
          <c:yVal>
            <c:numRef>
              <c:f>Tableau!$AL$5:$AL$30</c:f>
              <c:numCache>
                <c:formatCode>General</c:formatCode>
                <c:ptCount val="26"/>
                <c:pt idx="0">
                  <c:v>-15000</c:v>
                </c:pt>
                <c:pt idx="1">
                  <c:v>-13756.550564175726</c:v>
                </c:pt>
                <c:pt idx="2">
                  <c:v>-12591.231629491424</c:v>
                </c:pt>
                <c:pt idx="3">
                  <c:v>-11577.264470356557</c:v>
                </c:pt>
                <c:pt idx="4">
                  <c:v>-10778.360372489926</c:v>
                </c:pt>
                <c:pt idx="5">
                  <c:v>-10244.717418524233</c:v>
                </c:pt>
                <c:pt idx="6">
                  <c:v>-10009.866357858642</c:v>
                </c:pt>
                <c:pt idx="7">
                  <c:v>-10088.563746356558</c:v>
                </c:pt>
                <c:pt idx="8">
                  <c:v>-10475.864737669903</c:v>
                </c:pt>
                <c:pt idx="9">
                  <c:v>-11147.433786121053</c:v>
                </c:pt>
                <c:pt idx="10">
                  <c:v>-12061.073738537634</c:v>
                </c:pt>
                <c:pt idx="11">
                  <c:v>-13159.377236576611</c:v>
                </c:pt>
                <c:pt idx="12">
                  <c:v>-14373.333832178479</c:v>
                </c:pt>
                <c:pt idx="13">
                  <c:v>-15626.666167821521</c:v>
                </c:pt>
                <c:pt idx="14">
                  <c:v>-16840.622763423391</c:v>
                </c:pt>
                <c:pt idx="15">
                  <c:v>-17938.926261462366</c:v>
                </c:pt>
                <c:pt idx="16">
                  <c:v>-18852.566213878948</c:v>
                </c:pt>
                <c:pt idx="17">
                  <c:v>-19524.135262330099</c:v>
                </c:pt>
                <c:pt idx="18">
                  <c:v>-19911.436253643442</c:v>
                </c:pt>
                <c:pt idx="19">
                  <c:v>-19990.133642141358</c:v>
                </c:pt>
                <c:pt idx="20">
                  <c:v>-19755.282581475767</c:v>
                </c:pt>
                <c:pt idx="21">
                  <c:v>-19221.639627510074</c:v>
                </c:pt>
                <c:pt idx="22">
                  <c:v>-18422.73552964344</c:v>
                </c:pt>
                <c:pt idx="23">
                  <c:v>-17408.768370508576</c:v>
                </c:pt>
                <c:pt idx="24">
                  <c:v>-16243.449435824272</c:v>
                </c:pt>
                <c:pt idx="25">
                  <c:v>-14999.999999999996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9B-4741-A0A1-99FC2642ED33}"/>
            </c:ext>
          </c:extLst>
        </c:ser>
        <c:ser>
          <c:idx val="3"/>
          <c:order val="3"/>
          <c:tx>
            <c:v>Vaisseau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39AA-4304-A401-BA240F11AA0F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9AA-4304-A401-BA240F11AA0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AA-4304-A401-BA240F11AA0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AA-4304-A401-BA240F11AA0F}"/>
              </c:ext>
            </c:extLst>
          </c:dPt>
          <c:xVal>
            <c:numRef>
              <c:f>Tableau!$BG$9:$BG$12</c:f>
              <c:numCache>
                <c:formatCode>General</c:formatCode>
                <c:ptCount val="4"/>
                <c:pt idx="0">
                  <c:v>2500</c:v>
                </c:pt>
                <c:pt idx="1">
                  <c:v>0</c:v>
                </c:pt>
                <c:pt idx="2">
                  <c:v>-2500</c:v>
                </c:pt>
                <c:pt idx="3">
                  <c:v>2500</c:v>
                </c:pt>
              </c:numCache>
            </c:numRef>
          </c:xVal>
          <c:yVal>
            <c:numRef>
              <c:f>Tableau!$BH$9:$BH$12</c:f>
              <c:numCache>
                <c:formatCode>General</c:formatCode>
                <c:ptCount val="4"/>
                <c:pt idx="0">
                  <c:v>-2500</c:v>
                </c:pt>
                <c:pt idx="1">
                  <c:v>2500</c:v>
                </c:pt>
                <c:pt idx="2">
                  <c:v>-2500</c:v>
                </c:pt>
                <c:pt idx="3">
                  <c:v>-2500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A-4304-A401-BA240F11AA0F}"/>
            </c:ext>
          </c:extLst>
        </c:ser>
        <c:ser>
          <c:idx val="5"/>
          <c:order val="4"/>
          <c:tx>
            <c:v>Lune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Tableau!$BG$19:$BG$44</c:f>
              <c:numCache>
                <c:formatCode>General</c:formatCode>
                <c:ptCount val="26"/>
                <c:pt idx="0">
                  <c:v>-11500</c:v>
                </c:pt>
                <c:pt idx="1">
                  <c:v>-11531.41683887137</c:v>
                </c:pt>
                <c:pt idx="2">
                  <c:v>-11623.693319956137</c:v>
                </c:pt>
                <c:pt idx="3">
                  <c:v>-11771.031372578589</c:v>
                </c:pt>
                <c:pt idx="4">
                  <c:v>-11964.173205021003</c:v>
                </c:pt>
                <c:pt idx="5">
                  <c:v>-12190.983005625052</c:v>
                </c:pt>
                <c:pt idx="6">
                  <c:v>-12437.209480470687</c:v>
                </c:pt>
                <c:pt idx="7">
                  <c:v>-12687.381314585726</c:v>
                </c:pt>
                <c:pt idx="8">
                  <c:v>-12925.779291565073</c:v>
                </c:pt>
                <c:pt idx="9">
                  <c:v>-13137.42398974869</c:v>
                </c:pt>
                <c:pt idx="10">
                  <c:v>-13309.016994374948</c:v>
                </c:pt>
                <c:pt idx="11">
                  <c:v>-13429.776485888251</c:v>
                </c:pt>
                <c:pt idx="12">
                  <c:v>-13492.114701314478</c:v>
                </c:pt>
                <c:pt idx="13">
                  <c:v>-13492.114701314478</c:v>
                </c:pt>
                <c:pt idx="14">
                  <c:v>-13429.776485888251</c:v>
                </c:pt>
                <c:pt idx="15">
                  <c:v>-13309.016994374948</c:v>
                </c:pt>
                <c:pt idx="16">
                  <c:v>-13137.42398974869</c:v>
                </c:pt>
                <c:pt idx="17">
                  <c:v>-12925.779291565072</c:v>
                </c:pt>
                <c:pt idx="18">
                  <c:v>-12687.381314585724</c:v>
                </c:pt>
                <c:pt idx="19">
                  <c:v>-12437.209480470687</c:v>
                </c:pt>
                <c:pt idx="20">
                  <c:v>-12190.983005625052</c:v>
                </c:pt>
                <c:pt idx="21">
                  <c:v>-11964.173205021003</c:v>
                </c:pt>
                <c:pt idx="22">
                  <c:v>-11771.031372578589</c:v>
                </c:pt>
                <c:pt idx="23">
                  <c:v>-11623.693319956137</c:v>
                </c:pt>
                <c:pt idx="24">
                  <c:v>-11531.41683887137</c:v>
                </c:pt>
                <c:pt idx="25">
                  <c:v>-11500</c:v>
                </c:pt>
              </c:numCache>
            </c:numRef>
          </c:xVal>
          <c:yVal>
            <c:numRef>
              <c:f>Tableau!$BH$19:$BH$44</c:f>
              <c:numCache>
                <c:formatCode>General</c:formatCode>
                <c:ptCount val="26"/>
                <c:pt idx="0">
                  <c:v>10000</c:v>
                </c:pt>
                <c:pt idx="1">
                  <c:v>10248.689887164855</c:v>
                </c:pt>
                <c:pt idx="2">
                  <c:v>10481.753674101716</c:v>
                </c:pt>
                <c:pt idx="3">
                  <c:v>10684.547105928688</c:v>
                </c:pt>
                <c:pt idx="4">
                  <c:v>10844.327925502015</c:v>
                </c:pt>
                <c:pt idx="5">
                  <c:v>10951.056516295153</c:v>
                </c:pt>
                <c:pt idx="6">
                  <c:v>10998.026728428271</c:v>
                </c:pt>
                <c:pt idx="7">
                  <c:v>10982.287250728688</c:v>
                </c:pt>
                <c:pt idx="8">
                  <c:v>10904.82705246602</c:v>
                </c:pt>
                <c:pt idx="9">
                  <c:v>10770.513242775789</c:v>
                </c:pt>
                <c:pt idx="10">
                  <c:v>10587.785252292473</c:v>
                </c:pt>
                <c:pt idx="11">
                  <c:v>10368.124552684678</c:v>
                </c:pt>
                <c:pt idx="12">
                  <c:v>10125.333233564304</c:v>
                </c:pt>
                <c:pt idx="13">
                  <c:v>9874.6667664356955</c:v>
                </c:pt>
                <c:pt idx="14">
                  <c:v>9631.8754473153222</c:v>
                </c:pt>
                <c:pt idx="15">
                  <c:v>9412.2147477075268</c:v>
                </c:pt>
                <c:pt idx="16">
                  <c:v>9229.486757224211</c:v>
                </c:pt>
                <c:pt idx="17">
                  <c:v>9095.1729475339798</c:v>
                </c:pt>
                <c:pt idx="18">
                  <c:v>9017.7127492713116</c:v>
                </c:pt>
                <c:pt idx="19">
                  <c:v>9001.9732715717291</c:v>
                </c:pt>
                <c:pt idx="20">
                  <c:v>9048.9434837048466</c:v>
                </c:pt>
                <c:pt idx="21">
                  <c:v>9155.6720744979848</c:v>
                </c:pt>
                <c:pt idx="22">
                  <c:v>9315.4528940713117</c:v>
                </c:pt>
                <c:pt idx="23">
                  <c:v>9518.2463258982843</c:v>
                </c:pt>
                <c:pt idx="24">
                  <c:v>9751.3101128351464</c:v>
                </c:pt>
                <c:pt idx="25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610-41A9-97F4-286D37E82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476016"/>
        <c:axId val="1643474768"/>
        <c:extLst/>
      </c:scatterChart>
      <c:valAx>
        <c:axId val="1643476016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474768"/>
        <c:crosses val="autoZero"/>
        <c:crossBetween val="midCat"/>
        <c:majorUnit val="10000"/>
        <c:minorUnit val="10"/>
      </c:valAx>
      <c:valAx>
        <c:axId val="16434747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4760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Corps 1</c:v>
          </c:tx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Tableau!$AC$5:$AC$30</c:f>
              <c:numCache>
                <c:formatCode>General</c:formatCode>
                <c:ptCount val="26"/>
                <c:pt idx="0">
                  <c:v>25000</c:v>
                </c:pt>
                <c:pt idx="1">
                  <c:v>24842.915805643155</c:v>
                </c:pt>
                <c:pt idx="2">
                  <c:v>24381.533400219319</c:v>
                </c:pt>
                <c:pt idx="3">
                  <c:v>23644.843137107058</c:v>
                </c:pt>
                <c:pt idx="4">
                  <c:v>22679.133974894983</c:v>
                </c:pt>
                <c:pt idx="5">
                  <c:v>21545.084971874738</c:v>
                </c:pt>
                <c:pt idx="6">
                  <c:v>20313.952597646567</c:v>
                </c:pt>
                <c:pt idx="7">
                  <c:v>19063.093427071377</c:v>
                </c:pt>
                <c:pt idx="8">
                  <c:v>17871.103542174635</c:v>
                </c:pt>
                <c:pt idx="9">
                  <c:v>16812.88005125655</c:v>
                </c:pt>
                <c:pt idx="10">
                  <c:v>15954.915028125262</c:v>
                </c:pt>
                <c:pt idx="11">
                  <c:v>15351.117570558743</c:v>
                </c:pt>
                <c:pt idx="12">
                  <c:v>15039.426493427611</c:v>
                </c:pt>
                <c:pt idx="13">
                  <c:v>15039.426493427611</c:v>
                </c:pt>
                <c:pt idx="14">
                  <c:v>15351.117570558745</c:v>
                </c:pt>
                <c:pt idx="15">
                  <c:v>15954.915028125264</c:v>
                </c:pt>
                <c:pt idx="16">
                  <c:v>16812.88005125655</c:v>
                </c:pt>
                <c:pt idx="17">
                  <c:v>17871.103542174638</c:v>
                </c:pt>
                <c:pt idx="18">
                  <c:v>19063.093427071377</c:v>
                </c:pt>
                <c:pt idx="19">
                  <c:v>20313.95259764657</c:v>
                </c:pt>
                <c:pt idx="20">
                  <c:v>21545.084971874738</c:v>
                </c:pt>
                <c:pt idx="21">
                  <c:v>22679.133974894983</c:v>
                </c:pt>
                <c:pt idx="22">
                  <c:v>23644.843137107058</c:v>
                </c:pt>
                <c:pt idx="23">
                  <c:v>24381.533400219319</c:v>
                </c:pt>
                <c:pt idx="24">
                  <c:v>24842.915805643155</c:v>
                </c:pt>
                <c:pt idx="25">
                  <c:v>25000</c:v>
                </c:pt>
              </c:numCache>
            </c:numRef>
          </c:xVal>
          <c:yVal>
            <c:numRef>
              <c:f>Tableau!$AD$5:$AD$30</c:f>
              <c:numCache>
                <c:formatCode>General</c:formatCode>
                <c:ptCount val="26"/>
                <c:pt idx="0">
                  <c:v>7500</c:v>
                </c:pt>
                <c:pt idx="1">
                  <c:v>8743.4494358242737</c:v>
                </c:pt>
                <c:pt idx="2">
                  <c:v>9908.7683705085765</c:v>
                </c:pt>
                <c:pt idx="3">
                  <c:v>10922.735529643443</c:v>
                </c:pt>
                <c:pt idx="4">
                  <c:v>11721.639627510074</c:v>
                </c:pt>
                <c:pt idx="5">
                  <c:v>12255.282581475767</c:v>
                </c:pt>
                <c:pt idx="6">
                  <c:v>12490.133642141358</c:v>
                </c:pt>
                <c:pt idx="7">
                  <c:v>12411.436253643442</c:v>
                </c:pt>
                <c:pt idx="8">
                  <c:v>12024.135262330097</c:v>
                </c:pt>
                <c:pt idx="9">
                  <c:v>11352.566213878947</c:v>
                </c:pt>
                <c:pt idx="10">
                  <c:v>10438.926261462366</c:v>
                </c:pt>
                <c:pt idx="11">
                  <c:v>9340.6227634233892</c:v>
                </c:pt>
                <c:pt idx="12">
                  <c:v>8126.6661678215205</c:v>
                </c:pt>
                <c:pt idx="13">
                  <c:v>6873.3338321784786</c:v>
                </c:pt>
                <c:pt idx="14">
                  <c:v>5659.377236576609</c:v>
                </c:pt>
                <c:pt idx="15">
                  <c:v>4561.0737385376333</c:v>
                </c:pt>
                <c:pt idx="16">
                  <c:v>3647.4337861210533</c:v>
                </c:pt>
                <c:pt idx="17">
                  <c:v>2975.8647376699009</c:v>
                </c:pt>
                <c:pt idx="18">
                  <c:v>2588.5637463565563</c:v>
                </c:pt>
                <c:pt idx="19">
                  <c:v>2509.866357858642</c:v>
                </c:pt>
                <c:pt idx="20">
                  <c:v>2744.717418524232</c:v>
                </c:pt>
                <c:pt idx="21">
                  <c:v>3278.3603724899249</c:v>
                </c:pt>
                <c:pt idx="22">
                  <c:v>4077.2644703565584</c:v>
                </c:pt>
                <c:pt idx="23">
                  <c:v>5091.2316294914235</c:v>
                </c:pt>
                <c:pt idx="24">
                  <c:v>6256.5505641757272</c:v>
                </c:pt>
                <c:pt idx="25">
                  <c:v>7500.0000000000036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E6-464D-8937-6ED90B2C8435}"/>
            </c:ext>
          </c:extLst>
        </c:ser>
        <c:ser>
          <c:idx val="1"/>
          <c:order val="1"/>
          <c:tx>
            <c:v>Corps 2</c:v>
          </c:tx>
          <c:spPr>
            <a:ln w="19050" cap="rnd">
              <a:solidFill>
                <a:srgbClr val="CC0053"/>
              </a:solidFill>
              <a:round/>
            </a:ln>
            <a:effectLst/>
          </c:spPr>
          <c:marker>
            <c:symbol val="none"/>
          </c:marker>
          <c:xVal>
            <c:numRef>
              <c:f>Tableau!$AG$5:$AG$30</c:f>
              <c:numCache>
                <c:formatCode>General</c:formatCode>
                <c:ptCount val="26"/>
                <c:pt idx="0">
                  <c:v>-16500</c:v>
                </c:pt>
                <c:pt idx="1">
                  <c:v>-16609.958936049792</c:v>
                </c:pt>
                <c:pt idx="2">
                  <c:v>-16932.926619846476</c:v>
                </c:pt>
                <c:pt idx="3">
                  <c:v>-17448.609804025058</c:v>
                </c:pt>
                <c:pt idx="4">
                  <c:v>-18124.606217573513</c:v>
                </c:pt>
                <c:pt idx="5">
                  <c:v>-18918.440519687683</c:v>
                </c:pt>
                <c:pt idx="6">
                  <c:v>-19780.233181647403</c:v>
                </c:pt>
                <c:pt idx="7">
                  <c:v>-20655.834601050035</c:v>
                </c:pt>
                <c:pt idx="8">
                  <c:v>-21490.227520477754</c:v>
                </c:pt>
                <c:pt idx="9">
                  <c:v>-22230.983964120413</c:v>
                </c:pt>
                <c:pt idx="10">
                  <c:v>-22831.559480312317</c:v>
                </c:pt>
                <c:pt idx="11">
                  <c:v>-23254.217700608879</c:v>
                </c:pt>
                <c:pt idx="12">
                  <c:v>-23472.401454600673</c:v>
                </c:pt>
                <c:pt idx="13">
                  <c:v>-23472.401454600673</c:v>
                </c:pt>
                <c:pt idx="14">
                  <c:v>-23254.217700608879</c:v>
                </c:pt>
                <c:pt idx="15">
                  <c:v>-22831.559480312317</c:v>
                </c:pt>
                <c:pt idx="16">
                  <c:v>-22230.983964120413</c:v>
                </c:pt>
                <c:pt idx="17">
                  <c:v>-21490.227520477754</c:v>
                </c:pt>
                <c:pt idx="18">
                  <c:v>-20655.834601050035</c:v>
                </c:pt>
                <c:pt idx="19">
                  <c:v>-19780.233181647403</c:v>
                </c:pt>
                <c:pt idx="20">
                  <c:v>-18918.440519687683</c:v>
                </c:pt>
                <c:pt idx="21">
                  <c:v>-18124.60621757351</c:v>
                </c:pt>
                <c:pt idx="22">
                  <c:v>-17448.609804025058</c:v>
                </c:pt>
                <c:pt idx="23">
                  <c:v>-16932.926619846476</c:v>
                </c:pt>
                <c:pt idx="24">
                  <c:v>-16609.958936049792</c:v>
                </c:pt>
                <c:pt idx="25">
                  <c:v>-16500</c:v>
                </c:pt>
              </c:numCache>
            </c:numRef>
          </c:xVal>
          <c:yVal>
            <c:numRef>
              <c:f>Tableau!$AH$5:$AH$30</c:f>
              <c:numCache>
                <c:formatCode>General</c:formatCode>
                <c:ptCount val="26"/>
                <c:pt idx="0">
                  <c:v>10000</c:v>
                </c:pt>
                <c:pt idx="1">
                  <c:v>10870.414605076992</c:v>
                </c:pt>
                <c:pt idx="2">
                  <c:v>11686.137859356004</c:v>
                </c:pt>
                <c:pt idx="3">
                  <c:v>12395.91487075041</c:v>
                </c:pt>
                <c:pt idx="4">
                  <c:v>12955.147739257052</c:v>
                </c:pt>
                <c:pt idx="5">
                  <c:v>13328.697807033037</c:v>
                </c:pt>
                <c:pt idx="6">
                  <c:v>13493.09354949895</c:v>
                </c:pt>
                <c:pt idx="7">
                  <c:v>13438.005377550409</c:v>
                </c:pt>
                <c:pt idx="8">
                  <c:v>13166.894683631068</c:v>
                </c:pt>
                <c:pt idx="9">
                  <c:v>12696.796349715263</c:v>
                </c:pt>
                <c:pt idx="10">
                  <c:v>12057.248383023656</c:v>
                </c:pt>
                <c:pt idx="11">
                  <c:v>11288.435934396372</c:v>
                </c:pt>
                <c:pt idx="12">
                  <c:v>10438.666317475065</c:v>
                </c:pt>
                <c:pt idx="13">
                  <c:v>9561.3336825249353</c:v>
                </c:pt>
                <c:pt idx="14">
                  <c:v>8711.5640656036267</c:v>
                </c:pt>
                <c:pt idx="15">
                  <c:v>7942.751616976343</c:v>
                </c:pt>
                <c:pt idx="16">
                  <c:v>7303.2036502847368</c:v>
                </c:pt>
                <c:pt idx="17">
                  <c:v>6833.1053163689303</c:v>
                </c:pt>
                <c:pt idx="18">
                  <c:v>6561.9946224495889</c:v>
                </c:pt>
                <c:pt idx="19">
                  <c:v>6506.9064505010501</c:v>
                </c:pt>
                <c:pt idx="20">
                  <c:v>6671.3021929669621</c:v>
                </c:pt>
                <c:pt idx="21">
                  <c:v>7044.8522607429477</c:v>
                </c:pt>
                <c:pt idx="22">
                  <c:v>7604.0851292495909</c:v>
                </c:pt>
                <c:pt idx="23">
                  <c:v>8313.8621406439961</c:v>
                </c:pt>
                <c:pt idx="24">
                  <c:v>9129.5853949230095</c:v>
                </c:pt>
                <c:pt idx="25">
                  <c:v>10000.000000000002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E6-464D-8937-6ED90B2C8435}"/>
            </c:ext>
          </c:extLst>
        </c:ser>
        <c:ser>
          <c:idx val="2"/>
          <c:order val="2"/>
          <c:tx>
            <c:v>Corps 3</c:v>
          </c:tx>
          <c:spPr>
            <a:ln w="19050" cap="rnd">
              <a:solidFill>
                <a:srgbClr val="874BFF"/>
              </a:solidFill>
              <a:round/>
            </a:ln>
            <a:effectLst/>
          </c:spPr>
          <c:marker>
            <c:symbol val="none"/>
          </c:marker>
          <c:xVal>
            <c:numRef>
              <c:f>Tableau!$AK$5:$AK$30</c:f>
              <c:numCache>
                <c:formatCode>General</c:formatCode>
                <c:ptCount val="26"/>
                <c:pt idx="0">
                  <c:v>0</c:v>
                </c:pt>
                <c:pt idx="1">
                  <c:v>-157.08419435684482</c:v>
                </c:pt>
                <c:pt idx="2">
                  <c:v>-618.46659978068237</c:v>
                </c:pt>
                <c:pt idx="3">
                  <c:v>-1355.1568628929422</c:v>
                </c:pt>
                <c:pt idx="4">
                  <c:v>-2320.8660251050173</c:v>
                </c:pt>
                <c:pt idx="5">
                  <c:v>-3454.9150281252628</c:v>
                </c:pt>
                <c:pt idx="6">
                  <c:v>-4686.0474023534334</c:v>
                </c:pt>
                <c:pt idx="7">
                  <c:v>-5936.906572928624</c:v>
                </c:pt>
                <c:pt idx="8">
                  <c:v>-7128.8964578253635</c:v>
                </c:pt>
                <c:pt idx="9">
                  <c:v>-8187.1199487434487</c:v>
                </c:pt>
                <c:pt idx="10">
                  <c:v>-9045.0849718747377</c:v>
                </c:pt>
                <c:pt idx="11">
                  <c:v>-9648.882429441257</c:v>
                </c:pt>
                <c:pt idx="12">
                  <c:v>-9960.5735065723893</c:v>
                </c:pt>
                <c:pt idx="13">
                  <c:v>-9960.5735065723893</c:v>
                </c:pt>
                <c:pt idx="14">
                  <c:v>-9648.8824294412552</c:v>
                </c:pt>
                <c:pt idx="15">
                  <c:v>-9045.0849718747359</c:v>
                </c:pt>
                <c:pt idx="16">
                  <c:v>-8187.1199487434478</c:v>
                </c:pt>
                <c:pt idx="17">
                  <c:v>-7128.8964578253608</c:v>
                </c:pt>
                <c:pt idx="18">
                  <c:v>-5936.9065729286231</c:v>
                </c:pt>
                <c:pt idx="19">
                  <c:v>-4686.0474023534316</c:v>
                </c:pt>
                <c:pt idx="20">
                  <c:v>-3454.9150281252641</c:v>
                </c:pt>
                <c:pt idx="21">
                  <c:v>-2320.866025105016</c:v>
                </c:pt>
                <c:pt idx="22">
                  <c:v>-1355.1568628929404</c:v>
                </c:pt>
                <c:pt idx="23">
                  <c:v>-618.46659978068237</c:v>
                </c:pt>
                <c:pt idx="24">
                  <c:v>-157.08419435684391</c:v>
                </c:pt>
                <c:pt idx="25">
                  <c:v>0</c:v>
                </c:pt>
              </c:numCache>
            </c:numRef>
          </c:xVal>
          <c:yVal>
            <c:numRef>
              <c:f>Tableau!$AL$5:$AL$30</c:f>
              <c:numCache>
                <c:formatCode>General</c:formatCode>
                <c:ptCount val="26"/>
                <c:pt idx="0">
                  <c:v>-15000</c:v>
                </c:pt>
                <c:pt idx="1">
                  <c:v>-13756.550564175726</c:v>
                </c:pt>
                <c:pt idx="2">
                  <c:v>-12591.231629491424</c:v>
                </c:pt>
                <c:pt idx="3">
                  <c:v>-11577.264470356557</c:v>
                </c:pt>
                <c:pt idx="4">
                  <c:v>-10778.360372489926</c:v>
                </c:pt>
                <c:pt idx="5">
                  <c:v>-10244.717418524233</c:v>
                </c:pt>
                <c:pt idx="6">
                  <c:v>-10009.866357858642</c:v>
                </c:pt>
                <c:pt idx="7">
                  <c:v>-10088.563746356558</c:v>
                </c:pt>
                <c:pt idx="8">
                  <c:v>-10475.864737669903</c:v>
                </c:pt>
                <c:pt idx="9">
                  <c:v>-11147.433786121053</c:v>
                </c:pt>
                <c:pt idx="10">
                  <c:v>-12061.073738537634</c:v>
                </c:pt>
                <c:pt idx="11">
                  <c:v>-13159.377236576611</c:v>
                </c:pt>
                <c:pt idx="12">
                  <c:v>-14373.333832178479</c:v>
                </c:pt>
                <c:pt idx="13">
                  <c:v>-15626.666167821521</c:v>
                </c:pt>
                <c:pt idx="14">
                  <c:v>-16840.622763423391</c:v>
                </c:pt>
                <c:pt idx="15">
                  <c:v>-17938.926261462366</c:v>
                </c:pt>
                <c:pt idx="16">
                  <c:v>-18852.566213878948</c:v>
                </c:pt>
                <c:pt idx="17">
                  <c:v>-19524.135262330099</c:v>
                </c:pt>
                <c:pt idx="18">
                  <c:v>-19911.436253643442</c:v>
                </c:pt>
                <c:pt idx="19">
                  <c:v>-19990.133642141358</c:v>
                </c:pt>
                <c:pt idx="20">
                  <c:v>-19755.282581475767</c:v>
                </c:pt>
                <c:pt idx="21">
                  <c:v>-19221.639627510074</c:v>
                </c:pt>
                <c:pt idx="22">
                  <c:v>-18422.73552964344</c:v>
                </c:pt>
                <c:pt idx="23">
                  <c:v>-17408.768370508576</c:v>
                </c:pt>
                <c:pt idx="24">
                  <c:v>-16243.449435824272</c:v>
                </c:pt>
                <c:pt idx="25">
                  <c:v>-14999.999999999996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E6-464D-8937-6ED90B2C8435}"/>
            </c:ext>
          </c:extLst>
        </c:ser>
        <c:ser>
          <c:idx val="3"/>
          <c:order val="3"/>
          <c:tx>
            <c:v>Chemin Vaisseau</c:v>
          </c:tx>
          <c:spPr>
            <a:ln w="19050" cap="rnd">
              <a:solidFill>
                <a:srgbClr val="00FF0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Tableau!$AP$5:$AP$1005</c:f>
              <c:numCache>
                <c:formatCode>General</c:formatCode>
                <c:ptCount val="1001"/>
                <c:pt idx="0">
                  <c:v>0</c:v>
                </c:pt>
                <c:pt idx="1">
                  <c:v>29.792133325856582</c:v>
                </c:pt>
                <c:pt idx="2">
                  <c:v>86.062397686435517</c:v>
                </c:pt>
                <c:pt idx="3">
                  <c:v>161.79394209045671</c:v>
                </c:pt>
                <c:pt idx="4">
                  <c:v>245.47933971288774</c:v>
                </c:pt>
                <c:pt idx="5">
                  <c:v>319.91945794371486</c:v>
                </c:pt>
                <c:pt idx="6">
                  <c:v>360.6030792332532</c:v>
                </c:pt>
                <c:pt idx="7">
                  <c:v>333.70564087080447</c:v>
                </c:pt>
                <c:pt idx="8">
                  <c:v>193.91868468789258</c:v>
                </c:pt>
                <c:pt idx="9">
                  <c:v>-117.01013166188821</c:v>
                </c:pt>
                <c:pt idx="10">
                  <c:v>-667.80119255192346</c:v>
                </c:pt>
                <c:pt idx="11">
                  <c:v>-1521.6815030019118</c:v>
                </c:pt>
                <c:pt idx="12">
                  <c:v>-2691.5025887984302</c:v>
                </c:pt>
                <c:pt idx="13">
                  <c:v>-4085.6658069102118</c:v>
                </c:pt>
                <c:pt idx="14">
                  <c:v>-5537.2865558221101</c:v>
                </c:pt>
                <c:pt idx="15">
                  <c:v>-6897.467139320971</c:v>
                </c:pt>
                <c:pt idx="16">
                  <c:v>-8068.9817906232938</c:v>
                </c:pt>
                <c:pt idx="17">
                  <c:v>-8989.9376281524892</c:v>
                </c:pt>
                <c:pt idx="18">
                  <c:v>-9613.5408527103318</c:v>
                </c:pt>
                <c:pt idx="19">
                  <c:v>-9895.5188357128573</c:v>
                </c:pt>
                <c:pt idx="20">
                  <c:v>-9788.5418086627615</c:v>
                </c:pt>
                <c:pt idx="21">
                  <c:v>-9245.6377619392115</c:v>
                </c:pt>
                <c:pt idx="22">
                  <c:v>-8242.3600798386124</c:v>
                </c:pt>
                <c:pt idx="23">
                  <c:v>-6826.336997861471</c:v>
                </c:pt>
                <c:pt idx="24">
                  <c:v>-5149.2552010698482</c:v>
                </c:pt>
                <c:pt idx="25">
                  <c:v>-3398.2984929088857</c:v>
                </c:pt>
                <c:pt idx="26">
                  <c:v>-1704.1606429393037</c:v>
                </c:pt>
                <c:pt idx="27">
                  <c:v>-128.30487191693337</c:v>
                </c:pt>
                <c:pt idx="28">
                  <c:v>1310.9461326884252</c:v>
                </c:pt>
                <c:pt idx="29">
                  <c:v>2616.2041044260632</c:v>
                </c:pt>
                <c:pt idx="30">
                  <c:v>3798.7896729596605</c:v>
                </c:pt>
                <c:pt idx="31">
                  <c:v>4872.8449653785246</c:v>
                </c:pt>
                <c:pt idx="32">
                  <c:v>5852.7313406474723</c:v>
                </c:pt>
                <c:pt idx="33">
                  <c:v>6752.0878137759601</c:v>
                </c:pt>
                <c:pt idx="34">
                  <c:v>7583.7543525693</c:v>
                </c:pt>
                <c:pt idx="35">
                  <c:v>8360.1616766223015</c:v>
                </c:pt>
                <c:pt idx="36">
                  <c:v>9093.9769101972925</c:v>
                </c:pt>
                <c:pt idx="37">
                  <c:v>9798.8907339630168</c:v>
                </c:pt>
                <c:pt idx="38">
                  <c:v>10490.488264862139</c:v>
                </c:pt>
                <c:pt idx="39">
                  <c:v>11187.181042289169</c:v>
                </c:pt>
                <c:pt idx="40">
                  <c:v>11911.191165868295</c:v>
                </c:pt>
                <c:pt idx="41">
                  <c:v>12689.550045020842</c:v>
                </c:pt>
                <c:pt idx="42">
                  <c:v>13554.929101693522</c:v>
                </c:pt>
                <c:pt idx="43">
                  <c:v>14545.617698723618</c:v>
                </c:pt>
                <c:pt idx="44">
                  <c:v>15702.385194709423</c:v>
                </c:pt>
                <c:pt idx="45">
                  <c:v>17055.683558162324</c:v>
                </c:pt>
                <c:pt idx="46">
                  <c:v>18590.295157753182</c:v>
                </c:pt>
                <c:pt idx="47">
                  <c:v>20193.135750244011</c:v>
                </c:pt>
                <c:pt idx="48">
                  <c:v>21674.98663466136</c:v>
                </c:pt>
                <c:pt idx="49">
                  <c:v>22888.965419709097</c:v>
                </c:pt>
                <c:pt idx="50">
                  <c:v>23770.026938819501</c:v>
                </c:pt>
                <c:pt idx="51">
                  <c:v>24298.20437493606</c:v>
                </c:pt>
                <c:pt idx="52">
                  <c:v>24467.590903578213</c:v>
                </c:pt>
                <c:pt idx="53">
                  <c:v>24273.044408418649</c:v>
                </c:pt>
                <c:pt idx="54">
                  <c:v>23707.235146859559</c:v>
                </c:pt>
                <c:pt idx="55">
                  <c:v>22766.212998672752</c:v>
                </c:pt>
                <c:pt idx="56">
                  <c:v>21469.935521327781</c:v>
                </c:pt>
                <c:pt idx="57">
                  <c:v>19905.326339680494</c:v>
                </c:pt>
                <c:pt idx="58">
                  <c:v>18249.894994687154</c:v>
                </c:pt>
                <c:pt idx="59">
                  <c:v>16681.00192563024</c:v>
                </c:pt>
                <c:pt idx="60">
                  <c:v>15278.732537411053</c:v>
                </c:pt>
                <c:pt idx="61">
                  <c:v>14046.575108108758</c:v>
                </c:pt>
                <c:pt idx="62">
                  <c:v>12958.131826840834</c:v>
                </c:pt>
                <c:pt idx="63">
                  <c:v>11980.822552070096</c:v>
                </c:pt>
                <c:pt idx="64">
                  <c:v>11084.054922073663</c:v>
                </c:pt>
                <c:pt idx="65">
                  <c:v>10241.273872459265</c:v>
                </c:pt>
                <c:pt idx="66">
                  <c:v>9429.9415303430487</c:v>
                </c:pt>
                <c:pt idx="67">
                  <c:v>8630.8681265096784</c:v>
                </c:pt>
                <c:pt idx="68">
                  <c:v>7827.3642529649287</c:v>
                </c:pt>
                <c:pt idx="69">
                  <c:v>7004.3710213970589</c:v>
                </c:pt>
                <c:pt idx="70">
                  <c:v>6147.631389800852</c:v>
                </c:pt>
                <c:pt idx="71">
                  <c:v>5242.9504030614053</c:v>
                </c:pt>
                <c:pt idx="72">
                  <c:v>4275.609112147371</c:v>
                </c:pt>
                <c:pt idx="73">
                  <c:v>3230.0397846712999</c:v>
                </c:pt>
                <c:pt idx="74">
                  <c:v>2089.9585267228463</c:v>
                </c:pt>
                <c:pt idx="75">
                  <c:v>839.34452046895194</c:v>
                </c:pt>
                <c:pt idx="76">
                  <c:v>-534.91099202226883</c:v>
                </c:pt>
                <c:pt idx="77">
                  <c:v>-2036.9196946083387</c:v>
                </c:pt>
                <c:pt idx="78">
                  <c:v>-3648.8168463835741</c:v>
                </c:pt>
                <c:pt idx="79">
                  <c:v>-5306.7689338991004</c:v>
                </c:pt>
                <c:pt idx="80">
                  <c:v>-6874.6118919670707</c:v>
                </c:pt>
                <c:pt idx="81">
                  <c:v>-8167.7538190888681</c:v>
                </c:pt>
                <c:pt idx="82">
                  <c:v>-9056.3306534263775</c:v>
                </c:pt>
                <c:pt idx="83">
                  <c:v>-9514.4587533926497</c:v>
                </c:pt>
                <c:pt idx="84">
                  <c:v>-9573.9186224062087</c:v>
                </c:pt>
                <c:pt idx="85">
                  <c:v>-9279.5577521559171</c:v>
                </c:pt>
                <c:pt idx="86">
                  <c:v>-8673.3107148963409</c:v>
                </c:pt>
                <c:pt idx="87">
                  <c:v>-7793.4971190289916</c:v>
                </c:pt>
                <c:pt idx="88">
                  <c:v>-6681.3251043412247</c:v>
                </c:pt>
                <c:pt idx="89">
                  <c:v>-5394.1829499507785</c:v>
                </c:pt>
                <c:pt idx="90">
                  <c:v>-4027.0021731741067</c:v>
                </c:pt>
                <c:pt idx="91">
                  <c:v>-2727.1056378764033</c:v>
                </c:pt>
                <c:pt idx="92">
                  <c:v>-1650.0436139411158</c:v>
                </c:pt>
                <c:pt idx="93">
                  <c:v>-865.54399622726646</c:v>
                </c:pt>
                <c:pt idx="94">
                  <c:v>-348.33075557467987</c:v>
                </c:pt>
                <c:pt idx="95">
                  <c:v>-36.142102192689379</c:v>
                </c:pt>
                <c:pt idx="96">
                  <c:v>133.18104248558748</c:v>
                </c:pt>
                <c:pt idx="97">
                  <c:v>210.72964509172755</c:v>
                </c:pt>
                <c:pt idx="98">
                  <c:v>235.74264819290377</c:v>
                </c:pt>
                <c:pt idx="99">
                  <c:v>237.38712022258872</c:v>
                </c:pt>
                <c:pt idx="100">
                  <c:v>236.80530785999571</c:v>
                </c:pt>
                <c:pt idx="101">
                  <c:v>248.86453568978266</c:v>
                </c:pt>
                <c:pt idx="102">
                  <c:v>283.50160112179179</c:v>
                </c:pt>
                <c:pt idx="103">
                  <c:v>346.65939133010318</c:v>
                </c:pt>
                <c:pt idx="104">
                  <c:v>440.83357510968244</c:v>
                </c:pt>
                <c:pt idx="105">
                  <c:v>565.24609725536743</c:v>
                </c:pt>
                <c:pt idx="106">
                  <c:v>715.65571043189857</c:v>
                </c:pt>
                <c:pt idx="107">
                  <c:v>883.81044955429172</c:v>
                </c:pt>
                <c:pt idx="108">
                  <c:v>1056.5482361060779</c:v>
                </c:pt>
                <c:pt idx="109">
                  <c:v>1214.5644380544686</c:v>
                </c:pt>
                <c:pt idx="110">
                  <c:v>1330.8926280737028</c:v>
                </c:pt>
                <c:pt idx="111">
                  <c:v>1369.1945953184563</c:v>
                </c:pt>
                <c:pt idx="112">
                  <c:v>1282.072465316817</c:v>
                </c:pt>
                <c:pt idx="113">
                  <c:v>1009.9986406038464</c:v>
                </c:pt>
                <c:pt idx="114">
                  <c:v>482.77638785413058</c:v>
                </c:pt>
                <c:pt idx="115">
                  <c:v>-370.73802207962774</c:v>
                </c:pt>
                <c:pt idx="116">
                  <c:v>-1592.2281247686872</c:v>
                </c:pt>
                <c:pt idx="117">
                  <c:v>-3137.6425158412576</c:v>
                </c:pt>
                <c:pt idx="118">
                  <c:v>-4850.7999771255791</c:v>
                </c:pt>
                <c:pt idx="119">
                  <c:v>-6536.9418833050795</c:v>
                </c:pt>
                <c:pt idx="120">
                  <c:v>-8046.0522449825648</c:v>
                </c:pt>
                <c:pt idx="121">
                  <c:v>-9283.1041982862698</c:v>
                </c:pt>
                <c:pt idx="122">
                  <c:v>-10185.575857370388</c:v>
                </c:pt>
                <c:pt idx="123">
                  <c:v>-10703.974129803215</c:v>
                </c:pt>
                <c:pt idx="124">
                  <c:v>-10791.433266456175</c:v>
                </c:pt>
                <c:pt idx="125">
                  <c:v>-10402.352516351446</c:v>
                </c:pt>
                <c:pt idx="126">
                  <c:v>-9504.4756109600457</c:v>
                </c:pt>
                <c:pt idx="127">
                  <c:v>-8113.0275947368327</c:v>
                </c:pt>
                <c:pt idx="128">
                  <c:v>-6336.1256878716731</c:v>
                </c:pt>
                <c:pt idx="129">
                  <c:v>-4365.6467556490579</c:v>
                </c:pt>
                <c:pt idx="130">
                  <c:v>-2387.9564662022217</c:v>
                </c:pt>
                <c:pt idx="131">
                  <c:v>-520.20666627710591</c:v>
                </c:pt>
                <c:pt idx="132">
                  <c:v>1184.7151159781513</c:v>
                </c:pt>
                <c:pt idx="133">
                  <c:v>2711.6636220274409</c:v>
                </c:pt>
                <c:pt idx="134">
                  <c:v>4063.2796942363816</c:v>
                </c:pt>
                <c:pt idx="135">
                  <c:v>5249.0897348118224</c:v>
                </c:pt>
                <c:pt idx="136">
                  <c:v>6280.3253369622435</c:v>
                </c:pt>
                <c:pt idx="137">
                  <c:v>7167.807096378333</c:v>
                </c:pt>
                <c:pt idx="138">
                  <c:v>7921.3924008703561</c:v>
                </c:pt>
                <c:pt idx="139">
                  <c:v>8550.1908804200648</c:v>
                </c:pt>
                <c:pt idx="140">
                  <c:v>9063.1277254118831</c:v>
                </c:pt>
                <c:pt idx="141">
                  <c:v>9469.6417306759085</c:v>
                </c:pt>
                <c:pt idx="142">
                  <c:v>9780.4222112454172</c:v>
                </c:pt>
                <c:pt idx="143">
                  <c:v>10008.152545965364</c:v>
                </c:pt>
                <c:pt idx="144">
                  <c:v>10168.256352034306</c:v>
                </c:pt>
                <c:pt idx="145">
                  <c:v>10279.647786312455</c:v>
                </c:pt>
                <c:pt idx="146">
                  <c:v>10365.480876240736</c:v>
                </c:pt>
                <c:pt idx="147">
                  <c:v>10453.883877533795</c:v>
                </c:pt>
                <c:pt idx="148">
                  <c:v>10578.660900259152</c:v>
                </c:pt>
                <c:pt idx="149">
                  <c:v>10779.942278027242</c:v>
                </c:pt>
                <c:pt idx="150">
                  <c:v>11104.735918158687</c:v>
                </c:pt>
                <c:pt idx="151">
                  <c:v>11607.1692189598</c:v>
                </c:pt>
                <c:pt idx="152">
                  <c:v>12347.641155532669</c:v>
                </c:pt>
                <c:pt idx="153">
                  <c:v>13388.511310879765</c:v>
                </c:pt>
                <c:pt idx="154">
                  <c:v>14780.428603324335</c:v>
                </c:pt>
                <c:pt idx="155">
                  <c:v>16529.483272071073</c:v>
                </c:pt>
                <c:pt idx="156">
                  <c:v>18546.96341480919</c:v>
                </c:pt>
                <c:pt idx="157">
                  <c:v>20635.464054826152</c:v>
                </c:pt>
                <c:pt idx="158">
                  <c:v>22568.294274231586</c:v>
                </c:pt>
                <c:pt idx="159">
                  <c:v>24177.007793799316</c:v>
                </c:pt>
                <c:pt idx="160">
                  <c:v>25362.248014744819</c:v>
                </c:pt>
                <c:pt idx="161">
                  <c:v>26066.523434867915</c:v>
                </c:pt>
                <c:pt idx="162">
                  <c:v>26251.013922889502</c:v>
                </c:pt>
                <c:pt idx="163">
                  <c:v>25885.28826654228</c:v>
                </c:pt>
                <c:pt idx="164">
                  <c:v>24950.482338673504</c:v>
                </c:pt>
                <c:pt idx="165">
                  <c:v>23460.28045936206</c:v>
                </c:pt>
                <c:pt idx="166">
                  <c:v>21501.917726692242</c:v>
                </c:pt>
                <c:pt idx="167">
                  <c:v>19264.392475601955</c:v>
                </c:pt>
                <c:pt idx="168">
                  <c:v>16983.559735298208</c:v>
                </c:pt>
                <c:pt idx="169">
                  <c:v>14838.513320694532</c:v>
                </c:pt>
                <c:pt idx="170">
                  <c:v>12917.53417423762</c:v>
                </c:pt>
                <c:pt idx="171">
                  <c:v>11246.581122297925</c:v>
                </c:pt>
                <c:pt idx="172">
                  <c:v>9822.0599658390256</c:v>
                </c:pt>
                <c:pt idx="173">
                  <c:v>8629.844867192176</c:v>
                </c:pt>
                <c:pt idx="174">
                  <c:v>7653.9170656574706</c:v>
                </c:pt>
                <c:pt idx="175">
                  <c:v>6879.7019412479467</c:v>
                </c:pt>
                <c:pt idx="176">
                  <c:v>6295.0865663307586</c:v>
                </c:pt>
                <c:pt idx="177">
                  <c:v>5890.533558538621</c:v>
                </c:pt>
                <c:pt idx="178">
                  <c:v>5658.8943666651903</c:v>
                </c:pt>
                <c:pt idx="179">
                  <c:v>5595.1510036858517</c:v>
                </c:pt>
                <c:pt idx="180">
                  <c:v>5696.1578053841504</c:v>
                </c:pt>
                <c:pt idx="181">
                  <c:v>5960.3973938684139</c:v>
                </c:pt>
                <c:pt idx="182">
                  <c:v>6387.7508880430632</c:v>
                </c:pt>
                <c:pt idx="183">
                  <c:v>6979.2835722317386</c:v>
                </c:pt>
                <c:pt idx="184">
                  <c:v>7737.0460851871549</c:v>
                </c:pt>
                <c:pt idx="185">
                  <c:v>8663.8689478086617</c:v>
                </c:pt>
                <c:pt idx="186">
                  <c:v>9763.0584692170596</c:v>
                </c:pt>
                <c:pt idx="187">
                  <c:v>11037.749937056684</c:v>
                </c:pt>
                <c:pt idx="188">
                  <c:v>12489.400835600634</c:v>
                </c:pt>
                <c:pt idx="189">
                  <c:v>14114.474917374453</c:v>
                </c:pt>
                <c:pt idx="190">
                  <c:v>15897.769298194688</c:v>
                </c:pt>
                <c:pt idx="191">
                  <c:v>17800.357289696687</c:v>
                </c:pt>
                <c:pt idx="192">
                  <c:v>19741.544816913181</c:v>
                </c:pt>
                <c:pt idx="193">
                  <c:v>21583.161801564071</c:v>
                </c:pt>
                <c:pt idx="194">
                  <c:v>23143.527359739368</c:v>
                </c:pt>
                <c:pt idx="195">
                  <c:v>24260.826722324586</c:v>
                </c:pt>
                <c:pt idx="196">
                  <c:v>24853.946585630383</c:v>
                </c:pt>
                <c:pt idx="197">
                  <c:v>24920.820136056795</c:v>
                </c:pt>
                <c:pt idx="198">
                  <c:v>24503.036761070231</c:v>
                </c:pt>
                <c:pt idx="199">
                  <c:v>23660.039493071974</c:v>
                </c:pt>
                <c:pt idx="200">
                  <c:v>22461.006564799045</c:v>
                </c:pt>
                <c:pt idx="201">
                  <c:v>20988.844642274988</c:v>
                </c:pt>
                <c:pt idx="202">
                  <c:v>19350.952946736343</c:v>
                </c:pt>
                <c:pt idx="203">
                  <c:v>17688.878387109125</c:v>
                </c:pt>
                <c:pt idx="204">
                  <c:v>16168.681668542082</c:v>
                </c:pt>
                <c:pt idx="205">
                  <c:v>14934.533845621596</c:v>
                </c:pt>
                <c:pt idx="206">
                  <c:v>14054.035742477252</c:v>
                </c:pt>
                <c:pt idx="207">
                  <c:v>13511.976420778632</c:v>
                </c:pt>
                <c:pt idx="208">
                  <c:v>13245.981930974507</c:v>
                </c:pt>
                <c:pt idx="209">
                  <c:v>13181.010994253998</c:v>
                </c:pt>
                <c:pt idx="210">
                  <c:v>13247.349274203119</c:v>
                </c:pt>
                <c:pt idx="211">
                  <c:v>13387.014233071292</c:v>
                </c:pt>
                <c:pt idx="212">
                  <c:v>13554.832525380933</c:v>
                </c:pt>
                <c:pt idx="213">
                  <c:v>13717.530288890486</c:v>
                </c:pt>
                <c:pt idx="214">
                  <c:v>13852.291447823183</c:v>
                </c:pt>
                <c:pt idx="215">
                  <c:v>13945.418714488684</c:v>
                </c:pt>
                <c:pt idx="216">
                  <c:v>13991.394268842809</c:v>
                </c:pt>
                <c:pt idx="217">
                  <c:v>13992.483495107965</c:v>
                </c:pt>
                <c:pt idx="218">
                  <c:v>13958.946254139149</c:v>
                </c:pt>
                <c:pt idx="219">
                  <c:v>13909.86988565691</c:v>
                </c:pt>
                <c:pt idx="220">
                  <c:v>13874.578356909118</c:v>
                </c:pt>
                <c:pt idx="221">
                  <c:v>13894.438292674055</c:v>
                </c:pt>
                <c:pt idx="222">
                  <c:v>14024.506634545289</c:v>
                </c:pt>
                <c:pt idx="223">
                  <c:v>14333.370220309114</c:v>
                </c:pt>
                <c:pt idx="224">
                  <c:v>14896.689727523912</c:v>
                </c:pt>
                <c:pt idx="225">
                  <c:v>15775.224613941611</c:v>
                </c:pt>
                <c:pt idx="226">
                  <c:v>16971.375222350653</c:v>
                </c:pt>
                <c:pt idx="227">
                  <c:v>18394.4061646109</c:v>
                </c:pt>
                <c:pt idx="228">
                  <c:v>19891.298593069794</c:v>
                </c:pt>
                <c:pt idx="229">
                  <c:v>21314.5247283426</c:v>
                </c:pt>
                <c:pt idx="230">
                  <c:v>22552.939491033187</c:v>
                </c:pt>
                <c:pt idx="231">
                  <c:v>23526.000892101576</c:v>
                </c:pt>
                <c:pt idx="232">
                  <c:v>24169.437641631852</c:v>
                </c:pt>
                <c:pt idx="233">
                  <c:v>24424.852762188177</c:v>
                </c:pt>
                <c:pt idx="234">
                  <c:v>24237.062157411565</c:v>
                </c:pt>
                <c:pt idx="235">
                  <c:v>23564.890118259973</c:v>
                </c:pt>
                <c:pt idx="236">
                  <c:v>22414.192694835157</c:v>
                </c:pt>
                <c:pt idx="237">
                  <c:v>20880.457997024205</c:v>
                </c:pt>
                <c:pt idx="238">
                  <c:v>19135.728836370996</c:v>
                </c:pt>
                <c:pt idx="239">
                  <c:v>17345.239210148968</c:v>
                </c:pt>
                <c:pt idx="240">
                  <c:v>15614.32727605808</c:v>
                </c:pt>
                <c:pt idx="241">
                  <c:v>13994.472216922466</c:v>
                </c:pt>
                <c:pt idx="242">
                  <c:v>12505.514760839924</c:v>
                </c:pt>
                <c:pt idx="243">
                  <c:v>11151.967967783761</c:v>
                </c:pt>
                <c:pt idx="244">
                  <c:v>9931.9683818167869</c:v>
                </c:pt>
                <c:pt idx="245">
                  <c:v>8841.623785627713</c:v>
                </c:pt>
                <c:pt idx="246">
                  <c:v>7876.8827737709225</c:v>
                </c:pt>
                <c:pt idx="247">
                  <c:v>7034.147468457676</c:v>
                </c:pt>
                <c:pt idx="248">
                  <c:v>6310.3052380327445</c:v>
                </c:pt>
                <c:pt idx="249">
                  <c:v>5702.5485097405099</c:v>
                </c:pt>
                <c:pt idx="250">
                  <c:v>5208.1654076592613</c:v>
                </c:pt>
                <c:pt idx="251">
                  <c:v>4824.3675386728301</c:v>
                </c:pt>
                <c:pt idx="252">
                  <c:v>4548.1550501369538</c:v>
                </c:pt>
                <c:pt idx="253">
                  <c:v>4376.1893296456419</c:v>
                </c:pt>
                <c:pt idx="254">
                  <c:v>4304.6372190558213</c:v>
                </c:pt>
                <c:pt idx="255">
                  <c:v>4328.9568558824985</c:v>
                </c:pt>
                <c:pt idx="256">
                  <c:v>4443.6081347710178</c:v>
                </c:pt>
                <c:pt idx="257">
                  <c:v>4641.6881902294817</c:v>
                </c:pt>
                <c:pt idx="258">
                  <c:v>4914.5142581113732</c:v>
                </c:pt>
                <c:pt idx="259">
                  <c:v>5251.2023774432537</c:v>
                </c:pt>
                <c:pt idx="260">
                  <c:v>5638.3170173401422</c:v>
                </c:pt>
                <c:pt idx="261">
                  <c:v>6059.6848345927101</c:v>
                </c:pt>
                <c:pt idx="262">
                  <c:v>6496.4616407298854</c:v>
                </c:pt>
                <c:pt idx="263">
                  <c:v>6927.5029890395945</c:v>
                </c:pt>
                <c:pt idx="264">
                  <c:v>7330.0159149193742</c:v>
                </c:pt>
                <c:pt idx="265">
                  <c:v>7680.3836531074085</c:v>
                </c:pt>
                <c:pt idx="266">
                  <c:v>7954.9930510567192</c:v>
                </c:pt>
                <c:pt idx="267">
                  <c:v>8130.8853038143816</c:v>
                </c:pt>
                <c:pt idx="268">
                  <c:v>8186.0956105304012</c:v>
                </c:pt>
                <c:pt idx="269">
                  <c:v>8099.6191536675087</c:v>
                </c:pt>
                <c:pt idx="270">
                  <c:v>7851.0053514290366</c:v>
                </c:pt>
                <c:pt idx="271">
                  <c:v>7419.6218816753517</c:v>
                </c:pt>
                <c:pt idx="272">
                  <c:v>6783.6532477179117</c:v>
                </c:pt>
                <c:pt idx="273">
                  <c:v>5918.9439886795208</c:v>
                </c:pt>
                <c:pt idx="274">
                  <c:v>4797.9516606143516</c:v>
                </c:pt>
                <c:pt idx="275">
                  <c:v>3389.5569209393252</c:v>
                </c:pt>
                <c:pt idx="276">
                  <c:v>1661.8709000057827</c:v>
                </c:pt>
                <c:pt idx="277">
                  <c:v>-406.10121720660686</c:v>
                </c:pt>
                <c:pt idx="278">
                  <c:v>-2790.6229299784991</c:v>
                </c:pt>
                <c:pt idx="279">
                  <c:v>-5356.177448291668</c:v>
                </c:pt>
                <c:pt idx="280">
                  <c:v>-7823.5195720996162</c:v>
                </c:pt>
                <c:pt idx="281">
                  <c:v>-9914.4155902288003</c:v>
                </c:pt>
                <c:pt idx="282">
                  <c:v>-11495.880459708747</c:v>
                </c:pt>
                <c:pt idx="283">
                  <c:v>-12542.486358502956</c:v>
                </c:pt>
                <c:pt idx="284">
                  <c:v>-13065.447523302541</c:v>
                </c:pt>
                <c:pt idx="285">
                  <c:v>-13078.868941922083</c:v>
                </c:pt>
                <c:pt idx="286">
                  <c:v>-12589.108657491874</c:v>
                </c:pt>
                <c:pt idx="287">
                  <c:v>-11593.939733932459</c:v>
                </c:pt>
                <c:pt idx="288">
                  <c:v>-10089.590733933395</c:v>
                </c:pt>
                <c:pt idx="289">
                  <c:v>-8094.5918674446893</c:v>
                </c:pt>
                <c:pt idx="290">
                  <c:v>-5708.7812357916418</c:v>
                </c:pt>
                <c:pt idx="291">
                  <c:v>-3181.4276671667176</c:v>
                </c:pt>
                <c:pt idx="292">
                  <c:v>-821.94010453306191</c:v>
                </c:pt>
                <c:pt idx="293">
                  <c:v>1197.2353601914706</c:v>
                </c:pt>
                <c:pt idx="294">
                  <c:v>2846.1285298379348</c:v>
                </c:pt>
                <c:pt idx="295">
                  <c:v>4155.1216886271386</c:v>
                </c:pt>
                <c:pt idx="296">
                  <c:v>5169.1427706607983</c:v>
                </c:pt>
                <c:pt idx="297">
                  <c:v>5932.465686399556</c:v>
                </c:pt>
                <c:pt idx="298">
                  <c:v>6485.3516948127899</c:v>
                </c:pt>
                <c:pt idx="299">
                  <c:v>6864.3082495719063</c:v>
                </c:pt>
                <c:pt idx="300">
                  <c:v>7103.1887255671763</c:v>
                </c:pt>
                <c:pt idx="301">
                  <c:v>7234.2655977479199</c:v>
                </c:pt>
                <c:pt idx="302">
                  <c:v>7289.0309831889626</c:v>
                </c:pt>
                <c:pt idx="303">
                  <c:v>7298.6892169583307</c:v>
                </c:pt>
                <c:pt idx="304">
                  <c:v>7294.3926755457551</c:v>
                </c:pt>
                <c:pt idx="305">
                  <c:v>7307.3196244714172</c:v>
                </c:pt>
                <c:pt idx="306">
                  <c:v>7368.719858205247</c:v>
                </c:pt>
                <c:pt idx="307">
                  <c:v>7510.0591597649918</c:v>
                </c:pt>
                <c:pt idx="308">
                  <c:v>7763.3751777910984</c:v>
                </c:pt>
                <c:pt idx="309">
                  <c:v>8161.9168830590688</c:v>
                </c:pt>
                <c:pt idx="310">
                  <c:v>8741.0742478874272</c:v>
                </c:pt>
                <c:pt idx="311">
                  <c:v>9539.4815314848875</c:v>
                </c:pt>
                <c:pt idx="312">
                  <c:v>10599.873761689445</c:v>
                </c:pt>
                <c:pt idx="313">
                  <c:v>11968.418303657858</c:v>
                </c:pt>
                <c:pt idx="314">
                  <c:v>13688.825905353347</c:v>
                </c:pt>
                <c:pt idx="315">
                  <c:v>15781.676903632355</c:v>
                </c:pt>
                <c:pt idx="316">
                  <c:v>18192.608150907781</c:v>
                </c:pt>
                <c:pt idx="317">
                  <c:v>20722.829681368796</c:v>
                </c:pt>
                <c:pt idx="318">
                  <c:v>23067.002235021646</c:v>
                </c:pt>
                <c:pt idx="319">
                  <c:v>24986.876694453527</c:v>
                </c:pt>
                <c:pt idx="320">
                  <c:v>26374.491187076768</c:v>
                </c:pt>
                <c:pt idx="321">
                  <c:v>27197.021239042035</c:v>
                </c:pt>
                <c:pt idx="322">
                  <c:v>27446.554254891485</c:v>
                </c:pt>
                <c:pt idx="323">
                  <c:v>27118.045048599735</c:v>
                </c:pt>
                <c:pt idx="324">
                  <c:v>26204.724560926643</c:v>
                </c:pt>
                <c:pt idx="325">
                  <c:v>24707.488207853326</c:v>
                </c:pt>
                <c:pt idx="326">
                  <c:v>22666.197010360684</c:v>
                </c:pt>
                <c:pt idx="327">
                  <c:v>20219.587809697317</c:v>
                </c:pt>
                <c:pt idx="328">
                  <c:v>17635.859293660924</c:v>
                </c:pt>
                <c:pt idx="329">
                  <c:v>15196.194032894822</c:v>
                </c:pt>
                <c:pt idx="330">
                  <c:v>13055.004687533543</c:v>
                </c:pt>
                <c:pt idx="331">
                  <c:v>11250.819113210355</c:v>
                </c:pt>
                <c:pt idx="332">
                  <c:v>9769.7384962040687</c:v>
                </c:pt>
                <c:pt idx="333">
                  <c:v>8583.3573894233341</c:v>
                </c:pt>
                <c:pt idx="334">
                  <c:v>7663.4343220308319</c:v>
                </c:pt>
                <c:pt idx="335">
                  <c:v>6986.2050299682624</c:v>
                </c:pt>
                <c:pt idx="336">
                  <c:v>6532.9925268964871</c:v>
                </c:pt>
                <c:pt idx="337">
                  <c:v>6289.6784360300035</c:v>
                </c:pt>
                <c:pt idx="338">
                  <c:v>6245.9102685821717</c:v>
                </c:pt>
                <c:pt idx="339">
                  <c:v>6394.3049436179517</c:v>
                </c:pt>
                <c:pt idx="340">
                  <c:v>6729.7047561682348</c:v>
                </c:pt>
                <c:pt idx="341">
                  <c:v>7248.4875718964267</c:v>
                </c:pt>
                <c:pt idx="342">
                  <c:v>7947.9277948016361</c:v>
                </c:pt>
                <c:pt idx="343">
                  <c:v>8825.6009931934004</c:v>
                </c:pt>
                <c:pt idx="344">
                  <c:v>9878.7869216419494</c:v>
                </c:pt>
                <c:pt idx="345">
                  <c:v>11103.719409514248</c:v>
                </c:pt>
                <c:pt idx="346">
                  <c:v>12494.33712719526</c:v>
                </c:pt>
                <c:pt idx="347">
                  <c:v>14039.914925110668</c:v>
                </c:pt>
                <c:pt idx="348">
                  <c:v>15720.639031828834</c:v>
                </c:pt>
                <c:pt idx="349">
                  <c:v>17499.95236899488</c:v>
                </c:pt>
                <c:pt idx="350">
                  <c:v>19312.950572210033</c:v>
                </c:pt>
                <c:pt idx="351">
                  <c:v>21053.495648495118</c:v>
                </c:pt>
                <c:pt idx="352">
                  <c:v>22572.743545597074</c:v>
                </c:pt>
                <c:pt idx="353">
                  <c:v>23711.057163367721</c:v>
                </c:pt>
                <c:pt idx="354">
                  <c:v>24358.073892289187</c:v>
                </c:pt>
                <c:pt idx="355">
                  <c:v>24485.510624614199</c:v>
                </c:pt>
                <c:pt idx="356">
                  <c:v>24128.620303020321</c:v>
                </c:pt>
                <c:pt idx="357">
                  <c:v>23353.687162809438</c:v>
                </c:pt>
                <c:pt idx="358">
                  <c:v>22239.523344682872</c:v>
                </c:pt>
                <c:pt idx="359">
                  <c:v>20873.885301667058</c:v>
                </c:pt>
                <c:pt idx="360">
                  <c:v>19358.366162505099</c:v>
                </c:pt>
                <c:pt idx="361">
                  <c:v>17815.208812376517</c:v>
                </c:pt>
                <c:pt idx="362">
                  <c:v>16386.132919789274</c:v>
                </c:pt>
                <c:pt idx="363">
                  <c:v>15209.374522010154</c:v>
                </c:pt>
                <c:pt idx="364">
                  <c:v>14375.928067274175</c:v>
                </c:pt>
                <c:pt idx="365">
                  <c:v>13900.343271717822</c:v>
                </c:pt>
                <c:pt idx="366">
                  <c:v>13733.99336357488</c:v>
                </c:pt>
                <c:pt idx="367">
                  <c:v>13799.778502279296</c:v>
                </c:pt>
                <c:pt idx="368">
                  <c:v>14019.020544223715</c:v>
                </c:pt>
                <c:pt idx="369">
                  <c:v>14324.16725460214</c:v>
                </c:pt>
                <c:pt idx="370">
                  <c:v>14662.406817285981</c:v>
                </c:pt>
                <c:pt idx="371">
                  <c:v>14995.181846307652</c:v>
                </c:pt>
                <c:pt idx="372">
                  <c:v>15296.348187230777</c:v>
                </c:pt>
                <c:pt idx="373">
                  <c:v>15550.271082599405</c:v>
                </c:pt>
                <c:pt idx="374">
                  <c:v>15750.437958601937</c:v>
                </c:pt>
                <c:pt idx="375">
                  <c:v>15898.842688366789</c:v>
                </c:pt>
                <c:pt idx="376">
                  <c:v>16006.264913892341</c:v>
                </c:pt>
                <c:pt idx="377">
                  <c:v>16093.515672329728</c:v>
                </c:pt>
                <c:pt idx="378">
                  <c:v>16193.602273895893</c:v>
                </c:pt>
                <c:pt idx="379">
                  <c:v>16354.176618530068</c:v>
                </c:pt>
                <c:pt idx="380">
                  <c:v>16637.292251736009</c:v>
                </c:pt>
                <c:pt idx="381">
                  <c:v>17106.93531719262</c:v>
                </c:pt>
                <c:pt idx="382">
                  <c:v>17789.825498070168</c:v>
                </c:pt>
                <c:pt idx="383">
                  <c:v>18632.572398377131</c:v>
                </c:pt>
                <c:pt idx="384">
                  <c:v>19529.080933512458</c:v>
                </c:pt>
                <c:pt idx="385">
                  <c:v>20383.851630288551</c:v>
                </c:pt>
                <c:pt idx="386">
                  <c:v>21131.658983076195</c:v>
                </c:pt>
                <c:pt idx="387">
                  <c:v>21728.314860317183</c:v>
                </c:pt>
                <c:pt idx="388">
                  <c:v>22139.045148898134</c:v>
                </c:pt>
                <c:pt idx="389">
                  <c:v>22330.758972161948</c:v>
                </c:pt>
                <c:pt idx="390">
                  <c:v>22268.425743001495</c:v>
                </c:pt>
                <c:pt idx="391">
                  <c:v>21918.173676226004</c:v>
                </c:pt>
                <c:pt idx="392">
                  <c:v>21265.98434696085</c:v>
                </c:pt>
                <c:pt idx="393">
                  <c:v>20355.077920890417</c:v>
                </c:pt>
                <c:pt idx="394">
                  <c:v>19290.811697342437</c:v>
                </c:pt>
                <c:pt idx="395">
                  <c:v>18174.328830748844</c:v>
                </c:pt>
                <c:pt idx="396">
                  <c:v>17061.181779593036</c:v>
                </c:pt>
                <c:pt idx="397">
                  <c:v>15972.379280638455</c:v>
                </c:pt>
                <c:pt idx="398">
                  <c:v>14912.824147790001</c:v>
                </c:pt>
                <c:pt idx="399">
                  <c:v>13882.062448343651</c:v>
                </c:pt>
                <c:pt idx="400">
                  <c:v>12879.342812060177</c:v>
                </c:pt>
                <c:pt idx="401">
                  <c:v>11905.865082188453</c:v>
                </c:pt>
                <c:pt idx="402">
                  <c:v>10965.691281184078</c:v>
                </c:pt>
                <c:pt idx="403">
                  <c:v>10065.92838016777</c:v>
                </c:pt>
                <c:pt idx="404">
                  <c:v>9216.4203699542632</c:v>
                </c:pt>
                <c:pt idx="405">
                  <c:v>8429.077310278004</c:v>
                </c:pt>
                <c:pt idx="406">
                  <c:v>7716.9839353446932</c:v>
                </c:pt>
                <c:pt idx="407">
                  <c:v>7093.4759291813061</c:v>
                </c:pt>
                <c:pt idx="408">
                  <c:v>6571.3801322477675</c:v>
                </c:pt>
                <c:pt idx="409">
                  <c:v>6162.561065342572</c:v>
                </c:pt>
                <c:pt idx="410">
                  <c:v>5877.8242179869058</c:v>
                </c:pt>
                <c:pt idx="411">
                  <c:v>5727.1419265354143</c:v>
                </c:pt>
                <c:pt idx="412">
                  <c:v>5720.1217344223915</c:v>
                </c:pt>
                <c:pt idx="413">
                  <c:v>5866.6334677872646</c:v>
                </c:pt>
                <c:pt idx="414">
                  <c:v>6177.5347075369145</c:v>
                </c:pt>
                <c:pt idx="415">
                  <c:v>6665.4648540178578</c:v>
                </c:pt>
                <c:pt idx="416">
                  <c:v>7345.6957215855591</c:v>
                </c:pt>
                <c:pt idx="417">
                  <c:v>8237.0039851538895</c:v>
                </c:pt>
                <c:pt idx="418">
                  <c:v>9362.406454517024</c:v>
                </c:pt>
                <c:pt idx="419">
                  <c:v>10749.212580692278</c:v>
                </c:pt>
                <c:pt idx="420">
                  <c:v>12426.78150199009</c:v>
                </c:pt>
                <c:pt idx="421">
                  <c:v>14417.662685545425</c:v>
                </c:pt>
                <c:pt idx="422">
                  <c:v>16712.36687811105</c:v>
                </c:pt>
                <c:pt idx="423">
                  <c:v>19216.369356129107</c:v>
                </c:pt>
                <c:pt idx="424">
                  <c:v>21700.730662384074</c:v>
                </c:pt>
                <c:pt idx="425">
                  <c:v>23875.431565716735</c:v>
                </c:pt>
                <c:pt idx="426">
                  <c:v>25547.623476081008</c:v>
                </c:pt>
                <c:pt idx="427">
                  <c:v>26647.904375319224</c:v>
                </c:pt>
                <c:pt idx="428">
                  <c:v>27168.749908744216</c:v>
                </c:pt>
                <c:pt idx="429">
                  <c:v>27119.993837495753</c:v>
                </c:pt>
                <c:pt idx="430">
                  <c:v>26511.866233561843</c:v>
                </c:pt>
                <c:pt idx="431">
                  <c:v>25354.295712854419</c:v>
                </c:pt>
                <c:pt idx="432">
                  <c:v>23670.443215524399</c:v>
                </c:pt>
                <c:pt idx="433">
                  <c:v>21532.665811349019</c:v>
                </c:pt>
                <c:pt idx="434">
                  <c:v>19120.079236107187</c:v>
                </c:pt>
                <c:pt idx="435">
                  <c:v>16719.004778864135</c:v>
                </c:pt>
                <c:pt idx="436">
                  <c:v>14575.467658273457</c:v>
                </c:pt>
                <c:pt idx="437">
                  <c:v>12787.846556282468</c:v>
                </c:pt>
                <c:pt idx="438">
                  <c:v>11351.585537467419</c:v>
                </c:pt>
                <c:pt idx="439">
                  <c:v>10223.69513784345</c:v>
                </c:pt>
                <c:pt idx="440">
                  <c:v>9353.6918013190098</c:v>
                </c:pt>
                <c:pt idx="441">
                  <c:v>8693.6395480927858</c:v>
                </c:pt>
                <c:pt idx="442">
                  <c:v>8200.1761274127093</c:v>
                </c:pt>
                <c:pt idx="443">
                  <c:v>7834.0380365366582</c:v>
                </c:pt>
                <c:pt idx="444">
                  <c:v>7559.0149981611557</c:v>
                </c:pt>
                <c:pt idx="445">
                  <c:v>7340.9423221096786</c:v>
                </c:pt>
                <c:pt idx="446">
                  <c:v>7146.8793042145662</c:v>
                </c:pt>
                <c:pt idx="447">
                  <c:v>6944.4585332713177</c:v>
                </c:pt>
                <c:pt idx="448">
                  <c:v>6701.3301182449759</c:v>
                </c:pt>
                <c:pt idx="449">
                  <c:v>6384.6037404659219</c:v>
                </c:pt>
                <c:pt idx="450">
                  <c:v>5960.1924338669733</c:v>
                </c:pt>
                <c:pt idx="451">
                  <c:v>5391.9863998699502</c:v>
                </c:pt>
                <c:pt idx="452">
                  <c:v>4640.8573263854814</c:v>
                </c:pt>
                <c:pt idx="453">
                  <c:v>3663.7026379111298</c:v>
                </c:pt>
                <c:pt idx="454">
                  <c:v>2413.3770225150702</c:v>
                </c:pt>
                <c:pt idx="455">
                  <c:v>842.3265083320473</c:v>
                </c:pt>
                <c:pt idx="456">
                  <c:v>-1081.6802227511225</c:v>
                </c:pt>
                <c:pt idx="457">
                  <c:v>-3329.0477810889838</c:v>
                </c:pt>
                <c:pt idx="458">
                  <c:v>-5729.0956456099557</c:v>
                </c:pt>
                <c:pt idx="459">
                  <c:v>-7986.1355731905151</c:v>
                </c:pt>
                <c:pt idx="460">
                  <c:v>-9869.8538912793665</c:v>
                </c:pt>
                <c:pt idx="461">
                  <c:v>-11288.272528378542</c:v>
                </c:pt>
                <c:pt idx="462">
                  <c:v>-12222.226993908542</c:v>
                </c:pt>
                <c:pt idx="463">
                  <c:v>-12672.172252736813</c:v>
                </c:pt>
                <c:pt idx="464">
                  <c:v>-12636.708014913582</c:v>
                </c:pt>
                <c:pt idx="465">
                  <c:v>-12106.215141746192</c:v>
                </c:pt>
                <c:pt idx="466">
                  <c:v>-11064.238169473902</c:v>
                </c:pt>
                <c:pt idx="467">
                  <c:v>-9499.8546269142698</c:v>
                </c:pt>
                <c:pt idx="468">
                  <c:v>-7445.7334905100843</c:v>
                </c:pt>
                <c:pt idx="469">
                  <c:v>-5050.6510352724008</c:v>
                </c:pt>
                <c:pt idx="470">
                  <c:v>-2594.6733353905024</c:v>
                </c:pt>
                <c:pt idx="471">
                  <c:v>-328.65792648183276</c:v>
                </c:pt>
                <c:pt idx="472">
                  <c:v>1637.7236467716905</c:v>
                </c:pt>
                <c:pt idx="473">
                  <c:v>3291.0488925596496</c:v>
                </c:pt>
                <c:pt idx="474">
                  <c:v>4654.7402873787587</c:v>
                </c:pt>
                <c:pt idx="475">
                  <c:v>5760.9658174108908</c:v>
                </c:pt>
                <c:pt idx="476">
                  <c:v>6641.0549997946973</c:v>
                </c:pt>
                <c:pt idx="477">
                  <c:v>7323.2145782847101</c:v>
                </c:pt>
                <c:pt idx="478">
                  <c:v>7832.7635284029539</c:v>
                </c:pt>
                <c:pt idx="479">
                  <c:v>8193.12556882848</c:v>
                </c:pt>
                <c:pt idx="480">
                  <c:v>8426.9506241422423</c:v>
                </c:pt>
                <c:pt idx="481">
                  <c:v>8557.1417288041339</c:v>
                </c:pt>
                <c:pt idx="482">
                  <c:v>8607.7048007572303</c:v>
                </c:pt>
                <c:pt idx="483">
                  <c:v>8604.3870016125111</c:v>
                </c:pt>
                <c:pt idx="484">
                  <c:v>8575.0922539014227</c:v>
                </c:pt>
                <c:pt idx="485">
                  <c:v>8550.0884012234455</c:v>
                </c:pt>
                <c:pt idx="486">
                  <c:v>8562.0583378980464</c:v>
                </c:pt>
                <c:pt idx="487">
                  <c:v>8646.0907070318244</c:v>
                </c:pt>
                <c:pt idx="488">
                  <c:v>8839.7352964775928</c:v>
                </c:pt>
                <c:pt idx="489">
                  <c:v>9183.2364002049071</c:v>
                </c:pt>
                <c:pt idx="490">
                  <c:v>9719.9657117056431</c:v>
                </c:pt>
                <c:pt idx="491">
                  <c:v>10496.825424717901</c:v>
                </c:pt>
                <c:pt idx="492">
                  <c:v>11563.76425341663</c:v>
                </c:pt>
                <c:pt idx="493">
                  <c:v>12969.964041953726</c:v>
                </c:pt>
                <c:pt idx="494">
                  <c:v>14750.565181124139</c:v>
                </c:pt>
                <c:pt idx="495">
                  <c:v>16892.304118722532</c:v>
                </c:pt>
                <c:pt idx="496">
                  <c:v>19274.867920738507</c:v>
                </c:pt>
                <c:pt idx="497">
                  <c:v>21649.711016870835</c:v>
                </c:pt>
                <c:pt idx="498">
                  <c:v>23746.91016334109</c:v>
                </c:pt>
                <c:pt idx="499">
                  <c:v>25392.758725939955</c:v>
                </c:pt>
                <c:pt idx="500">
                  <c:v>26508.569124502701</c:v>
                </c:pt>
                <c:pt idx="501">
                  <c:v>27063.679901521631</c:v>
                </c:pt>
                <c:pt idx="502">
                  <c:v>27043.995708242965</c:v>
                </c:pt>
                <c:pt idx="503">
                  <c:v>26440.122113807345</c:v>
                </c:pt>
                <c:pt idx="504">
                  <c:v>25250.327307005431</c:v>
                </c:pt>
                <c:pt idx="505">
                  <c:v>23500.712372457627</c:v>
                </c:pt>
                <c:pt idx="506">
                  <c:v>21287.677532968024</c:v>
                </c:pt>
                <c:pt idx="507">
                  <c:v>18817.57370288391</c:v>
                </c:pt>
                <c:pt idx="508">
                  <c:v>16358.660179737873</c:v>
                </c:pt>
                <c:pt idx="509">
                  <c:v>14113.807749322941</c:v>
                </c:pt>
                <c:pt idx="510">
                  <c:v>12172.431055899538</c:v>
                </c:pt>
                <c:pt idx="511">
                  <c:v>10550.124966371241</c:v>
                </c:pt>
                <c:pt idx="512">
                  <c:v>9232.1777460107041</c:v>
                </c:pt>
                <c:pt idx="513">
                  <c:v>8196.2707326840318</c:v>
                </c:pt>
                <c:pt idx="514">
                  <c:v>7421.4176719995994</c:v>
                </c:pt>
                <c:pt idx="515">
                  <c:v>6890.813987504499</c:v>
                </c:pt>
                <c:pt idx="516">
                  <c:v>6592.4189972903241</c:v>
                </c:pt>
                <c:pt idx="517">
                  <c:v>6518.8205229724399</c:v>
                </c:pt>
                <c:pt idx="518">
                  <c:v>6666.9431716454401</c:v>
                </c:pt>
                <c:pt idx="519">
                  <c:v>7037.7726572796437</c:v>
                </c:pt>
                <c:pt idx="520">
                  <c:v>7636.1113584477553</c:v>
                </c:pt>
                <c:pt idx="521">
                  <c:v>8470.2799646625099</c:v>
                </c:pt>
                <c:pt idx="522">
                  <c:v>9551.5234261802325</c:v>
                </c:pt>
                <c:pt idx="523">
                  <c:v>10892.532881721774</c:v>
                </c:pt>
                <c:pt idx="524">
                  <c:v>12503.758915234495</c:v>
                </c:pt>
                <c:pt idx="525">
                  <c:v>14384.880114305541</c:v>
                </c:pt>
                <c:pt idx="526">
                  <c:v>16507.421498595661</c:v>
                </c:pt>
                <c:pt idx="527">
                  <c:v>18786.940106774557</c:v>
                </c:pt>
                <c:pt idx="528">
                  <c:v>21059.743910539237</c:v>
                </c:pt>
                <c:pt idx="529">
                  <c:v>23105.83556342576</c:v>
                </c:pt>
                <c:pt idx="530">
                  <c:v>24728.537515467462</c:v>
                </c:pt>
                <c:pt idx="531">
                  <c:v>25813.081663646019</c:v>
                </c:pt>
                <c:pt idx="532">
                  <c:v>26319.267062007861</c:v>
                </c:pt>
                <c:pt idx="533">
                  <c:v>26249.308245101369</c:v>
                </c:pt>
                <c:pt idx="534">
                  <c:v>25625.981945140655</c:v>
                </c:pt>
                <c:pt idx="535">
                  <c:v>24486.777780759072</c:v>
                </c:pt>
                <c:pt idx="536">
                  <c:v>22891.885248751387</c:v>
                </c:pt>
                <c:pt idx="537">
                  <c:v>20944.270855839775</c:v>
                </c:pt>
                <c:pt idx="538">
                  <c:v>18812.009653240977</c:v>
                </c:pt>
                <c:pt idx="539">
                  <c:v>16718.173781734928</c:v>
                </c:pt>
                <c:pt idx="540">
                  <c:v>14868.205215472555</c:v>
                </c:pt>
                <c:pt idx="541">
                  <c:v>13375.077509258672</c:v>
                </c:pt>
                <c:pt idx="542">
                  <c:v>12257.337959344828</c:v>
                </c:pt>
                <c:pt idx="543">
                  <c:v>11479.392141860202</c:v>
                </c:pt>
                <c:pt idx="544">
                  <c:v>10984.905563457623</c:v>
                </c:pt>
                <c:pt idx="545">
                  <c:v>10713.724544803925</c:v>
                </c:pt>
                <c:pt idx="546">
                  <c:v>10608.746820735227</c:v>
                </c:pt>
                <c:pt idx="547">
                  <c:v>10618.413073494306</c:v>
                </c:pt>
                <c:pt idx="548">
                  <c:v>10697.567010234709</c:v>
                </c:pt>
                <c:pt idx="549">
                  <c:v>10807.710878476048</c:v>
                </c:pt>
                <c:pt idx="550">
                  <c:v>10916.959814694777</c:v>
                </c:pt>
                <c:pt idx="551">
                  <c:v>10999.77803528372</c:v>
                </c:pt>
                <c:pt idx="552">
                  <c:v>11036.556955660828</c:v>
                </c:pt>
                <c:pt idx="553">
                  <c:v>11013.116446699374</c:v>
                </c:pt>
                <c:pt idx="554">
                  <c:v>10920.216227446976</c:v>
                </c:pt>
                <c:pt idx="555">
                  <c:v>10753.14574523479</c:v>
                </c:pt>
                <c:pt idx="556">
                  <c:v>10511.426984464715</c:v>
                </c:pt>
                <c:pt idx="557">
                  <c:v>10198.625335807743</c:v>
                </c:pt>
                <c:pt idx="558">
                  <c:v>9822.224912834723</c:v>
                </c:pt>
                <c:pt idx="559">
                  <c:v>9393.4914100573333</c:v>
                </c:pt>
                <c:pt idx="560">
                  <c:v>8927.2259606614116</c:v>
                </c:pt>
                <c:pt idx="561">
                  <c:v>8441.3201117388016</c:v>
                </c:pt>
                <c:pt idx="562">
                  <c:v>7956.0662037728689</c:v>
                </c:pt>
                <c:pt idx="563">
                  <c:v>7493.256706769831</c:v>
                </c:pt>
                <c:pt idx="564">
                  <c:v>7075.1950810216631</c:v>
                </c:pt>
                <c:pt idx="565">
                  <c:v>6723.7985950439688</c:v>
                </c:pt>
                <c:pt idx="566">
                  <c:v>6459.9695670923757</c:v>
                </c:pt>
                <c:pt idx="567">
                  <c:v>6303.3488956956717</c:v>
                </c:pt>
                <c:pt idx="568">
                  <c:v>6272.479364721833</c:v>
                </c:pt>
                <c:pt idx="569">
                  <c:v>6385.3365780735121</c:v>
                </c:pt>
                <c:pt idx="570">
                  <c:v>6660.1538750106711</c:v>
                </c:pt>
                <c:pt idx="571">
                  <c:v>7116.4699018008505</c:v>
                </c:pt>
                <c:pt idx="572">
                  <c:v>7776.339313669735</c:v>
                </c:pt>
                <c:pt idx="573">
                  <c:v>8665.6223974134846</c:v>
                </c:pt>
                <c:pt idx="574">
                  <c:v>9815.106857994675</c:v>
                </c:pt>
                <c:pt idx="575">
                  <c:v>11260.640394493064</c:v>
                </c:pt>
                <c:pt idx="576">
                  <c:v>13039.693550384181</c:v>
                </c:pt>
                <c:pt idx="577">
                  <c:v>15176.975346160365</c:v>
                </c:pt>
                <c:pt idx="578">
                  <c:v>17642.713391965146</c:v>
                </c:pt>
                <c:pt idx="579">
                  <c:v>20275.827355457764</c:v>
                </c:pt>
                <c:pt idx="580">
                  <c:v>22769.297353827242</c:v>
                </c:pt>
                <c:pt idx="581">
                  <c:v>24843.420444690106</c:v>
                </c:pt>
                <c:pt idx="582">
                  <c:v>26367.733843310838</c:v>
                </c:pt>
                <c:pt idx="583">
                  <c:v>27310.294939885836</c:v>
                </c:pt>
                <c:pt idx="584">
                  <c:v>27672.035752710424</c:v>
                </c:pt>
                <c:pt idx="585">
                  <c:v>27456.790417989832</c:v>
                </c:pt>
                <c:pt idx="586">
                  <c:v>26662.971262828396</c:v>
                </c:pt>
                <c:pt idx="587">
                  <c:v>25288.129410111887</c:v>
                </c:pt>
                <c:pt idx="588">
                  <c:v>23351.409581152147</c:v>
                </c:pt>
                <c:pt idx="589">
                  <c:v>20949.363150996334</c:v>
                </c:pt>
                <c:pt idx="590">
                  <c:v>18324.741423146577</c:v>
                </c:pt>
                <c:pt idx="591">
                  <c:v>15800.161758059461</c:v>
                </c:pt>
                <c:pt idx="592">
                  <c:v>13581.982360122882</c:v>
                </c:pt>
                <c:pt idx="593">
                  <c:v>11725.710975453083</c:v>
                </c:pt>
                <c:pt idx="594">
                  <c:v>10213.805505933316</c:v>
                </c:pt>
                <c:pt idx="595">
                  <c:v>9008.3428602349759</c:v>
                </c:pt>
                <c:pt idx="596">
                  <c:v>8070.7485604764588</c:v>
                </c:pt>
                <c:pt idx="597">
                  <c:v>7367.0548090611483</c:v>
                </c:pt>
                <c:pt idx="598">
                  <c:v>6868.2695643342795</c:v>
                </c:pt>
                <c:pt idx="599">
                  <c:v>6549.3309511707403</c:v>
                </c:pt>
                <c:pt idx="600">
                  <c:v>6387.7764296588593</c:v>
                </c:pt>
                <c:pt idx="601">
                  <c:v>6362.4768493820757</c:v>
                </c:pt>
                <c:pt idx="602">
                  <c:v>6452.5526430617592</c:v>
                </c:pt>
                <c:pt idx="603">
                  <c:v>6636.5363752838821</c:v>
                </c:pt>
                <c:pt idx="604">
                  <c:v>6891.8410657778113</c:v>
                </c:pt>
                <c:pt idx="605">
                  <c:v>7194.5838708635838</c:v>
                </c:pt>
                <c:pt idx="606">
                  <c:v>7519.7774657802493</c:v>
                </c:pt>
                <c:pt idx="607">
                  <c:v>7841.8366219515483</c:v>
                </c:pt>
                <c:pt idx="608">
                  <c:v>8135.2759105862524</c:v>
                </c:pt>
                <c:pt idx="609">
                  <c:v>8375.4283168369457</c:v>
                </c:pt>
                <c:pt idx="610">
                  <c:v>8539.0168849107176</c:v>
                </c:pt>
                <c:pt idx="611">
                  <c:v>8604.4598300708531</c:v>
                </c:pt>
                <c:pt idx="612">
                  <c:v>8551.8581257983842</c:v>
                </c:pt>
                <c:pt idx="613">
                  <c:v>8362.6733057516176</c:v>
                </c:pt>
                <c:pt idx="614">
                  <c:v>8019.1360030981923</c:v>
                </c:pt>
                <c:pt idx="615">
                  <c:v>7503.4364230379942</c:v>
                </c:pt>
                <c:pt idx="616">
                  <c:v>6796.7571723609835</c:v>
                </c:pt>
                <c:pt idx="617">
                  <c:v>5878.2542342565921</c:v>
                </c:pt>
                <c:pt idx="618">
                  <c:v>4724.2460445613997</c:v>
                </c:pt>
                <c:pt idx="619">
                  <c:v>3308.3030658793627</c:v>
                </c:pt>
                <c:pt idx="620">
                  <c:v>1604.0683166309129</c:v>
                </c:pt>
                <c:pt idx="621">
                  <c:v>-404.55225890915017</c:v>
                </c:pt>
                <c:pt idx="622">
                  <c:v>-2695.8474794679287</c:v>
                </c:pt>
                <c:pt idx="623">
                  <c:v>-5156.1361916431088</c:v>
                </c:pt>
                <c:pt idx="624">
                  <c:v>-7542.2332693734315</c:v>
                </c:pt>
                <c:pt idx="625">
                  <c:v>-9582.1887960385047</c:v>
                </c:pt>
                <c:pt idx="626">
                  <c:v>-11125.05924768427</c:v>
                </c:pt>
                <c:pt idx="627">
                  <c:v>-12135.266264716058</c:v>
                </c:pt>
                <c:pt idx="628">
                  <c:v>-12624.254943056854</c:v>
                </c:pt>
                <c:pt idx="629">
                  <c:v>-12611.350509656313</c:v>
                </c:pt>
                <c:pt idx="630">
                  <c:v>-12110.435418549649</c:v>
                </c:pt>
                <c:pt idx="631">
                  <c:v>-11128.488890299341</c:v>
                </c:pt>
                <c:pt idx="632">
                  <c:v>-9672.374433096933</c:v>
                </c:pt>
                <c:pt idx="633">
                  <c:v>-7770.3878988915949</c:v>
                </c:pt>
                <c:pt idx="634">
                  <c:v>-5522.7436130623464</c:v>
                </c:pt>
                <c:pt idx="635">
                  <c:v>-3160.3178768587968</c:v>
                </c:pt>
                <c:pt idx="636">
                  <c:v>-972.87389463275258</c:v>
                </c:pt>
                <c:pt idx="637">
                  <c:v>873.52722077071962</c:v>
                </c:pt>
                <c:pt idx="638">
                  <c:v>2353.7416197098773</c:v>
                </c:pt>
                <c:pt idx="639">
                  <c:v>3504.8622963840812</c:v>
                </c:pt>
                <c:pt idx="640">
                  <c:v>4379.0764883380061</c:v>
                </c:pt>
                <c:pt idx="641">
                  <c:v>5027.7026518710654</c:v>
                </c:pt>
                <c:pt idx="642">
                  <c:v>5497.5315559493574</c:v>
                </c:pt>
                <c:pt idx="643">
                  <c:v>5830.8438102267855</c:v>
                </c:pt>
                <c:pt idx="644">
                  <c:v>6066.2392292667801</c:v>
                </c:pt>
                <c:pt idx="645">
                  <c:v>6239.4565276676267</c:v>
                </c:pt>
                <c:pt idx="646">
                  <c:v>6384.0181299540163</c:v>
                </c:pt>
                <c:pt idx="647">
                  <c:v>6531.7395968882274</c:v>
                </c:pt>
                <c:pt idx="648">
                  <c:v>6713.1995834937607</c:v>
                </c:pt>
                <c:pt idx="649">
                  <c:v>6958.2696458669898</c:v>
                </c:pt>
                <c:pt idx="650">
                  <c:v>7296.785897966306</c:v>
                </c:pt>
                <c:pt idx="651">
                  <c:v>7759.4183943685339</c:v>
                </c:pt>
                <c:pt idx="652">
                  <c:v>8378.7577986022752</c:v>
                </c:pt>
                <c:pt idx="653">
                  <c:v>9190.5667477390452</c:v>
                </c:pt>
                <c:pt idx="654">
                  <c:v>10234.94643980545</c:v>
                </c:pt>
                <c:pt idx="655">
                  <c:v>11556.577869871717</c:v>
                </c:pt>
                <c:pt idx="656">
                  <c:v>13201.438649828922</c:v>
                </c:pt>
                <c:pt idx="657">
                  <c:v>15202.631870179395</c:v>
                </c:pt>
                <c:pt idx="658">
                  <c:v>17539.202830689086</c:v>
                </c:pt>
                <c:pt idx="659">
                  <c:v>20061.224715268792</c:v>
                </c:pt>
                <c:pt idx="660">
                  <c:v>22476.133003857973</c:v>
                </c:pt>
                <c:pt idx="661">
                  <c:v>24511.953153372888</c:v>
                </c:pt>
                <c:pt idx="662">
                  <c:v>26033.589285016558</c:v>
                </c:pt>
                <c:pt idx="663">
                  <c:v>26999.806854463892</c:v>
                </c:pt>
                <c:pt idx="664">
                  <c:v>27402.897910966061</c:v>
                </c:pt>
                <c:pt idx="665">
                  <c:v>27239.75737437194</c:v>
                </c:pt>
                <c:pt idx="666">
                  <c:v>26503.395897922284</c:v>
                </c:pt>
                <c:pt idx="667">
                  <c:v>25187.585323636613</c:v>
                </c:pt>
                <c:pt idx="668">
                  <c:v>23310.105271830034</c:v>
                </c:pt>
                <c:pt idx="669">
                  <c:v>20968.31270685876</c:v>
                </c:pt>
                <c:pt idx="670">
                  <c:v>18399.831952379744</c:v>
                </c:pt>
                <c:pt idx="671">
                  <c:v>15909.612919160518</c:v>
                </c:pt>
                <c:pt idx="672">
                  <c:v>13692.755852096012</c:v>
                </c:pt>
                <c:pt idx="673">
                  <c:v>11806.772368008649</c:v>
                </c:pt>
                <c:pt idx="674">
                  <c:v>10240.481102077052</c:v>
                </c:pt>
                <c:pt idx="675">
                  <c:v>8962.0290668809012</c:v>
                </c:pt>
                <c:pt idx="676">
                  <c:v>7937.9499592994698</c:v>
                </c:pt>
                <c:pt idx="677">
                  <c:v>7138.7777184811703</c:v>
                </c:pt>
                <c:pt idx="678">
                  <c:v>6539.8442980513</c:v>
                </c:pt>
                <c:pt idx="679">
                  <c:v>6120.5796364826565</c:v>
                </c:pt>
                <c:pt idx="680">
                  <c:v>5863.4447505030357</c:v>
                </c:pt>
                <c:pt idx="681">
                  <c:v>5752.8477115664264</c:v>
                </c:pt>
                <c:pt idx="682">
                  <c:v>5774.1356095794099</c:v>
                </c:pt>
                <c:pt idx="683">
                  <c:v>5912.689406941221</c:v>
                </c:pt>
                <c:pt idx="684">
                  <c:v>6153.1518248031962</c:v>
                </c:pt>
                <c:pt idx="685">
                  <c:v>6478.8432161488681</c:v>
                </c:pt>
                <c:pt idx="686">
                  <c:v>6871.4409783991296</c:v>
                </c:pt>
                <c:pt idx="687">
                  <c:v>7310.9946918484075</c:v>
                </c:pt>
                <c:pt idx="688">
                  <c:v>7776.3090082105191</c:v>
                </c:pt>
                <c:pt idx="689">
                  <c:v>8245.6527468394543</c:v>
                </c:pt>
                <c:pt idx="690">
                  <c:v>8697.6714992758498</c:v>
                </c:pt>
                <c:pt idx="691">
                  <c:v>9112.3310434620944</c:v>
                </c:pt>
                <c:pt idx="692">
                  <c:v>9471.727009421591</c:v>
                </c:pt>
                <c:pt idx="693">
                  <c:v>9760.6576168985503</c:v>
                </c:pt>
                <c:pt idx="694">
                  <c:v>9966.9383579433106</c:v>
                </c:pt>
                <c:pt idx="695">
                  <c:v>10081.504015389346</c:v>
                </c:pt>
                <c:pt idx="696">
                  <c:v>10098.375311356835</c:v>
                </c:pt>
                <c:pt idx="697">
                  <c:v>10014.565865886123</c:v>
                </c:pt>
                <c:pt idx="698">
                  <c:v>9829.9816235620729</c:v>
                </c:pt>
                <c:pt idx="699">
                  <c:v>9547.3314714934822</c:v>
                </c:pt>
                <c:pt idx="700">
                  <c:v>9172.032772741275</c:v>
                </c:pt>
                <c:pt idx="701">
                  <c:v>8712.0650891620135</c:v>
                </c:pt>
                <c:pt idx="702">
                  <c:v>8177.7065838473327</c:v>
                </c:pt>
                <c:pt idx="703">
                  <c:v>7581.089825022098</c:v>
                </c:pt>
                <c:pt idx="704">
                  <c:v>6935.5448398538665</c:v>
                </c:pt>
                <c:pt idx="705">
                  <c:v>6254.7552729807367</c:v>
                </c:pt>
                <c:pt idx="706">
                  <c:v>5551.8196205101704</c:v>
                </c:pt>
                <c:pt idx="707">
                  <c:v>4838.3529225858156</c:v>
                </c:pt>
                <c:pt idx="708">
                  <c:v>4123.7607740129733</c:v>
                </c:pt>
                <c:pt idx="709">
                  <c:v>3414.7680037667542</c:v>
                </c:pt>
                <c:pt idx="710">
                  <c:v>2715.2151022751264</c:v>
                </c:pt>
                <c:pt idx="711">
                  <c:v>2026.0788383290217</c:v>
                </c:pt>
                <c:pt idx="712">
                  <c:v>1345.6483487107698</c:v>
                </c:pt>
                <c:pt idx="713">
                  <c:v>669.79477744787641</c:v>
                </c:pt>
                <c:pt idx="714">
                  <c:v>-7.6979627628060996</c:v>
                </c:pt>
                <c:pt idx="715">
                  <c:v>-694.72839341882047</c:v>
                </c:pt>
                <c:pt idx="716">
                  <c:v>-1400.3179315913305</c:v>
                </c:pt>
                <c:pt idx="717">
                  <c:v>-2133.6891434514191</c:v>
                </c:pt>
                <c:pt idx="718">
                  <c:v>-2902.4829361981551</c:v>
                </c:pt>
                <c:pt idx="719">
                  <c:v>-3708.9123122789638</c:v>
                </c:pt>
                <c:pt idx="720">
                  <c:v>-4541.2606396389619</c:v>
                </c:pt>
                <c:pt idx="721">
                  <c:v>-5358.0021026141922</c:v>
                </c:pt>
                <c:pt idx="722">
                  <c:v>-6076.4249831367424</c:v>
                </c:pt>
                <c:pt idx="723">
                  <c:v>-6609.1944782063283</c:v>
                </c:pt>
                <c:pt idx="724">
                  <c:v>-6922.9577286980702</c:v>
                </c:pt>
                <c:pt idx="725">
                  <c:v>-7029.514891899209</c:v>
                </c:pt>
                <c:pt idx="726">
                  <c:v>-6953.4197903902095</c:v>
                </c:pt>
                <c:pt idx="727">
                  <c:v>-6717.9286390279112</c:v>
                </c:pt>
                <c:pt idx="728">
                  <c:v>-6342.9431626220676</c:v>
                </c:pt>
                <c:pt idx="729">
                  <c:v>-5847.3447682785863</c:v>
                </c:pt>
                <c:pt idx="730">
                  <c:v>-5254.075595497874</c:v>
                </c:pt>
                <c:pt idx="731">
                  <c:v>-4599.2219252507412</c:v>
                </c:pt>
                <c:pt idx="732">
                  <c:v>-3944.3807746141074</c:v>
                </c:pt>
                <c:pt idx="733">
                  <c:v>-3373.4960181273141</c:v>
                </c:pt>
                <c:pt idx="734">
                  <c:v>-2943.4457283130146</c:v>
                </c:pt>
                <c:pt idx="735">
                  <c:v>-2648.0570980410725</c:v>
                </c:pt>
                <c:pt idx="736">
                  <c:v>-2449.0506832557026</c:v>
                </c:pt>
                <c:pt idx="737">
                  <c:v>-2307.6044140616023</c:v>
                </c:pt>
                <c:pt idx="738">
                  <c:v>-2193.6492592453001</c:v>
                </c:pt>
                <c:pt idx="739">
                  <c:v>-2085.7699384454868</c:v>
                </c:pt>
                <c:pt idx="740">
                  <c:v>-1969.2241036915739</c:v>
                </c:pt>
                <c:pt idx="741">
                  <c:v>-1834.1363156072016</c:v>
                </c:pt>
                <c:pt idx="742">
                  <c:v>-1674.2288992369706</c:v>
                </c:pt>
                <c:pt idx="743">
                  <c:v>-1486.0766292593642</c:v>
                </c:pt>
                <c:pt idx="744">
                  <c:v>-1268.8246580860323</c:v>
                </c:pt>
                <c:pt idx="745">
                  <c:v>-1024.3313210112469</c:v>
                </c:pt>
                <c:pt idx="746">
                  <c:v>-757.72970049908724</c:v>
                </c:pt>
                <c:pt idx="747">
                  <c:v>-478.42826555523806</c:v>
                </c:pt>
                <c:pt idx="748">
                  <c:v>-201.5827360214349</c:v>
                </c:pt>
                <c:pt idx="749">
                  <c:v>49.942539035941977</c:v>
                </c:pt>
                <c:pt idx="750">
                  <c:v>243.16771443670439</c:v>
                </c:pt>
                <c:pt idx="751">
                  <c:v>332.37122345357619</c:v>
                </c:pt>
                <c:pt idx="752">
                  <c:v>257.03012681217609</c:v>
                </c:pt>
                <c:pt idx="753">
                  <c:v>-57.129138401710208</c:v>
                </c:pt>
                <c:pt idx="754">
                  <c:v>-686.78863799787473</c:v>
                </c:pt>
                <c:pt idx="755">
                  <c:v>-1676.2674548394853</c:v>
                </c:pt>
                <c:pt idx="756">
                  <c:v>-2982.6460850458784</c:v>
                </c:pt>
                <c:pt idx="757">
                  <c:v>-4465.6783240635632</c:v>
                </c:pt>
                <c:pt idx="758">
                  <c:v>-5959.5407008140692</c:v>
                </c:pt>
                <c:pt idx="759">
                  <c:v>-7333.4749572494529</c:v>
                </c:pt>
                <c:pt idx="760">
                  <c:v>-8496.6458690317868</c:v>
                </c:pt>
                <c:pt idx="761">
                  <c:v>-9381.7670560142033</c:v>
                </c:pt>
                <c:pt idx="762">
                  <c:v>-9930.5749071020236</c:v>
                </c:pt>
                <c:pt idx="763">
                  <c:v>-10085.819413999849</c:v>
                </c:pt>
                <c:pt idx="764">
                  <c:v>-9791.9078275285046</c:v>
                </c:pt>
                <c:pt idx="765">
                  <c:v>-9011.234710588431</c:v>
                </c:pt>
                <c:pt idx="766">
                  <c:v>-7763.9372016907582</c:v>
                </c:pt>
                <c:pt idx="767">
                  <c:v>-6166.0544079320189</c:v>
                </c:pt>
                <c:pt idx="768">
                  <c:v>-4396.7211894854545</c:v>
                </c:pt>
                <c:pt idx="769">
                  <c:v>-2612.3982168640782</c:v>
                </c:pt>
                <c:pt idx="770">
                  <c:v>-907.29769931330929</c:v>
                </c:pt>
                <c:pt idx="771">
                  <c:v>675.24137259378722</c:v>
                </c:pt>
                <c:pt idx="772">
                  <c:v>2121.3797493816687</c:v>
                </c:pt>
                <c:pt idx="773">
                  <c:v>3431.7308961838562</c:v>
                </c:pt>
                <c:pt idx="774">
                  <c:v>4612.9548157378031</c:v>
                </c:pt>
                <c:pt idx="775">
                  <c:v>5673.5139568050654</c:v>
                </c:pt>
                <c:pt idx="776">
                  <c:v>6621.7661955441317</c:v>
                </c:pt>
                <c:pt idx="777">
                  <c:v>7465.3514192844141</c:v>
                </c:pt>
                <c:pt idx="778">
                  <c:v>8211.2900844497508</c:v>
                </c:pt>
                <c:pt idx="779">
                  <c:v>8866.4575993585331</c:v>
                </c:pt>
                <c:pt idx="780">
                  <c:v>9438.2389218364897</c:v>
                </c:pt>
                <c:pt idx="781">
                  <c:v>9935.2596228059738</c:v>
                </c:pt>
                <c:pt idx="782">
                  <c:v>10368.153315586233</c:v>
                </c:pt>
                <c:pt idx="783">
                  <c:v>10750.367053589258</c:v>
                </c:pt>
                <c:pt idx="784">
                  <c:v>11099.029749252559</c:v>
                </c:pt>
                <c:pt idx="785">
                  <c:v>11435.918094335837</c:v>
                </c:pt>
                <c:pt idx="786">
                  <c:v>11788.552236008785</c:v>
                </c:pt>
                <c:pt idx="787">
                  <c:v>12191.430852983221</c:v>
                </c:pt>
                <c:pt idx="788">
                  <c:v>12687.323633945605</c:v>
                </c:pt>
                <c:pt idx="789">
                  <c:v>13328.201275939646</c:v>
                </c:pt>
                <c:pt idx="790">
                  <c:v>14174.248122227347</c:v>
                </c:pt>
                <c:pt idx="791">
                  <c:v>15286.101650162345</c:v>
                </c:pt>
                <c:pt idx="792">
                  <c:v>16698.823018755204</c:v>
                </c:pt>
                <c:pt idx="793">
                  <c:v>18368.062847886409</c:v>
                </c:pt>
                <c:pt idx="794">
                  <c:v>20134.68310958752</c:v>
                </c:pt>
                <c:pt idx="795">
                  <c:v>21796.782197957287</c:v>
                </c:pt>
                <c:pt idx="796">
                  <c:v>23206.850264563956</c:v>
                </c:pt>
                <c:pt idx="797">
                  <c:v>24282.35810560326</c:v>
                </c:pt>
                <c:pt idx="798">
                  <c:v>24976.529083215981</c:v>
                </c:pt>
                <c:pt idx="799">
                  <c:v>25255.348595768683</c:v>
                </c:pt>
                <c:pt idx="800">
                  <c:v>25086.500134423164</c:v>
                </c:pt>
                <c:pt idx="801">
                  <c:v>24438.55664903091</c:v>
                </c:pt>
                <c:pt idx="802">
                  <c:v>23295.043865749049</c:v>
                </c:pt>
                <c:pt idx="803">
                  <c:v>21694.699278309923</c:v>
                </c:pt>
                <c:pt idx="804">
                  <c:v>19783.440649286331</c:v>
                </c:pt>
                <c:pt idx="805">
                  <c:v>17783.240192303736</c:v>
                </c:pt>
                <c:pt idx="806">
                  <c:v>15868.946757114691</c:v>
                </c:pt>
                <c:pt idx="807">
                  <c:v>14120.313068539293</c:v>
                </c:pt>
                <c:pt idx="808">
                  <c:v>12554.843700151241</c:v>
                </c:pt>
                <c:pt idx="809">
                  <c:v>11162.89501620689</c:v>
                </c:pt>
                <c:pt idx="810">
                  <c:v>9925.9725096735019</c:v>
                </c:pt>
                <c:pt idx="811">
                  <c:v>8824.3379663879732</c:v>
                </c:pt>
                <c:pt idx="812">
                  <c:v>7839.6899727310647</c:v>
                </c:pt>
                <c:pt idx="813">
                  <c:v>6955.7587643044735</c:v>
                </c:pt>
                <c:pt idx="814">
                  <c:v>6158.0544692639742</c:v>
                </c:pt>
                <c:pt idx="815">
                  <c:v>5433.3036567619183</c:v>
                </c:pt>
                <c:pt idx="816">
                  <c:v>4768.8042515551961</c:v>
                </c:pt>
                <c:pt idx="817">
                  <c:v>4151.7899718202798</c:v>
                </c:pt>
                <c:pt idx="818">
                  <c:v>3568.8293731710978</c:v>
                </c:pt>
                <c:pt idx="819">
                  <c:v>3005.2544556625635</c:v>
                </c:pt>
                <c:pt idx="820">
                  <c:v>2444.6038914750088</c:v>
                </c:pt>
                <c:pt idx="821">
                  <c:v>1868.0699985765168</c:v>
                </c:pt>
                <c:pt idx="822">
                  <c:v>1253.9591754537369</c:v>
                </c:pt>
                <c:pt idx="823">
                  <c:v>577.23440513870366</c:v>
                </c:pt>
                <c:pt idx="824">
                  <c:v>-190.61551085794059</c:v>
                </c:pt>
                <c:pt idx="825">
                  <c:v>-1080.5863134797464</c:v>
                </c:pt>
                <c:pt idx="826">
                  <c:v>-2121.5811863868848</c:v>
                </c:pt>
                <c:pt idx="827">
                  <c:v>-3325.4960315270728</c:v>
                </c:pt>
                <c:pt idx="828">
                  <c:v>-4651.3334982646957</c:v>
                </c:pt>
                <c:pt idx="829">
                  <c:v>-5969.6646955900078</c:v>
                </c:pt>
                <c:pt idx="830">
                  <c:v>-7121.5444922020861</c:v>
                </c:pt>
                <c:pt idx="831">
                  <c:v>-8017.3654739133726</c:v>
                </c:pt>
                <c:pt idx="832">
                  <c:v>-8631.9219525057924</c:v>
                </c:pt>
                <c:pt idx="833">
                  <c:v>-8964.6207215097729</c:v>
                </c:pt>
                <c:pt idx="834">
                  <c:v>-9018.4470348041086</c:v>
                </c:pt>
                <c:pt idx="835">
                  <c:v>-8792.8758157553239</c:v>
                </c:pt>
                <c:pt idx="836">
                  <c:v>-8283.0520368039743</c:v>
                </c:pt>
                <c:pt idx="837">
                  <c:v>-7484.3732119154729</c:v>
                </c:pt>
                <c:pt idx="838">
                  <c:v>-6408.5615391516048</c:v>
                </c:pt>
                <c:pt idx="839">
                  <c:v>-5120.5835178970538</c:v>
                </c:pt>
                <c:pt idx="840">
                  <c:v>-3765.9047203434402</c:v>
                </c:pt>
                <c:pt idx="841">
                  <c:v>-2495.8221147882487</c:v>
                </c:pt>
                <c:pt idx="842">
                  <c:v>-1378.004967956944</c:v>
                </c:pt>
                <c:pt idx="843">
                  <c:v>-413.93494365781578</c:v>
                </c:pt>
                <c:pt idx="844">
                  <c:v>420.47451902807268</c:v>
                </c:pt>
                <c:pt idx="845">
                  <c:v>1154.9538105462148</c:v>
                </c:pt>
                <c:pt idx="846">
                  <c:v>1818.1008241832242</c:v>
                </c:pt>
                <c:pt idx="847">
                  <c:v>2435.557656064082</c:v>
                </c:pt>
                <c:pt idx="848">
                  <c:v>3029.8234242896442</c:v>
                </c:pt>
                <c:pt idx="849">
                  <c:v>3620.5871829497491</c:v>
                </c:pt>
                <c:pt idx="850">
                  <c:v>4225.2222908472722</c:v>
                </c:pt>
                <c:pt idx="851">
                  <c:v>4859.3322579237547</c:v>
                </c:pt>
                <c:pt idx="852">
                  <c:v>5537.3219315449805</c:v>
                </c:pt>
                <c:pt idx="853">
                  <c:v>6272.9970210327665</c:v>
                </c:pt>
                <c:pt idx="854">
                  <c:v>7080.2017000032947</c:v>
                </c:pt>
                <c:pt idx="855">
                  <c:v>7973.4943356769163</c:v>
                </c:pt>
                <c:pt idx="856">
                  <c:v>8968.8294442884489</c:v>
                </c:pt>
                <c:pt idx="857">
                  <c:v>10084.141578372721</c:v>
                </c:pt>
                <c:pt idx="858">
                  <c:v>11339.568371637126</c:v>
                </c:pt>
                <c:pt idx="859">
                  <c:v>12756.687442270057</c:v>
                </c:pt>
                <c:pt idx="860">
                  <c:v>14355.279451487544</c:v>
                </c:pt>
                <c:pt idx="861">
                  <c:v>16144.157198741581</c:v>
                </c:pt>
                <c:pt idx="862">
                  <c:v>18099.238108857407</c:v>
                </c:pt>
                <c:pt idx="863">
                  <c:v>20123.728586601403</c:v>
                </c:pt>
                <c:pt idx="864">
                  <c:v>22021.888519955133</c:v>
                </c:pt>
                <c:pt idx="865">
                  <c:v>23573.248723468714</c:v>
                </c:pt>
                <c:pt idx="866">
                  <c:v>24653.242687607235</c:v>
                </c:pt>
                <c:pt idx="867">
                  <c:v>25237.450674125961</c:v>
                </c:pt>
                <c:pt idx="868">
                  <c:v>25345.688458215162</c:v>
                </c:pt>
                <c:pt idx="869">
                  <c:v>25007.701244065996</c:v>
                </c:pt>
                <c:pt idx="870">
                  <c:v>24252.959952888184</c:v>
                </c:pt>
                <c:pt idx="871">
                  <c:v>23113.57823791324</c:v>
                </c:pt>
                <c:pt idx="872">
                  <c:v>21637.79055777991</c:v>
                </c:pt>
                <c:pt idx="873">
                  <c:v>19916.67428586461</c:v>
                </c:pt>
                <c:pt idx="874">
                  <c:v>18113.696336194957</c:v>
                </c:pt>
                <c:pt idx="875">
                  <c:v>16437.805335864046</c:v>
                </c:pt>
                <c:pt idx="876">
                  <c:v>15032.236748079977</c:v>
                </c:pt>
                <c:pt idx="877">
                  <c:v>13923.251431508077</c:v>
                </c:pt>
                <c:pt idx="878">
                  <c:v>13069.120434032662</c:v>
                </c:pt>
                <c:pt idx="879">
                  <c:v>12409.602138509088</c:v>
                </c:pt>
                <c:pt idx="880">
                  <c:v>11886.971106129022</c:v>
                </c:pt>
                <c:pt idx="881">
                  <c:v>11451.694851117387</c:v>
                </c:pt>
                <c:pt idx="882">
                  <c:v>11062.814270196903</c:v>
                </c:pt>
                <c:pt idx="883">
                  <c:v>10686.902478529706</c:v>
                </c:pt>
                <c:pt idx="884">
                  <c:v>10296.790436801562</c:v>
                </c:pt>
                <c:pt idx="885">
                  <c:v>9870.3624853143629</c:v>
                </c:pt>
                <c:pt idx="886">
                  <c:v>9389.4681903274068</c:v>
                </c:pt>
                <c:pt idx="887">
                  <c:v>8838.9316535739654</c:v>
                </c:pt>
                <c:pt idx="888">
                  <c:v>8205.6289684993608</c:v>
                </c:pt>
                <c:pt idx="889">
                  <c:v>7477.6129772702134</c:v>
                </c:pt>
                <c:pt idx="890">
                  <c:v>6643.2877081270099</c:v>
                </c:pt>
                <c:pt idx="891">
                  <c:v>5690.6788109578702</c:v>
                </c:pt>
                <c:pt idx="892">
                  <c:v>4606.9227902408065</c:v>
                </c:pt>
                <c:pt idx="893">
                  <c:v>3378.2306910453344</c:v>
                </c:pt>
                <c:pt idx="894">
                  <c:v>1990.8273924894904</c:v>
                </c:pt>
                <c:pt idx="895">
                  <c:v>433.85537933111834</c:v>
                </c:pt>
                <c:pt idx="896">
                  <c:v>-1293.8032951136793</c:v>
                </c:pt>
                <c:pt idx="897">
                  <c:v>-3169.3161185445592</c:v>
                </c:pt>
                <c:pt idx="898">
                  <c:v>-5120.8901859236576</c:v>
                </c:pt>
                <c:pt idx="899">
                  <c:v>-7001.3053991133229</c:v>
                </c:pt>
                <c:pt idx="900">
                  <c:v>-8607.1772297257157</c:v>
                </c:pt>
                <c:pt idx="901">
                  <c:v>-9775.0302711916065</c:v>
                </c:pt>
                <c:pt idx="902">
                  <c:v>-10446.290359463223</c:v>
                </c:pt>
                <c:pt idx="903">
                  <c:v>-10636.522625610172</c:v>
                </c:pt>
                <c:pt idx="904">
                  <c:v>-10387.45849661333</c:v>
                </c:pt>
                <c:pt idx="905">
                  <c:v>-9743.9295905438084</c:v>
                </c:pt>
                <c:pt idx="906">
                  <c:v>-8749.4173336566655</c:v>
                </c:pt>
                <c:pt idx="907">
                  <c:v>-7451.6521808492016</c:v>
                </c:pt>
                <c:pt idx="908">
                  <c:v>-5916.7572075171347</c:v>
                </c:pt>
                <c:pt idx="909">
                  <c:v>-4252.7320636663035</c:v>
                </c:pt>
                <c:pt idx="910">
                  <c:v>-2628.1180339063085</c:v>
                </c:pt>
                <c:pt idx="911">
                  <c:v>-1233.3066134656883</c:v>
                </c:pt>
                <c:pt idx="912">
                  <c:v>-178.64136803549735</c:v>
                </c:pt>
                <c:pt idx="913">
                  <c:v>537.61838129409887</c:v>
                </c:pt>
                <c:pt idx="914">
                  <c:v>975.00158794028005</c:v>
                </c:pt>
                <c:pt idx="915">
                  <c:v>1203.8852290422046</c:v>
                </c:pt>
                <c:pt idx="916">
                  <c:v>1287.1353034639708</c:v>
                </c:pt>
                <c:pt idx="917">
                  <c:v>1275.9377205793453</c:v>
                </c:pt>
                <c:pt idx="918">
                  <c:v>1210.2270766890226</c:v>
                </c:pt>
                <c:pt idx="919">
                  <c:v>1120.2638080639144</c:v>
                </c:pt>
                <c:pt idx="920">
                  <c:v>1028.3399810097912</c:v>
                </c:pt>
                <c:pt idx="921">
                  <c:v>950.31781263541518</c:v>
                </c:pt>
                <c:pt idx="922">
                  <c:v>896.89927180768927</c:v>
                </c:pt>
                <c:pt idx="923">
                  <c:v>874.58334280628856</c:v>
                </c:pt>
                <c:pt idx="924">
                  <c:v>886.29261729692303</c:v>
                </c:pt>
                <c:pt idx="925">
                  <c:v>931.66375385414392</c:v>
                </c:pt>
                <c:pt idx="926">
                  <c:v>1007.0014561533516</c:v>
                </c:pt>
                <c:pt idx="927">
                  <c:v>1104.8968096333765</c:v>
                </c:pt>
                <c:pt idx="928">
                  <c:v>1213.5130496742404</c:v>
                </c:pt>
                <c:pt idx="929">
                  <c:v>1315.5498321707832</c:v>
                </c:pt>
                <c:pt idx="930">
                  <c:v>1386.9140563676019</c:v>
                </c:pt>
                <c:pt idx="931">
                  <c:v>1395.1557811110804</c:v>
                </c:pt>
                <c:pt idx="932">
                  <c:v>1297.7982534605769</c:v>
                </c:pt>
                <c:pt idx="933">
                  <c:v>1040.9299460701618</c:v>
                </c:pt>
                <c:pt idx="934">
                  <c:v>559.30552890415379</c:v>
                </c:pt>
                <c:pt idx="935">
                  <c:v>-217.95529429308095</c:v>
                </c:pt>
                <c:pt idx="936">
                  <c:v>-1345.3974051804348</c:v>
                </c:pt>
                <c:pt idx="937">
                  <c:v>-2810.1300248245434</c:v>
                </c:pt>
                <c:pt idx="938">
                  <c:v>-4483.7787420584218</c:v>
                </c:pt>
                <c:pt idx="939">
                  <c:v>-6170.4408201821434</c:v>
                </c:pt>
                <c:pt idx="940">
                  <c:v>-7706.4583120611587</c:v>
                </c:pt>
                <c:pt idx="941">
                  <c:v>-8988.7483833000751</c:v>
                </c:pt>
                <c:pt idx="942">
                  <c:v>-9953.4250606208097</c:v>
                </c:pt>
                <c:pt idx="943">
                  <c:v>-10553.146219913851</c:v>
                </c:pt>
                <c:pt idx="944">
                  <c:v>-10744.054577179726</c:v>
                </c:pt>
                <c:pt idx="945">
                  <c:v>-10481.383761783776</c:v>
                </c:pt>
                <c:pt idx="946">
                  <c:v>-9726.0534168965296</c:v>
                </c:pt>
                <c:pt idx="947">
                  <c:v>-8471.3086187157896</c:v>
                </c:pt>
                <c:pt idx="948">
                  <c:v>-6791.7700369396553</c:v>
                </c:pt>
                <c:pt idx="949">
                  <c:v>-4863.4717670840637</c:v>
                </c:pt>
                <c:pt idx="950">
                  <c:v>-2887.7674926389136</c:v>
                </c:pt>
                <c:pt idx="951">
                  <c:v>-1003.1359184102489</c:v>
                </c:pt>
                <c:pt idx="952">
                  <c:v>725.08761170795947</c:v>
                </c:pt>
                <c:pt idx="953">
                  <c:v>2277.1767475948236</c:v>
                </c:pt>
                <c:pt idx="954">
                  <c:v>3655.307415615905</c:v>
                </c:pt>
                <c:pt idx="955">
                  <c:v>4870.3559692018835</c:v>
                </c:pt>
                <c:pt idx="956">
                  <c:v>5935.6198821523894</c:v>
                </c:pt>
                <c:pt idx="957">
                  <c:v>6864.198010939218</c:v>
                </c:pt>
                <c:pt idx="958">
                  <c:v>7668.2073718976744</c:v>
                </c:pt>
                <c:pt idx="959">
                  <c:v>8358.9046969851679</c:v>
                </c:pt>
                <c:pt idx="960">
                  <c:v>8947.2364959660536</c:v>
                </c:pt>
                <c:pt idx="961">
                  <c:v>9444.5761140908398</c:v>
                </c:pt>
                <c:pt idx="962">
                  <c:v>9863.5351080156088</c:v>
                </c:pt>
                <c:pt idx="963">
                  <c:v>10218.808970389438</c:v>
                </c:pt>
                <c:pt idx="964">
                  <c:v>10528.056124556098</c:v>
                </c:pt>
                <c:pt idx="965">
                  <c:v>10812.826798032071</c:v>
                </c:pt>
                <c:pt idx="966">
                  <c:v>11099.563321335998</c:v>
                </c:pt>
                <c:pt idx="967">
                  <c:v>11420.688239189118</c:v>
                </c:pt>
                <c:pt idx="968">
                  <c:v>11815.766694406706</c:v>
                </c:pt>
                <c:pt idx="969">
                  <c:v>12332.605659738849</c:v>
                </c:pt>
                <c:pt idx="970">
                  <c:v>13027.704093926803</c:v>
                </c:pt>
                <c:pt idx="971">
                  <c:v>13964.038441899849</c:v>
                </c:pt>
                <c:pt idx="972">
                  <c:v>15200.351018614288</c:v>
                </c:pt>
                <c:pt idx="973">
                  <c:v>16759.827275340602</c:v>
                </c:pt>
                <c:pt idx="974">
                  <c:v>18573.958889753143</c:v>
                </c:pt>
                <c:pt idx="975">
                  <c:v>20460.313593860043</c:v>
                </c:pt>
                <c:pt idx="976">
                  <c:v>22208.406134904002</c:v>
                </c:pt>
                <c:pt idx="977">
                  <c:v>23669.829656181872</c:v>
                </c:pt>
                <c:pt idx="978">
                  <c:v>24761.376125803876</c:v>
                </c:pt>
                <c:pt idx="979">
                  <c:v>25434.781690084823</c:v>
                </c:pt>
                <c:pt idx="980">
                  <c:v>25654.296085101229</c:v>
                </c:pt>
                <c:pt idx="981">
                  <c:v>25386.594847370634</c:v>
                </c:pt>
                <c:pt idx="982">
                  <c:v>24602.185163346214</c:v>
                </c:pt>
                <c:pt idx="983">
                  <c:v>23294.132132695617</c:v>
                </c:pt>
                <c:pt idx="984">
                  <c:v>21523.402843112992</c:v>
                </c:pt>
                <c:pt idx="985">
                  <c:v>19463.154268827762</c:v>
                </c:pt>
                <c:pt idx="986">
                  <c:v>17345.99211797255</c:v>
                </c:pt>
                <c:pt idx="987">
                  <c:v>15342.888285534085</c:v>
                </c:pt>
                <c:pt idx="988">
                  <c:v>13529.511085914461</c:v>
                </c:pt>
                <c:pt idx="989">
                  <c:v>11921.866041251667</c:v>
                </c:pt>
                <c:pt idx="990">
                  <c:v>10510.125418248786</c:v>
                </c:pt>
                <c:pt idx="991">
                  <c:v>9276.1383586081392</c:v>
                </c:pt>
                <c:pt idx="992">
                  <c:v>8200.7470700130016</c:v>
                </c:pt>
                <c:pt idx="993">
                  <c:v>7266.3441047379611</c:v>
                </c:pt>
                <c:pt idx="994">
                  <c:v>6457.4052988674985</c:v>
                </c:pt>
                <c:pt idx="995">
                  <c:v>5760.2188306292464</c:v>
                </c:pt>
                <c:pt idx="996">
                  <c:v>5162.3354759338981</c:v>
                </c:pt>
                <c:pt idx="997">
                  <c:v>4651.9519029775083</c:v>
                </c:pt>
                <c:pt idx="998">
                  <c:v>4217.2956748114502</c:v>
                </c:pt>
                <c:pt idx="999">
                  <c:v>3846.0165230210214</c:v>
                </c:pt>
                <c:pt idx="1000">
                  <c:v>3524.5629628004781</c:v>
                </c:pt>
              </c:numCache>
            </c:numRef>
          </c:xVal>
          <c:yVal>
            <c:numRef>
              <c:f>Tableau!$AQ$5:$AQ$1005</c:f>
              <c:numCache>
                <c:formatCode>General</c:formatCode>
                <c:ptCount val="1001"/>
                <c:pt idx="0">
                  <c:v>0</c:v>
                </c:pt>
                <c:pt idx="1">
                  <c:v>-190.12919649661413</c:v>
                </c:pt>
                <c:pt idx="2">
                  <c:v>-571.80462774388252</c:v>
                </c:pt>
                <c:pt idx="3">
                  <c:v>-1148.0481261424784</c:v>
                </c:pt>
                <c:pt idx="4">
                  <c:v>-1923.853581628865</c:v>
                </c:pt>
                <c:pt idx="5">
                  <c:v>-2906.6925310964889</c:v>
                </c:pt>
                <c:pt idx="6">
                  <c:v>-4107.0141965546691</c:v>
                </c:pt>
                <c:pt idx="7">
                  <c:v>-5538.3225739480167</c:v>
                </c:pt>
                <c:pt idx="8">
                  <c:v>-7215.7345974265318</c:v>
                </c:pt>
                <c:pt idx="9">
                  <c:v>-9150.3286192466185</c:v>
                </c:pt>
                <c:pt idx="10">
                  <c:v>-11333.34344070828</c:v>
                </c:pt>
                <c:pt idx="11">
                  <c:v>-13701.111109546373</c:v>
                </c:pt>
                <c:pt idx="12">
                  <c:v>-16086.623993711366</c:v>
                </c:pt>
                <c:pt idx="13">
                  <c:v>-18230.232304872126</c:v>
                </c:pt>
                <c:pt idx="14">
                  <c:v>-19910.314546238144</c:v>
                </c:pt>
                <c:pt idx="15">
                  <c:v>-21031.286666422897</c:v>
                </c:pt>
                <c:pt idx="16">
                  <c:v>-21584.960812129186</c:v>
                </c:pt>
                <c:pt idx="17">
                  <c:v>-21594.860738942807</c:v>
                </c:pt>
                <c:pt idx="18">
                  <c:v>-21089.917659397564</c:v>
                </c:pt>
                <c:pt idx="19">
                  <c:v>-20098.692938194792</c:v>
                </c:pt>
                <c:pt idx="20">
                  <c:v>-18655.59453075612</c:v>
                </c:pt>
                <c:pt idx="21">
                  <c:v>-16819.360743358036</c:v>
                </c:pt>
                <c:pt idx="22">
                  <c:v>-14706.788800788541</c:v>
                </c:pt>
                <c:pt idx="23">
                  <c:v>-12521.930043305967</c:v>
                </c:pt>
                <c:pt idx="24">
                  <c:v>-10507.501349209875</c:v>
                </c:pt>
                <c:pt idx="25">
                  <c:v>-8819.8807576355521</c:v>
                </c:pt>
                <c:pt idx="26">
                  <c:v>-7491.5659556623159</c:v>
                </c:pt>
                <c:pt idx="27">
                  <c:v>-6486.9262102376733</c:v>
                </c:pt>
                <c:pt idx="28">
                  <c:v>-5750.4010974267458</c:v>
                </c:pt>
                <c:pt idx="29">
                  <c:v>-5226.3179558563479</c:v>
                </c:pt>
                <c:pt idx="30">
                  <c:v>-4864.1813520468559</c:v>
                </c:pt>
                <c:pt idx="31">
                  <c:v>-4619.0568832631388</c:v>
                </c:pt>
                <c:pt idx="32">
                  <c:v>-4450.7604788180561</c:v>
                </c:pt>
                <c:pt idx="33">
                  <c:v>-4322.9802139371795</c:v>
                </c:pt>
                <c:pt idx="34">
                  <c:v>-4202.56842923564</c:v>
                </c:pt>
                <c:pt idx="35">
                  <c:v>-4058.9721525606396</c:v>
                </c:pt>
                <c:pt idx="36">
                  <c:v>-3863.7081052126714</c:v>
                </c:pt>
                <c:pt idx="37">
                  <c:v>-3589.7945441316638</c:v>
                </c:pt>
                <c:pt idx="38">
                  <c:v>-3211.078363825673</c:v>
                </c:pt>
                <c:pt idx="39">
                  <c:v>-2701.4291892472943</c:v>
                </c:pt>
                <c:pt idx="40">
                  <c:v>-2033.8210885427311</c:v>
                </c:pt>
                <c:pt idx="41">
                  <c:v>-1179.4275367749376</c:v>
                </c:pt>
                <c:pt idx="42">
                  <c:v>-107.13527456446505</c:v>
                </c:pt>
                <c:pt idx="43">
                  <c:v>1215.3261452532088</c:v>
                </c:pt>
                <c:pt idx="44">
                  <c:v>2815.2531516647105</c:v>
                </c:pt>
                <c:pt idx="45">
                  <c:v>4695.2810483934472</c:v>
                </c:pt>
                <c:pt idx="46">
                  <c:v>6786.6924265557491</c:v>
                </c:pt>
                <c:pt idx="47">
                  <c:v>8895.4908924874708</c:v>
                </c:pt>
                <c:pt idx="48">
                  <c:v>10761.358581449456</c:v>
                </c:pt>
                <c:pt idx="49">
                  <c:v>12213.931597947347</c:v>
                </c:pt>
                <c:pt idx="50">
                  <c:v>13196.992985553132</c:v>
                </c:pt>
                <c:pt idx="51">
                  <c:v>13706.967810225804</c:v>
                </c:pt>
                <c:pt idx="52">
                  <c:v>13752.169192444573</c:v>
                </c:pt>
                <c:pt idx="53">
                  <c:v>13338.042368797505</c:v>
                </c:pt>
                <c:pt idx="54">
                  <c:v>12465.601665374332</c:v>
                </c:pt>
                <c:pt idx="55">
                  <c:v>11140.396442149933</c:v>
                </c:pt>
                <c:pt idx="56">
                  <c:v>9400.2751364982869</c:v>
                </c:pt>
                <c:pt idx="57">
                  <c:v>7370.6165097134644</c:v>
                </c:pt>
                <c:pt idx="58">
                  <c:v>5290.9934405700442</c:v>
                </c:pt>
                <c:pt idx="59">
                  <c:v>3394.9148600497497</c:v>
                </c:pt>
                <c:pt idx="60">
                  <c:v>1787.9711739993502</c:v>
                </c:pt>
                <c:pt idx="61">
                  <c:v>477.74826345285766</c:v>
                </c:pt>
                <c:pt idx="62">
                  <c:v>-566.15949486299814</c:v>
                </c:pt>
                <c:pt idx="63">
                  <c:v>-1382.7978868152554</c:v>
                </c:pt>
                <c:pt idx="64">
                  <c:v>-2010.2960519333442</c:v>
                </c:pt>
                <c:pt idx="65">
                  <c:v>-2483.8179700848932</c:v>
                </c:pt>
                <c:pt idx="66">
                  <c:v>-2835.8591783053935</c:v>
                </c:pt>
                <c:pt idx="67">
                  <c:v>-3097.1176442600304</c:v>
                </c:pt>
                <c:pt idx="68">
                  <c:v>-3297.3835455791032</c:v>
                </c:pt>
                <c:pt idx="69">
                  <c:v>-3466.3054273362413</c:v>
                </c:pt>
                <c:pt idx="70">
                  <c:v>-3634.0349801092548</c:v>
                </c:pt>
                <c:pt idx="71">
                  <c:v>-3831.8102682943127</c:v>
                </c:pt>
                <c:pt idx="72">
                  <c:v>-4092.5649950539437</c:v>
                </c:pt>
                <c:pt idx="73">
                  <c:v>-4451.6624899042654</c:v>
                </c:pt>
                <c:pt idx="74">
                  <c:v>-4947.8362315503</c:v>
                </c:pt>
                <c:pt idx="75">
                  <c:v>-5624.3217285860228</c:v>
                </c:pt>
                <c:pt idx="76">
                  <c:v>-6529.8160865914288</c:v>
                </c:pt>
                <c:pt idx="77">
                  <c:v>-7717.7752865325656</c:v>
                </c:pt>
                <c:pt idx="78">
                  <c:v>-9239.2695040900871</c:v>
                </c:pt>
                <c:pt idx="79">
                  <c:v>-11117.32979038218</c:v>
                </c:pt>
                <c:pt idx="80">
                  <c:v>-13288.574993382086</c:v>
                </c:pt>
                <c:pt idx="81">
                  <c:v>-15553.015138689621</c:v>
                </c:pt>
                <c:pt idx="82">
                  <c:v>-17651.932642332486</c:v>
                </c:pt>
                <c:pt idx="83">
                  <c:v>-19401.762935182349</c:v>
                </c:pt>
                <c:pt idx="84">
                  <c:v>-20712.054772585449</c:v>
                </c:pt>
                <c:pt idx="85">
                  <c:v>-21542.054736669474</c:v>
                </c:pt>
                <c:pt idx="86">
                  <c:v>-21867.653248769151</c:v>
                </c:pt>
                <c:pt idx="87">
                  <c:v>-21666.068186545548</c:v>
                </c:pt>
                <c:pt idx="88">
                  <c:v>-20912.406442722069</c:v>
                </c:pt>
                <c:pt idx="89">
                  <c:v>-19588.977306491299</c:v>
                </c:pt>
                <c:pt idx="90">
                  <c:v>-17718.456327744087</c:v>
                </c:pt>
                <c:pt idx="91">
                  <c:v>-15427.565855341314</c:v>
                </c:pt>
                <c:pt idx="92">
                  <c:v>-12970.732945915903</c:v>
                </c:pt>
                <c:pt idx="93">
                  <c:v>-10604.663709615303</c:v>
                </c:pt>
                <c:pt idx="94">
                  <c:v>-8468.2361379535905</c:v>
                </c:pt>
                <c:pt idx="95">
                  <c:v>-6601.4390058505687</c:v>
                </c:pt>
                <c:pt idx="96">
                  <c:v>-4999.8943382082916</c:v>
                </c:pt>
                <c:pt idx="97">
                  <c:v>-3646.177787951809</c:v>
                </c:pt>
                <c:pt idx="98">
                  <c:v>-2522.1932466063267</c:v>
                </c:pt>
                <c:pt idx="99">
                  <c:v>-1612.9608166040068</c:v>
                </c:pt>
                <c:pt idx="100">
                  <c:v>-907.16990051661799</c:v>
                </c:pt>
                <c:pt idx="101">
                  <c:v>-396.69026810730588</c:v>
                </c:pt>
                <c:pt idx="102">
                  <c:v>-75.87097966646715</c:v>
                </c:pt>
                <c:pt idx="103">
                  <c:v>59.082373769367479</c:v>
                </c:pt>
                <c:pt idx="104">
                  <c:v>10.566866034128196</c:v>
                </c:pt>
                <c:pt idx="105">
                  <c:v>-220.13533957040076</c:v>
                </c:pt>
                <c:pt idx="106">
                  <c:v>-632.74465314276949</c:v>
                </c:pt>
                <c:pt idx="107">
                  <c:v>-1228.0328408647435</c:v>
                </c:pt>
                <c:pt idx="108">
                  <c:v>-2008.0203482730533</c:v>
                </c:pt>
                <c:pt idx="109">
                  <c:v>-2976.2854727217023</c:v>
                </c:pt>
                <c:pt idx="110">
                  <c:v>-4138.2721116610128</c:v>
                </c:pt>
                <c:pt idx="111">
                  <c:v>-5501.2927992372643</c:v>
                </c:pt>
                <c:pt idx="112">
                  <c:v>-7073.5008177494528</c:v>
                </c:pt>
                <c:pt idx="113">
                  <c:v>-8860.2161022547461</c:v>
                </c:pt>
                <c:pt idx="114">
                  <c:v>-10854.276205173266</c:v>
                </c:pt>
                <c:pt idx="115">
                  <c:v>-13014.838544068411</c:v>
                </c:pt>
                <c:pt idx="116">
                  <c:v>-15232.187536990912</c:v>
                </c:pt>
                <c:pt idx="117">
                  <c:v>-17305.739272437066</c:v>
                </c:pt>
                <c:pt idx="118">
                  <c:v>-19005.275682153479</c:v>
                </c:pt>
                <c:pt idx="119">
                  <c:v>-20185.928517132779</c:v>
                </c:pt>
                <c:pt idx="120">
                  <c:v>-20811.276551280298</c:v>
                </c:pt>
                <c:pt idx="121">
                  <c:v>-20902.698611101041</c:v>
                </c:pt>
                <c:pt idx="122">
                  <c:v>-20499.344621588793</c:v>
                </c:pt>
                <c:pt idx="123">
                  <c:v>-19643.512145848861</c:v>
                </c:pt>
                <c:pt idx="124">
                  <c:v>-18381.382648131017</c:v>
                </c:pt>
                <c:pt idx="125">
                  <c:v>-16773.841385196352</c:v>
                </c:pt>
                <c:pt idx="126">
                  <c:v>-14916.909807038428</c:v>
                </c:pt>
                <c:pt idx="127">
                  <c:v>-12964.963726403914</c:v>
                </c:pt>
                <c:pt idx="128">
                  <c:v>-11122.172864600707</c:v>
                </c:pt>
                <c:pt idx="129">
                  <c:v>-9564.8272855463074</c:v>
                </c:pt>
                <c:pt idx="130">
                  <c:v>-8365.5649676971098</c:v>
                </c:pt>
                <c:pt idx="131">
                  <c:v>-7506.8547884867021</c:v>
                </c:pt>
                <c:pt idx="132">
                  <c:v>-6931.6501047767715</c:v>
                </c:pt>
                <c:pt idx="133">
                  <c:v>-6575.2264296844596</c:v>
                </c:pt>
                <c:pt idx="134">
                  <c:v>-6377.1413595871081</c:v>
                </c:pt>
                <c:pt idx="135">
                  <c:v>-6284.256431166652</c:v>
                </c:pt>
                <c:pt idx="136">
                  <c:v>-6250.8854178574466</c:v>
                </c:pt>
                <c:pt idx="137">
                  <c:v>-6238.2526891581483</c:v>
                </c:pt>
                <c:pt idx="138">
                  <c:v>-6213.85651794573</c:v>
                </c:pt>
                <c:pt idx="139">
                  <c:v>-6150.8351111262073</c:v>
                </c:pt>
                <c:pt idx="140">
                  <c:v>-6027.3271942179508</c:v>
                </c:pt>
                <c:pt idx="141">
                  <c:v>-5825.8227334173725</c:v>
                </c:pt>
                <c:pt idx="142">
                  <c:v>-5532.5155493457087</c:v>
                </c:pt>
                <c:pt idx="143">
                  <c:v>-5136.6737906706021</c:v>
                </c:pt>
                <c:pt idx="144">
                  <c:v>-4630.0386069184588</c:v>
                </c:pt>
                <c:pt idx="145">
                  <c:v>-4006.2553305154388</c:v>
                </c:pt>
                <c:pt idx="146">
                  <c:v>-3260.3451802055006</c:v>
                </c:pt>
                <c:pt idx="147">
                  <c:v>-2388.2486224845838</c:v>
                </c:pt>
                <c:pt idx="148">
                  <c:v>-1386.5240016924017</c:v>
                </c:pt>
                <c:pt idx="149">
                  <c:v>-252.37916563201958</c:v>
                </c:pt>
                <c:pt idx="150">
                  <c:v>1015.6285770942138</c:v>
                </c:pt>
                <c:pt idx="151">
                  <c:v>2415.6189969433754</c:v>
                </c:pt>
                <c:pt idx="152">
                  <c:v>3938.0625752979231</c:v>
                </c:pt>
                <c:pt idx="153">
                  <c:v>5557.2995469495336</c:v>
                </c:pt>
                <c:pt idx="154">
                  <c:v>7216.8522079457853</c:v>
                </c:pt>
                <c:pt idx="155">
                  <c:v>8810.8812129246671</c:v>
                </c:pt>
                <c:pt idx="156">
                  <c:v>10182.527963015604</c:v>
                </c:pt>
                <c:pt idx="157">
                  <c:v>11175.51524868349</c:v>
                </c:pt>
                <c:pt idx="158">
                  <c:v>11709.472591350959</c:v>
                </c:pt>
                <c:pt idx="159">
                  <c:v>11788.919923727359</c:v>
                </c:pt>
                <c:pt idx="160">
                  <c:v>11461.443632064322</c:v>
                </c:pt>
                <c:pt idx="161">
                  <c:v>10786.122886834699</c:v>
                </c:pt>
                <c:pt idx="162">
                  <c:v>9823.6704473351892</c:v>
                </c:pt>
                <c:pt idx="163">
                  <c:v>8639.4859196178131</c:v>
                </c:pt>
                <c:pt idx="164">
                  <c:v>7314.0194244487957</c:v>
                </c:pt>
                <c:pt idx="165">
                  <c:v>5956.8097952752232</c:v>
                </c:pt>
                <c:pt idx="166">
                  <c:v>4711.5329372552387</c:v>
                </c:pt>
                <c:pt idx="167">
                  <c:v>3722.8324767092827</c:v>
                </c:pt>
                <c:pt idx="168">
                  <c:v>3067.1933966570059</c:v>
                </c:pt>
                <c:pt idx="169">
                  <c:v>2728.1059077156692</c:v>
                </c:pt>
                <c:pt idx="170">
                  <c:v>2636.8151179575689</c:v>
                </c:pt>
                <c:pt idx="171">
                  <c:v>2714.8668954802206</c:v>
                </c:pt>
                <c:pt idx="172">
                  <c:v>2892.9927028156339</c:v>
                </c:pt>
                <c:pt idx="173">
                  <c:v>3115.5728905801975</c:v>
                </c:pt>
                <c:pt idx="174">
                  <c:v>3339.9248878384346</c:v>
                </c:pt>
                <c:pt idx="175">
                  <c:v>3534.3016824834326</c:v>
                </c:pt>
                <c:pt idx="176">
                  <c:v>3675.8554242686951</c:v>
                </c:pt>
                <c:pt idx="177">
                  <c:v>3748.9285614379055</c:v>
                </c:pt>
                <c:pt idx="178">
                  <c:v>3743.7627947220167</c:v>
                </c:pt>
                <c:pt idx="179">
                  <c:v>3655.6312728467324</c:v>
                </c:pt>
                <c:pt idx="180">
                  <c:v>3484.3732993618351</c:v>
                </c:pt>
                <c:pt idx="181">
                  <c:v>3234.3060926009366</c:v>
                </c:pt>
                <c:pt idx="182">
                  <c:v>2914.4889792167096</c:v>
                </c:pt>
                <c:pt idx="183">
                  <c:v>2539.3100866770847</c:v>
                </c:pt>
                <c:pt idx="184">
                  <c:v>2129.3445018997559</c:v>
                </c:pt>
                <c:pt idx="185">
                  <c:v>1712.3915205099372</c:v>
                </c:pt>
                <c:pt idx="186">
                  <c:v>1324.5428048159533</c:v>
                </c:pt>
                <c:pt idx="187">
                  <c:v>1011.0782299620247</c:v>
                </c:pt>
                <c:pt idx="188">
                  <c:v>826.92999060068223</c:v>
                </c:pt>
                <c:pt idx="189">
                  <c:v>836.29858378308813</c:v>
                </c:pt>
                <c:pt idx="190">
                  <c:v>1110.407133900716</c:v>
                </c:pt>
                <c:pt idx="191">
                  <c:v>1720.6672391882789</c:v>
                </c:pt>
                <c:pt idx="192">
                  <c:v>2721.3465805232158</c:v>
                </c:pt>
                <c:pt idx="193">
                  <c:v>4115.296874517634</c:v>
                </c:pt>
                <c:pt idx="194">
                  <c:v>5814.4915180025773</c:v>
                </c:pt>
                <c:pt idx="195">
                  <c:v>7643.7882424504478</c:v>
                </c:pt>
                <c:pt idx="196">
                  <c:v>9406.9565248092767</c:v>
                </c:pt>
                <c:pt idx="197">
                  <c:v>10945.867561636216</c:v>
                </c:pt>
                <c:pt idx="198">
                  <c:v>12150.369138848153</c:v>
                </c:pt>
                <c:pt idx="199">
                  <c:v>12943.339479805458</c:v>
                </c:pt>
                <c:pt idx="200">
                  <c:v>13266.144470606423</c:v>
                </c:pt>
                <c:pt idx="201">
                  <c:v>13073.00936576805</c:v>
                </c:pt>
                <c:pt idx="202">
                  <c:v>12337.704633138139</c:v>
                </c:pt>
                <c:pt idx="203">
                  <c:v>11075.712360793341</c:v>
                </c:pt>
                <c:pt idx="204">
                  <c:v>9375.0298443150277</c:v>
                </c:pt>
                <c:pt idx="205">
                  <c:v>7401.2518873999879</c:v>
                </c:pt>
                <c:pt idx="206">
                  <c:v>5346.3695779460186</c:v>
                </c:pt>
                <c:pt idx="207">
                  <c:v>3363.9836546329493</c:v>
                </c:pt>
                <c:pt idx="208">
                  <c:v>1547.7873909388081</c:v>
                </c:pt>
                <c:pt idx="209">
                  <c:v>-55.012031288137621</c:v>
                </c:pt>
                <c:pt idx="210">
                  <c:v>-1424.1319846712818</c:v>
                </c:pt>
                <c:pt idx="211">
                  <c:v>-2552.4174569036868</c:v>
                </c:pt>
                <c:pt idx="212">
                  <c:v>-3438.2073107631968</c:v>
                </c:pt>
                <c:pt idx="213">
                  <c:v>-4081.6246416153608</c:v>
                </c:pt>
                <c:pt idx="214">
                  <c:v>-4482.924914207716</c:v>
                </c:pt>
                <c:pt idx="215">
                  <c:v>-4641.7912601544476</c:v>
                </c:pt>
                <c:pt idx="216">
                  <c:v>-4557.0107203160951</c:v>
                </c:pt>
                <c:pt idx="217">
                  <c:v>-4226.2805288614209</c:v>
                </c:pt>
                <c:pt idx="218">
                  <c:v>-3646.070368061236</c:v>
                </c:pt>
                <c:pt idx="219">
                  <c:v>-2811.6017707403489</c:v>
                </c:pt>
                <c:pt idx="220">
                  <c:v>-1717.2007617136194</c:v>
                </c:pt>
                <c:pt idx="221">
                  <c:v>-357.66969549120017</c:v>
                </c:pt>
                <c:pt idx="222">
                  <c:v>1267.8908092289812</c:v>
                </c:pt>
                <c:pt idx="223">
                  <c:v>3147.0146602783666</c:v>
                </c:pt>
                <c:pt idx="224">
                  <c:v>5235.4302687748277</c:v>
                </c:pt>
                <c:pt idx="225">
                  <c:v>7428.5461414703759</c:v>
                </c:pt>
                <c:pt idx="226">
                  <c:v>9543.1217287463915</c:v>
                </c:pt>
                <c:pt idx="227">
                  <c:v>11357.710743129679</c:v>
                </c:pt>
                <c:pt idx="228">
                  <c:v>12704.423284534038</c:v>
                </c:pt>
                <c:pt idx="229">
                  <c:v>13510.634015410493</c:v>
                </c:pt>
                <c:pt idx="230">
                  <c:v>13770.605170680916</c:v>
                </c:pt>
                <c:pt idx="231">
                  <c:v>13508.072983624708</c:v>
                </c:pt>
                <c:pt idx="232">
                  <c:v>12757.234454467791</c:v>
                </c:pt>
                <c:pt idx="233">
                  <c:v>11560.101106181743</c:v>
                </c:pt>
                <c:pt idx="234">
                  <c:v>9976.4537369737391</c:v>
                </c:pt>
                <c:pt idx="235">
                  <c:v>8106.1688013863422</c:v>
                </c:pt>
                <c:pt idx="236">
                  <c:v>6116.0934235392724</c:v>
                </c:pt>
                <c:pt idx="237">
                  <c:v>4231.0192420327576</c:v>
                </c:pt>
                <c:pt idx="238">
                  <c:v>2647.6735127317038</c:v>
                </c:pt>
                <c:pt idx="239">
                  <c:v>1453.9841438781818</c:v>
                </c:pt>
                <c:pt idx="240">
                  <c:v>642.76811036403683</c:v>
                </c:pt>
                <c:pt idx="241">
                  <c:v>162.34962785401444</c:v>
                </c:pt>
                <c:pt idx="242">
                  <c:v>-50.987817554041612</c:v>
                </c:pt>
                <c:pt idx="243">
                  <c:v>-59.784795150817729</c:v>
                </c:pt>
                <c:pt idx="244">
                  <c:v>78.845954194839436</c:v>
                </c:pt>
                <c:pt idx="245">
                  <c:v>314.36518235233314</c:v>
                </c:pt>
                <c:pt idx="246">
                  <c:v>603.03696563745177</c:v>
                </c:pt>
                <c:pt idx="247">
                  <c:v>907.85178376383226</c:v>
                </c:pt>
                <c:pt idx="248">
                  <c:v>1198.2457746320265</c:v>
                </c:pt>
                <c:pt idx="249">
                  <c:v>1449.6328707230871</c:v>
                </c:pt>
                <c:pt idx="250">
                  <c:v>1642.7987434963302</c:v>
                </c:pt>
                <c:pt idx="251">
                  <c:v>1763.2369147677346</c:v>
                </c:pt>
                <c:pt idx="252">
                  <c:v>1800.5087846028844</c:v>
                </c:pt>
                <c:pt idx="253">
                  <c:v>1747.6888519674619</c:v>
                </c:pt>
                <c:pt idx="254">
                  <c:v>1600.929335519563</c:v>
                </c:pt>
                <c:pt idx="255">
                  <c:v>1359.1543744922278</c:v>
                </c:pt>
                <c:pt idx="256">
                  <c:v>1023.8754237379111</c:v>
                </c:pt>
                <c:pt idx="257">
                  <c:v>599.10433284681153</c:v>
                </c:pt>
                <c:pt idx="258">
                  <c:v>91.325752111454506</c:v>
                </c:pt>
                <c:pt idx="259">
                  <c:v>-490.52562208521499</c:v>
                </c:pt>
                <c:pt idx="260">
                  <c:v>-1135.1526346102105</c:v>
                </c:pt>
                <c:pt idx="261">
                  <c:v>-1829.1248938291928</c:v>
                </c:pt>
                <c:pt idx="262">
                  <c:v>-2557.3151631704068</c:v>
                </c:pt>
                <c:pt idx="263">
                  <c:v>-3303.5712457872992</c:v>
                </c:pt>
                <c:pt idx="264">
                  <c:v>-4051.5926681010401</c:v>
                </c:pt>
                <c:pt idx="265">
                  <c:v>-4785.9210953669881</c:v>
                </c:pt>
                <c:pt idx="266">
                  <c:v>-5492.9205870110636</c:v>
                </c:pt>
                <c:pt idx="267">
                  <c:v>-6161.6371693945084</c:v>
                </c:pt>
                <c:pt idx="268">
                  <c:v>-6784.4809445271922</c:v>
                </c:pt>
                <c:pt idx="269">
                  <c:v>-7357.7421345817547</c:v>
                </c:pt>
                <c:pt idx="270">
                  <c:v>-7882.0077207852673</c:v>
                </c:pt>
                <c:pt idx="271">
                  <c:v>-8362.5744069043158</c:v>
                </c:pt>
                <c:pt idx="272">
                  <c:v>-8809.9589959371897</c:v>
                </c:pt>
                <c:pt idx="273">
                  <c:v>-9240.5976816276088</c:v>
                </c:pt>
                <c:pt idx="274">
                  <c:v>-9677.7998053684914</c:v>
                </c:pt>
                <c:pt idx="275">
                  <c:v>-10152.928848415762</c:v>
                </c:pt>
                <c:pt idx="276">
                  <c:v>-10706.390175787748</c:v>
                </c:pt>
                <c:pt idx="277">
                  <c:v>-11386.453069318062</c:v>
                </c:pt>
                <c:pt idx="278">
                  <c:v>-12238.932137233514</c:v>
                </c:pt>
                <c:pt idx="279">
                  <c:v>-13272.63762164422</c:v>
                </c:pt>
                <c:pt idx="280">
                  <c:v>-14408.996172307872</c:v>
                </c:pt>
                <c:pt idx="281">
                  <c:v>-15507.353421900267</c:v>
                </c:pt>
                <c:pt idx="282">
                  <c:v>-16456.754719841905</c:v>
                </c:pt>
                <c:pt idx="283">
                  <c:v>-17199.579315316187</c:v>
                </c:pt>
                <c:pt idx="284">
                  <c:v>-17709.192437910708</c:v>
                </c:pt>
                <c:pt idx="285">
                  <c:v>-17971.023269009682</c:v>
                </c:pt>
                <c:pt idx="286">
                  <c:v>-17973.243189675348</c:v>
                </c:pt>
                <c:pt idx="287">
                  <c:v>-17703.344752067653</c:v>
                </c:pt>
                <c:pt idx="288">
                  <c:v>-17149.545423040068</c:v>
                </c:pt>
                <c:pt idx="289">
                  <c:v>-16310.894554760542</c:v>
                </c:pt>
                <c:pt idx="290">
                  <c:v>-15224.987532185198</c:v>
                </c:pt>
                <c:pt idx="291">
                  <c:v>-14002.025105070335</c:v>
                </c:pt>
                <c:pt idx="292">
                  <c:v>-12785.128914842971</c:v>
                </c:pt>
                <c:pt idx="293">
                  <c:v>-11655.305925316001</c:v>
                </c:pt>
                <c:pt idx="294">
                  <c:v>-10625.763057256392</c:v>
                </c:pt>
                <c:pt idx="295">
                  <c:v>-9680.4093463510089</c:v>
                </c:pt>
                <c:pt idx="296">
                  <c:v>-8796.4292576533662</c:v>
                </c:pt>
                <c:pt idx="297">
                  <c:v>-7952.4159036214278</c:v>
                </c:pt>
                <c:pt idx="298">
                  <c:v>-7130.6866130143644</c:v>
                </c:pt>
                <c:pt idx="299">
                  <c:v>-6317.6571252195381</c:v>
                </c:pt>
                <c:pt idx="300">
                  <c:v>-5503.5970250868149</c:v>
                </c:pt>
                <c:pt idx="301">
                  <c:v>-4682.1794352869301</c:v>
                </c:pt>
                <c:pt idx="302">
                  <c:v>-3849.9442219674993</c:v>
                </c:pt>
                <c:pt idx="303">
                  <c:v>-3005.7080355825706</c:v>
                </c:pt>
                <c:pt idx="304">
                  <c:v>-2149.9401419388364</c:v>
                </c:pt>
                <c:pt idx="305">
                  <c:v>-1284.1324188778383</c:v>
                </c:pt>
                <c:pt idx="306">
                  <c:v>-410.20439999614575</c:v>
                </c:pt>
                <c:pt idx="307">
                  <c:v>470.00995711787493</c:v>
                </c:pt>
                <c:pt idx="308">
                  <c:v>1355.1489035321149</c:v>
                </c:pt>
                <c:pt idx="309">
                  <c:v>2244.5391603160697</c:v>
                </c:pt>
                <c:pt idx="310">
                  <c:v>3138.1814055947525</c:v>
                </c:pt>
                <c:pt idx="311">
                  <c:v>4036.3826534754126</c:v>
                </c:pt>
                <c:pt idx="312">
                  <c:v>4938.7575991332369</c:v>
                </c:pt>
                <c:pt idx="313">
                  <c:v>5841.9819051554487</c:v>
                </c:pt>
                <c:pt idx="314">
                  <c:v>6735.0461810481256</c:v>
                </c:pt>
                <c:pt idx="315">
                  <c:v>7590.162643280989</c:v>
                </c:pt>
                <c:pt idx="316">
                  <c:v>8350.3770845187064</c:v>
                </c:pt>
                <c:pt idx="317">
                  <c:v>8931.7766749080893</c:v>
                </c:pt>
                <c:pt idx="318">
                  <c:v>9269.1755583190534</c:v>
                </c:pt>
                <c:pt idx="319">
                  <c:v>9357.0036122835427</c:v>
                </c:pt>
                <c:pt idx="320">
                  <c:v>9227.7330526869864</c:v>
                </c:pt>
                <c:pt idx="321">
                  <c:v>8920.9836376474141</c:v>
                </c:pt>
                <c:pt idx="322">
                  <c:v>8472.8496329099853</c:v>
                </c:pt>
                <c:pt idx="323">
                  <c:v>7916.5362725363448</c:v>
                </c:pt>
                <c:pt idx="324">
                  <c:v>7287.1697293801481</c:v>
                </c:pt>
                <c:pt idx="325">
                  <c:v>6629.1980922353432</c:v>
                </c:pt>
                <c:pt idx="326">
                  <c:v>6005.2308371839772</c:v>
                </c:pt>
                <c:pt idx="327">
                  <c:v>5496.3699653611247</c:v>
                </c:pt>
                <c:pt idx="328">
                  <c:v>5169.2431692287992</c:v>
                </c:pt>
                <c:pt idx="329">
                  <c:v>5025.5590840886562</c:v>
                </c:pt>
                <c:pt idx="330">
                  <c:v>5011.4683936133533</c:v>
                </c:pt>
                <c:pt idx="331">
                  <c:v>5062.491276359453</c:v>
                </c:pt>
                <c:pt idx="332">
                  <c:v>5125.7272423107233</c:v>
                </c:pt>
                <c:pt idx="333">
                  <c:v>5162.7840263367343</c:v>
                </c:pt>
                <c:pt idx="334">
                  <c:v>5147.2329471928933</c:v>
                </c:pt>
                <c:pt idx="335">
                  <c:v>5061.7548955088332</c:v>
                </c:pt>
                <c:pt idx="336">
                  <c:v>4896.0291023855953</c:v>
                </c:pt>
                <c:pt idx="337">
                  <c:v>4645.3840903904484</c:v>
                </c:pt>
                <c:pt idx="338">
                  <c:v>4310.0745373995478</c:v>
                </c:pt>
                <c:pt idx="339">
                  <c:v>3895.0702933811604</c:v>
                </c:pt>
                <c:pt idx="340">
                  <c:v>3410.2799343322458</c:v>
                </c:pt>
                <c:pt idx="341">
                  <c:v>2871.144135910723</c:v>
                </c:pt>
                <c:pt idx="342">
                  <c:v>2299.512300161286</c:v>
                </c:pt>
                <c:pt idx="343">
                  <c:v>1724.6575543297542</c:v>
                </c:pt>
                <c:pt idx="344">
                  <c:v>1184.206079248735</c:v>
                </c:pt>
                <c:pt idx="345">
                  <c:v>724.69636840410158</c:v>
                </c:pt>
                <c:pt idx="346">
                  <c:v>401.48351629106321</c:v>
                </c:pt>
                <c:pt idx="347">
                  <c:v>277.72613674549433</c:v>
                </c:pt>
                <c:pt idx="348">
                  <c:v>422.00851981835103</c:v>
                </c:pt>
                <c:pt idx="349">
                  <c:v>903.283288531636</c:v>
                </c:pt>
                <c:pt idx="350">
                  <c:v>1779.7983347732049</c:v>
                </c:pt>
                <c:pt idx="351">
                  <c:v>3076.4672879669652</c:v>
                </c:pt>
                <c:pt idx="352">
                  <c:v>4749.6824661934643</c:v>
                </c:pt>
                <c:pt idx="353">
                  <c:v>6662.3584391312725</c:v>
                </c:pt>
                <c:pt idx="354">
                  <c:v>8611.7649807443195</c:v>
                </c:pt>
                <c:pt idx="355">
                  <c:v>10399.280549189642</c:v>
                </c:pt>
                <c:pt idx="356">
                  <c:v>11874.887736668134</c:v>
                </c:pt>
                <c:pt idx="357">
                  <c:v>12937.701157730828</c:v>
                </c:pt>
                <c:pt idx="358">
                  <c:v>13520.101222507823</c:v>
                </c:pt>
                <c:pt idx="359">
                  <c:v>13575.695817581867</c:v>
                </c:pt>
                <c:pt idx="360">
                  <c:v>13077.533574926587</c:v>
                </c:pt>
                <c:pt idx="361">
                  <c:v>12028.735771089971</c:v>
                </c:pt>
                <c:pt idx="362">
                  <c:v>10484.355436387274</c:v>
                </c:pt>
                <c:pt idx="363">
                  <c:v>8569.9572193110744</c:v>
                </c:pt>
                <c:pt idx="364">
                  <c:v>6466.727135127061</c:v>
                </c:pt>
                <c:pt idx="365">
                  <c:v>4357.5101179346248</c:v>
                </c:pt>
                <c:pt idx="366">
                  <c:v>2379.1776460089764</c:v>
                </c:pt>
                <c:pt idx="367">
                  <c:v>613.41097001757771</c:v>
                </c:pt>
                <c:pt idx="368">
                  <c:v>-898.4220703675436</c:v>
                </c:pt>
                <c:pt idx="369">
                  <c:v>-2137.836736735564</c:v>
                </c:pt>
                <c:pt idx="370">
                  <c:v>-3097.2754210257908</c:v>
                </c:pt>
                <c:pt idx="371">
                  <c:v>-3773.4304372351694</c:v>
                </c:pt>
                <c:pt idx="372">
                  <c:v>-4163.8162557807254</c:v>
                </c:pt>
                <c:pt idx="373">
                  <c:v>-4264.979850483659</c:v>
                </c:pt>
                <c:pt idx="374">
                  <c:v>-4071.4290857046899</c:v>
                </c:pt>
                <c:pt idx="375">
                  <c:v>-3574.8557393124015</c:v>
                </c:pt>
                <c:pt idx="376">
                  <c:v>-2763.5820568524741</c:v>
                </c:pt>
                <c:pt idx="377">
                  <c:v>-1622.5846781331388</c:v>
                </c:pt>
                <c:pt idx="378">
                  <c:v>-135.34794341902989</c:v>
                </c:pt>
                <c:pt idx="379">
                  <c:v>1709.0360703137678</c:v>
                </c:pt>
                <c:pt idx="380">
                  <c:v>3895.6882153653305</c:v>
                </c:pt>
                <c:pt idx="381">
                  <c:v>6339.982858437128</c:v>
                </c:pt>
                <c:pt idx="382">
                  <c:v>8836.6202704932239</c:v>
                </c:pt>
                <c:pt idx="383">
                  <c:v>11099.124829317298</c:v>
                </c:pt>
                <c:pt idx="384">
                  <c:v>12908.237603538524</c:v>
                </c:pt>
                <c:pt idx="385">
                  <c:v>14170.67331564238</c:v>
                </c:pt>
                <c:pt idx="386">
                  <c:v>14868.561908185375</c:v>
                </c:pt>
                <c:pt idx="387">
                  <c:v>15009.410749059502</c:v>
                </c:pt>
                <c:pt idx="388">
                  <c:v>14603.500044391329</c:v>
                </c:pt>
                <c:pt idx="389">
                  <c:v>13658.633543391092</c:v>
                </c:pt>
                <c:pt idx="390">
                  <c:v>12187.004627980268</c:v>
                </c:pt>
                <c:pt idx="391">
                  <c:v>10229.512142834301</c:v>
                </c:pt>
                <c:pt idx="392">
                  <c:v>7907.7684459456977</c:v>
                </c:pt>
                <c:pt idx="393">
                  <c:v>5472.4031958651794</c:v>
                </c:pt>
                <c:pt idx="394">
                  <c:v>3221.6823415629001</c:v>
                </c:pt>
                <c:pt idx="395">
                  <c:v>1335.0153299795363</c:v>
                </c:pt>
                <c:pt idx="396">
                  <c:v>-143.89411719523827</c:v>
                </c:pt>
                <c:pt idx="397">
                  <c:v>-1236.5591628057939</c:v>
                </c:pt>
                <c:pt idx="398">
                  <c:v>-1983.7246850658123</c:v>
                </c:pt>
                <c:pt idx="399">
                  <c:v>-2428.3462633585264</c:v>
                </c:pt>
                <c:pt idx="400">
                  <c:v>-2611.2835438028583</c:v>
                </c:pt>
                <c:pt idx="401">
                  <c:v>-2571.1579130166078</c:v>
                </c:pt>
                <c:pt idx="402">
                  <c:v>-2345.1513313519145</c:v>
                </c:pt>
                <c:pt idx="403">
                  <c:v>-1969.6230497730735</c:v>
                </c:pt>
                <c:pt idx="404">
                  <c:v>-1480.191691159431</c:v>
                </c:pt>
                <c:pt idx="405">
                  <c:v>-911.26816160186797</c:v>
                </c:pt>
                <c:pt idx="406">
                  <c:v>-295.21780214630894</c:v>
                </c:pt>
                <c:pt idx="407">
                  <c:v>338.57526378066848</c:v>
                </c:pt>
                <c:pt idx="408">
                  <c:v>964.48403759029304</c:v>
                </c:pt>
                <c:pt idx="409">
                  <c:v>1561.1034553168913</c:v>
                </c:pt>
                <c:pt idx="410">
                  <c:v>2111.3888369673014</c:v>
                </c:pt>
                <c:pt idx="411">
                  <c:v>2602.5565059844776</c:v>
                </c:pt>
                <c:pt idx="412">
                  <c:v>3025.8800790480627</c:v>
                </c:pt>
                <c:pt idx="413">
                  <c:v>3376.5127373925266</c:v>
                </c:pt>
                <c:pt idx="414">
                  <c:v>3653.4406824448861</c:v>
                </c:pt>
                <c:pt idx="415">
                  <c:v>3859.6482866815008</c:v>
                </c:pt>
                <c:pt idx="416">
                  <c:v>4002.5626267357748</c:v>
                </c:pt>
                <c:pt idx="417">
                  <c:v>4094.8460808412315</c:v>
                </c:pt>
                <c:pt idx="418">
                  <c:v>4155.6140141394108</c:v>
                </c:pt>
                <c:pt idx="419">
                  <c:v>4212.142771404353</c:v>
                </c:pt>
                <c:pt idx="420">
                  <c:v>4301.9862254267737</c:v>
                </c:pt>
                <c:pt idx="421">
                  <c:v>4474.6813179619949</c:v>
                </c:pt>
                <c:pt idx="422">
                  <c:v>4789.4240063733587</c:v>
                </c:pt>
                <c:pt idx="423">
                  <c:v>5298.1043384933364</c:v>
                </c:pt>
                <c:pt idx="424">
                  <c:v>6003.1986282237513</c:v>
                </c:pt>
                <c:pt idx="425">
                  <c:v>6830.4859047903783</c:v>
                </c:pt>
                <c:pt idx="426">
                  <c:v>7676.0649120366197</c:v>
                </c:pt>
                <c:pt idx="427">
                  <c:v>8458.5348211124092</c:v>
                </c:pt>
                <c:pt idx="428">
                  <c:v>9124.1492186715786</c:v>
                </c:pt>
                <c:pt idx="429">
                  <c:v>9634.5190429929971</c:v>
                </c:pt>
                <c:pt idx="430">
                  <c:v>9956.1164003684808</c:v>
                </c:pt>
                <c:pt idx="431">
                  <c:v>10053.992491239187</c:v>
                </c:pt>
                <c:pt idx="432">
                  <c:v>9890.1871676109113</c:v>
                </c:pt>
                <c:pt idx="433">
                  <c:v>9432.149347570863</c:v>
                </c:pt>
                <c:pt idx="434">
                  <c:v>8681.9782290883395</c:v>
                </c:pt>
                <c:pt idx="435">
                  <c:v>7712.1631684289714</c:v>
                </c:pt>
                <c:pt idx="436">
                  <c:v>6637.6016320579256</c:v>
                </c:pt>
                <c:pt idx="437">
                  <c:v>5545.9257143037867</c:v>
                </c:pt>
                <c:pt idx="438">
                  <c:v>4480.1491649647987</c:v>
                </c:pt>
                <c:pt idx="439">
                  <c:v>3455.0850346226653</c:v>
                </c:pt>
                <c:pt idx="440">
                  <c:v>2472.2803186075143</c:v>
                </c:pt>
                <c:pt idx="441">
                  <c:v>1527.9334349084634</c:v>
                </c:pt>
                <c:pt idx="442">
                  <c:v>616.50699186839961</c:v>
                </c:pt>
                <c:pt idx="443">
                  <c:v>-267.75939524478724</c:v>
                </c:pt>
                <c:pt idx="444">
                  <c:v>-1130.3376023265926</c:v>
                </c:pt>
                <c:pt idx="445">
                  <c:v>-1976.4063017377493</c:v>
                </c:pt>
                <c:pt idx="446">
                  <c:v>-2811.129899868698</c:v>
                </c:pt>
                <c:pt idx="447">
                  <c:v>-3640.1115789121914</c:v>
                </c:pt>
                <c:pt idx="448">
                  <c:v>-4469.9561857917124</c:v>
                </c:pt>
                <c:pt idx="449">
                  <c:v>-5308.8964413781296</c:v>
                </c:pt>
                <c:pt idx="450">
                  <c:v>-6167.4426797039641</c:v>
                </c:pt>
                <c:pt idx="451">
                  <c:v>-7059.0127259248266</c:v>
                </c:pt>
                <c:pt idx="452">
                  <c:v>-8000.4660652007842</c:v>
                </c:pt>
                <c:pt idx="453">
                  <c:v>-9012.344206963875</c:v>
                </c:pt>
                <c:pt idx="454">
                  <c:v>-10118.224875243117</c:v>
                </c:pt>
                <c:pt idx="455">
                  <c:v>-11341.404833793016</c:v>
                </c:pt>
                <c:pt idx="456">
                  <c:v>-12693.919334945966</c:v>
                </c:pt>
                <c:pt idx="457">
                  <c:v>-14147.797712035215</c:v>
                </c:pt>
                <c:pt idx="458">
                  <c:v>-15591.769283292624</c:v>
                </c:pt>
                <c:pt idx="459">
                  <c:v>-16852.422334097082</c:v>
                </c:pt>
                <c:pt idx="460">
                  <c:v>-17809.648528063186</c:v>
                </c:pt>
                <c:pt idx="461">
                  <c:v>-18428.686999162004</c:v>
                </c:pt>
                <c:pt idx="462">
                  <c:v>-18715.46503691722</c:v>
                </c:pt>
                <c:pt idx="463">
                  <c:v>-18685.613289647226</c:v>
                </c:pt>
                <c:pt idx="464">
                  <c:v>-18354.011741731072</c:v>
                </c:pt>
                <c:pt idx="465">
                  <c:v>-17733.882718705583</c:v>
                </c:pt>
                <c:pt idx="466">
                  <c:v>-16841.405443064286</c:v>
                </c:pt>
                <c:pt idx="467">
                  <c:v>-15707.767187383517</c:v>
                </c:pt>
                <c:pt idx="468">
                  <c:v>-14403.329447099111</c:v>
                </c:pt>
                <c:pt idx="469">
                  <c:v>-13062.978504120172</c:v>
                </c:pt>
                <c:pt idx="470">
                  <c:v>-11848.168744985463</c:v>
                </c:pt>
                <c:pt idx="471">
                  <c:v>-10841.769639284423</c:v>
                </c:pt>
                <c:pt idx="472">
                  <c:v>-10033.727184614814</c:v>
                </c:pt>
                <c:pt idx="473">
                  <c:v>-9377.0385409805313</c:v>
                </c:pt>
                <c:pt idx="474">
                  <c:v>-8821.8365971745025</c:v>
                </c:pt>
                <c:pt idx="475">
                  <c:v>-8325.4318721243435</c:v>
                </c:pt>
                <c:pt idx="476">
                  <c:v>-7853.5621637134545</c:v>
                </c:pt>
                <c:pt idx="477">
                  <c:v>-7379.4774315373343</c:v>
                </c:pt>
                <c:pt idx="478">
                  <c:v>-6882.7510656429795</c:v>
                </c:pt>
                <c:pt idx="479">
                  <c:v>-6348.235902627609</c:v>
                </c:pt>
                <c:pt idx="480">
                  <c:v>-5765.205079233443</c:v>
                </c:pt>
                <c:pt idx="481">
                  <c:v>-5126.6354514636078</c:v>
                </c:pt>
                <c:pt idx="482">
                  <c:v>-4428.580694086445</c:v>
                </c:pt>
                <c:pt idx="483">
                  <c:v>-3669.5887660961698</c:v>
                </c:pt>
                <c:pt idx="484">
                  <c:v>-2850.1352617433113</c:v>
                </c:pt>
                <c:pt idx="485">
                  <c:v>-1972.0698851017169</c:v>
                </c:pt>
                <c:pt idx="486">
                  <c:v>-1038.1056151711584</c:v>
                </c:pt>
                <c:pt idx="487">
                  <c:v>-51.413481393536756</c:v>
                </c:pt>
                <c:pt idx="488">
                  <c:v>984.58421979648597</c:v>
                </c:pt>
                <c:pt idx="489">
                  <c:v>2066.0978075367839</c:v>
                </c:pt>
                <c:pt idx="490">
                  <c:v>3188.3493587252451</c:v>
                </c:pt>
                <c:pt idx="491">
                  <c:v>4344.1319371356894</c:v>
                </c:pt>
                <c:pt idx="492">
                  <c:v>5520.9476101303462</c:v>
                </c:pt>
                <c:pt idx="493">
                  <c:v>6695.6360951154784</c:v>
                </c:pt>
                <c:pt idx="494">
                  <c:v>7825.1062774246129</c:v>
                </c:pt>
                <c:pt idx="495">
                  <c:v>8834.3180149711916</c:v>
                </c:pt>
                <c:pt idx="496">
                  <c:v>9615.7655571354844</c:v>
                </c:pt>
                <c:pt idx="497">
                  <c:v>10070.958619058225</c:v>
                </c:pt>
                <c:pt idx="498">
                  <c:v>10171.58887104956</c:v>
                </c:pt>
                <c:pt idx="499">
                  <c:v>9956.4859210376744</c:v>
                </c:pt>
                <c:pt idx="500">
                  <c:v>9487.7735739473919</c:v>
                </c:pt>
                <c:pt idx="501">
                  <c:v>8826.2220813857766</c:v>
                </c:pt>
                <c:pt idx="502">
                  <c:v>8027.5418855859562</c:v>
                </c:pt>
                <c:pt idx="503">
                  <c:v>7147.3690748743711</c:v>
                </c:pt>
                <c:pt idx="504">
                  <c:v>6249.6151406300187</c:v>
                </c:pt>
                <c:pt idx="505">
                  <c:v>5415.6180348567814</c:v>
                </c:pt>
                <c:pt idx="506">
                  <c:v>4745.5412206749361</c:v>
                </c:pt>
                <c:pt idx="507">
                  <c:v>4330.6828607192656</c:v>
                </c:pt>
                <c:pt idx="508">
                  <c:v>4197.1408739255003</c:v>
                </c:pt>
                <c:pt idx="509">
                  <c:v>4291.6583326351611</c:v>
                </c:pt>
                <c:pt idx="510">
                  <c:v>4528.4940824785344</c:v>
                </c:pt>
                <c:pt idx="511">
                  <c:v>4829.0713129894921</c:v>
                </c:pt>
                <c:pt idx="512">
                  <c:v>5133.623576530299</c:v>
                </c:pt>
                <c:pt idx="513">
                  <c:v>5399.9275475459854</c:v>
                </c:pt>
                <c:pt idx="514">
                  <c:v>5599.3536225770822</c:v>
                </c:pt>
                <c:pt idx="515">
                  <c:v>5713.3846116399891</c:v>
                </c:pt>
                <c:pt idx="516">
                  <c:v>5731.1557405532058</c:v>
                </c:pt>
                <c:pt idx="517">
                  <c:v>5647.940579350583</c:v>
                </c:pt>
                <c:pt idx="518">
                  <c:v>5464.4321435095671</c:v>
                </c:pt>
                <c:pt idx="519">
                  <c:v>5186.7190244018439</c:v>
                </c:pt>
                <c:pt idx="520">
                  <c:v>4826.923729211745</c:v>
                </c:pt>
                <c:pt idx="521">
                  <c:v>4404.5210404945719</c:v>
                </c:pt>
                <c:pt idx="522">
                  <c:v>3948.361658990978</c:v>
                </c:pt>
                <c:pt idx="523">
                  <c:v>3499.3407555367116</c:v>
                </c:pt>
                <c:pt idx="524">
                  <c:v>3113.3460034515615</c:v>
                </c:pt>
                <c:pt idx="525">
                  <c:v>2863.24450168266</c:v>
                </c:pt>
                <c:pt idx="526">
                  <c:v>2836.4014922499214</c:v>
                </c:pt>
                <c:pt idx="527">
                  <c:v>3119.9415124029292</c:v>
                </c:pt>
                <c:pt idx="528">
                  <c:v>3765.2422083680458</c:v>
                </c:pt>
                <c:pt idx="529">
                  <c:v>4745.7804860991509</c:v>
                </c:pt>
                <c:pt idx="530">
                  <c:v>5956.6711203809637</c:v>
                </c:pt>
                <c:pt idx="531">
                  <c:v>7263.3946190984288</c:v>
                </c:pt>
                <c:pt idx="532">
                  <c:v>8543.3631513517357</c:v>
                </c:pt>
                <c:pt idx="533">
                  <c:v>9695.8054585504324</c:v>
                </c:pt>
                <c:pt idx="534">
                  <c:v>10635.149300804496</c:v>
                </c:pt>
                <c:pt idx="535">
                  <c:v>11282.256346288323</c:v>
                </c:pt>
                <c:pt idx="536">
                  <c:v>11560.25302260002</c:v>
                </c:pt>
                <c:pt idx="537">
                  <c:v>11401.22565355493</c:v>
                </c:pt>
                <c:pt idx="538">
                  <c:v>10771.854132304508</c:v>
                </c:pt>
                <c:pt idx="539">
                  <c:v>9711.6915327055412</c:v>
                </c:pt>
                <c:pt idx="540">
                  <c:v>8339.4680579275973</c:v>
                </c:pt>
                <c:pt idx="541">
                  <c:v>6800.9941712592399</c:v>
                </c:pt>
                <c:pt idx="542">
                  <c:v>5215.3808933900045</c:v>
                </c:pt>
                <c:pt idx="543">
                  <c:v>3660.9017745030214</c:v>
                </c:pt>
                <c:pt idx="544">
                  <c:v>2183.9364542072303</c:v>
                </c:pt>
                <c:pt idx="545">
                  <c:v>810.9431246718068</c:v>
                </c:pt>
                <c:pt idx="546">
                  <c:v>-442.86244358310796</c:v>
                </c:pt>
                <c:pt idx="547">
                  <c:v>-1568.236587354326</c:v>
                </c:pt>
                <c:pt idx="548">
                  <c:v>-2559.0040359108389</c:v>
                </c:pt>
                <c:pt idx="549">
                  <c:v>-3410.6354350648239</c:v>
                </c:pt>
                <c:pt idx="550">
                  <c:v>-4119.6963264769147</c:v>
                </c:pt>
                <c:pt idx="551">
                  <c:v>-4683.7636888050838</c:v>
                </c:pt>
                <c:pt idx="552">
                  <c:v>-5101.5580185649515</c:v>
                </c:pt>
                <c:pt idx="553">
                  <c:v>-5373.1535055175355</c:v>
                </c:pt>
                <c:pt idx="554">
                  <c:v>-5500.2073985314255</c:v>
                </c:pt>
                <c:pt idx="555">
                  <c:v>-5486.1925111037499</c:v>
                </c:pt>
                <c:pt idx="556">
                  <c:v>-5336.6295373784606</c:v>
                </c:pt>
                <c:pt idx="557">
                  <c:v>-5059.3071192821917</c:v>
                </c:pt>
                <c:pt idx="558">
                  <c:v>-4664.4565120027273</c:v>
                </c:pt>
                <c:pt idx="559">
                  <c:v>-4164.8238217673124</c:v>
                </c:pt>
                <c:pt idx="560">
                  <c:v>-3575.5678425713686</c:v>
                </c:pt>
                <c:pt idx="561">
                  <c:v>-2913.9188882715221</c:v>
                </c:pt>
                <c:pt idx="562">
                  <c:v>-2198.5730218684453</c:v>
                </c:pt>
                <c:pt idx="563">
                  <c:v>-1448.8620352700639</c:v>
                </c:pt>
                <c:pt idx="564">
                  <c:v>-683.80820349770249</c:v>
                </c:pt>
                <c:pt idx="565">
                  <c:v>78.790061569663067</c:v>
                </c:pt>
                <c:pt idx="566">
                  <c:v>823.11160801681615</c:v>
                </c:pt>
                <c:pt idx="567">
                  <c:v>1535.8361997876691</c:v>
                </c:pt>
                <c:pt idx="568">
                  <c:v>2206.4446659431887</c:v>
                </c:pt>
                <c:pt idx="569">
                  <c:v>2827.3587989764715</c:v>
                </c:pt>
                <c:pt idx="570">
                  <c:v>3394.0091842732936</c:v>
                </c:pt>
                <c:pt idx="571">
                  <c:v>3904.9164518462685</c:v>
                </c:pt>
                <c:pt idx="572">
                  <c:v>4361.853659749333</c:v>
                </c:pt>
                <c:pt idx="573">
                  <c:v>4770.1339061177214</c:v>
                </c:pt>
                <c:pt idx="574">
                  <c:v>5139.0343402945218</c:v>
                </c:pt>
                <c:pt idx="575">
                  <c:v>5482.2908095598868</c:v>
                </c:pt>
                <c:pt idx="576">
                  <c:v>5818.3470334778885</c:v>
                </c:pt>
                <c:pt idx="577">
                  <c:v>6169.2060546198627</c:v>
                </c:pt>
                <c:pt idx="578">
                  <c:v>6554.4711192243194</c:v>
                </c:pt>
                <c:pt idx="579">
                  <c:v>6975.3548265759782</c:v>
                </c:pt>
                <c:pt idx="580">
                  <c:v>7399.1686914974871</c:v>
                </c:pt>
                <c:pt idx="581">
                  <c:v>7778.5806198616328</c:v>
                </c:pt>
                <c:pt idx="582">
                  <c:v>8081.6558897187688</c:v>
                </c:pt>
                <c:pt idx="583">
                  <c:v>8293.5543542245377</c:v>
                </c:pt>
                <c:pt idx="584">
                  <c:v>8407.8118741709495</c:v>
                </c:pt>
                <c:pt idx="585">
                  <c:v>8420.6897579113429</c:v>
                </c:pt>
                <c:pt idx="586">
                  <c:v>8328.9602416492053</c:v>
                </c:pt>
                <c:pt idx="587">
                  <c:v>8130.1533632804403</c:v>
                </c:pt>
                <c:pt idx="588">
                  <c:v>7825.995139168288</c:v>
                </c:pt>
                <c:pt idx="589">
                  <c:v>7431.1070842278323</c:v>
                </c:pt>
                <c:pt idx="590">
                  <c:v>6982.3361756780878</c:v>
                </c:pt>
                <c:pt idx="591">
                  <c:v>6524.5613072120914</c:v>
                </c:pt>
                <c:pt idx="592">
                  <c:v>6079.1856110536373</c:v>
                </c:pt>
                <c:pt idx="593">
                  <c:v>5642.6205204704092</c:v>
                </c:pt>
                <c:pt idx="594">
                  <c:v>5201.35729203135</c:v>
                </c:pt>
                <c:pt idx="595">
                  <c:v>4741.129640113606</c:v>
                </c:pt>
                <c:pt idx="596">
                  <c:v>4250.1539065168854</c:v>
                </c:pt>
                <c:pt idx="597">
                  <c:v>3719.9120634268829</c:v>
                </c:pt>
                <c:pt idx="598">
                  <c:v>3145.1431317036995</c:v>
                </c:pt>
                <c:pt idx="599">
                  <c:v>2523.6363630258152</c:v>
                </c:pt>
                <c:pt idx="600">
                  <c:v>1856.016781228474</c:v>
                </c:pt>
                <c:pt idx="601">
                  <c:v>1145.5685425214203</c:v>
                </c:pt>
                <c:pt idx="602">
                  <c:v>398.08134556314519</c:v>
                </c:pt>
                <c:pt idx="603">
                  <c:v>-378.32605413511772</c:v>
                </c:pt>
                <c:pt idx="604">
                  <c:v>-1173.46638636942</c:v>
                </c:pt>
                <c:pt idx="605">
                  <c:v>-1975.4867970447165</c:v>
                </c:pt>
                <c:pt idx="606">
                  <c:v>-2771.4473160540629</c:v>
                </c:pt>
                <c:pt idx="607">
                  <c:v>-3548.0633719304478</c:v>
                </c:pt>
                <c:pt idx="608">
                  <c:v>-4292.5517376924072</c:v>
                </c:pt>
                <c:pt idx="609">
                  <c:v>-4993.4880929604951</c:v>
                </c:pt>
                <c:pt idx="610">
                  <c:v>-5641.5876143408132</c:v>
                </c:pt>
                <c:pt idx="611">
                  <c:v>-6230.3565725621993</c:v>
                </c:pt>
                <c:pt idx="612">
                  <c:v>-6756.6151632025931</c:v>
                </c:pt>
                <c:pt idx="613">
                  <c:v>-7220.9381733874634</c:v>
                </c:pt>
                <c:pt idx="614">
                  <c:v>-7628.087754112833</c:v>
                </c:pt>
                <c:pt idx="615">
                  <c:v>-7987.5209911307793</c:v>
                </c:pt>
                <c:pt idx="616">
                  <c:v>-8314.0514149198661</c:v>
                </c:pt>
                <c:pt idx="617">
                  <c:v>-8628.735781229554</c:v>
                </c:pt>
                <c:pt idx="618">
                  <c:v>-8960.0427252841728</c:v>
                </c:pt>
                <c:pt idx="619">
                  <c:v>-9345.2927129806849</c:v>
                </c:pt>
                <c:pt idx="620">
                  <c:v>-9832.0308042670968</c:v>
                </c:pt>
                <c:pt idx="621">
                  <c:v>-10477.640558953824</c:v>
                </c:pt>
                <c:pt idx="622">
                  <c:v>-11340.996990472351</c:v>
                </c:pt>
                <c:pt idx="623">
                  <c:v>-12451.060198171677</c:v>
                </c:pt>
                <c:pt idx="624">
                  <c:v>-13749.072216983857</c:v>
                </c:pt>
                <c:pt idx="625">
                  <c:v>-15084.184796600399</c:v>
                </c:pt>
                <c:pt idx="626">
                  <c:v>-16308.330048096033</c:v>
                </c:pt>
                <c:pt idx="627">
                  <c:v>-17330.799648594581</c:v>
                </c:pt>
                <c:pt idx="628">
                  <c:v>-18103.930559302287</c:v>
                </c:pt>
                <c:pt idx="629">
                  <c:v>-18599.642197583144</c:v>
                </c:pt>
                <c:pt idx="630">
                  <c:v>-18795.408957863303</c:v>
                </c:pt>
                <c:pt idx="631">
                  <c:v>-18667.620779904835</c:v>
                </c:pt>
                <c:pt idx="632">
                  <c:v>-18190.490917184208</c:v>
                </c:pt>
                <c:pt idx="633">
                  <c:v>-17344.196371345573</c:v>
                </c:pt>
                <c:pt idx="634">
                  <c:v>-16144.212594378469</c:v>
                </c:pt>
                <c:pt idx="635">
                  <c:v>-14692.1024488609</c:v>
                </c:pt>
                <c:pt idx="636">
                  <c:v>-13163.363948015758</c:v>
                </c:pt>
                <c:pt idx="637">
                  <c:v>-11692.827272961542</c:v>
                </c:pt>
                <c:pt idx="638">
                  <c:v>-10331.852228069612</c:v>
                </c:pt>
                <c:pt idx="639">
                  <c:v>-9083.784741956224</c:v>
                </c:pt>
                <c:pt idx="640">
                  <c:v>-7934.6953056708962</c:v>
                </c:pt>
                <c:pt idx="641">
                  <c:v>-6867.0044113796457</c:v>
                </c:pt>
                <c:pt idx="642">
                  <c:v>-5864.3994735103352</c:v>
                </c:pt>
                <c:pt idx="643">
                  <c:v>-4913.3211752117022</c:v>
                </c:pt>
                <c:pt idx="644">
                  <c:v>-4003.1455032076092</c:v>
                </c:pt>
                <c:pt idx="645">
                  <c:v>-3125.8496593948194</c:v>
                </c:pt>
                <c:pt idx="646">
                  <c:v>-2275.4638791590123</c:v>
                </c:pt>
                <c:pt idx="647">
                  <c:v>-1447.4413869381497</c:v>
                </c:pt>
                <c:pt idx="648">
                  <c:v>-638.01828822396101</c:v>
                </c:pt>
                <c:pt idx="649">
                  <c:v>156.39025586988816</c:v>
                </c:pt>
                <c:pt idx="650">
                  <c:v>939.72589218931739</c:v>
                </c:pt>
                <c:pt idx="651">
                  <c:v>1716.7307704531318</c:v>
                </c:pt>
                <c:pt idx="652">
                  <c:v>2493.2683479393572</c:v>
                </c:pt>
                <c:pt idx="653">
                  <c:v>3276.453462052435</c:v>
                </c:pt>
                <c:pt idx="654">
                  <c:v>4074.4189861305845</c:v>
                </c:pt>
                <c:pt idx="655">
                  <c:v>4895.2845204004134</c:v>
                </c:pt>
                <c:pt idx="656">
                  <c:v>5744.2709351285293</c:v>
                </c:pt>
                <c:pt idx="657">
                  <c:v>6616.6471737624961</c:v>
                </c:pt>
                <c:pt idx="658">
                  <c:v>7483.3321212693272</c:v>
                </c:pt>
                <c:pt idx="659">
                  <c:v>8274.8254353224002</c:v>
                </c:pt>
                <c:pt idx="660">
                  <c:v>8899.6215239113244</c:v>
                </c:pt>
                <c:pt idx="661">
                  <c:v>9303.9167639937041</c:v>
                </c:pt>
                <c:pt idx="662">
                  <c:v>9485.1849678851886</c:v>
                </c:pt>
                <c:pt idx="663">
                  <c:v>9463.1098829113453</c:v>
                </c:pt>
                <c:pt idx="664">
                  <c:v>9260.4819299862302</c:v>
                </c:pt>
                <c:pt idx="665">
                  <c:v>8898.2044565911383</c:v>
                </c:pt>
                <c:pt idx="666">
                  <c:v>8396.7353116183167</c:v>
                </c:pt>
                <c:pt idx="667">
                  <c:v>7781.265458747127</c:v>
                </c:pt>
                <c:pt idx="668">
                  <c:v>7091.2910356682705</c:v>
                </c:pt>
                <c:pt idx="669">
                  <c:v>6392.6928574780395</c:v>
                </c:pt>
                <c:pt idx="670">
                  <c:v>5771.9340493470609</c:v>
                </c:pt>
                <c:pt idx="671">
                  <c:v>5286.2075630481468</c:v>
                </c:pt>
                <c:pt idx="672">
                  <c:v>4929.8527400293788</c:v>
                </c:pt>
                <c:pt idx="673">
                  <c:v>4662.954849906494</c:v>
                </c:pt>
                <c:pt idx="674">
                  <c:v>4442.2213546110625</c:v>
                </c:pt>
                <c:pt idx="675">
                  <c:v>4231.7704657454187</c:v>
                </c:pt>
                <c:pt idx="676">
                  <c:v>4004.3788043560448</c:v>
                </c:pt>
                <c:pt idx="677">
                  <c:v>3740.2998502796022</c:v>
                </c:pt>
                <c:pt idx="678">
                  <c:v>3425.8640995438682</c:v>
                </c:pt>
                <c:pt idx="679">
                  <c:v>3052.3501743896059</c:v>
                </c:pt>
                <c:pt idx="680">
                  <c:v>2615.1733633263275</c:v>
                </c:pt>
                <c:pt idx="681">
                  <c:v>2113.3452098481735</c:v>
                </c:pt>
                <c:pt idx="682">
                  <c:v>1549.1437318191188</c:v>
                </c:pt>
                <c:pt idx="683">
                  <c:v>927.93034206241623</c:v>
                </c:pt>
                <c:pt idx="684">
                  <c:v>258.04160302947957</c:v>
                </c:pt>
                <c:pt idx="685">
                  <c:v>-449.32783472437262</c:v>
                </c:pt>
                <c:pt idx="686">
                  <c:v>-1180.342286514486</c:v>
                </c:pt>
                <c:pt idx="687">
                  <c:v>-1918.9240105101844</c:v>
                </c:pt>
                <c:pt idx="688">
                  <c:v>-2647.3793539790086</c:v>
                </c:pt>
                <c:pt idx="689">
                  <c:v>-3347.2343138776951</c:v>
                </c:pt>
                <c:pt idx="690">
                  <c:v>-4000.1920395405755</c:v>
                </c:pt>
                <c:pt idx="691">
                  <c:v>-4589.0799466973403</c:v>
                </c:pt>
                <c:pt idx="692">
                  <c:v>-5098.6575982313871</c:v>
                </c:pt>
                <c:pt idx="693">
                  <c:v>-5516.2059455164699</c:v>
                </c:pt>
                <c:pt idx="694">
                  <c:v>-5831.8874844989914</c:v>
                </c:pt>
                <c:pt idx="695">
                  <c:v>-6038.9242820553181</c:v>
                </c:pt>
                <c:pt idx="696">
                  <c:v>-6133.6690731083672</c:v>
                </c:pt>
                <c:pt idx="697">
                  <c:v>-6115.6432528592313</c:v>
                </c:pt>
                <c:pt idx="698">
                  <c:v>-5987.5935516181735</c:v>
                </c:pt>
                <c:pt idx="699">
                  <c:v>-5755.5861143970469</c:v>
                </c:pt>
                <c:pt idx="700">
                  <c:v>-5429.1192957588919</c:v>
                </c:pt>
                <c:pt idx="701">
                  <c:v>-5021.1999836076548</c:v>
                </c:pt>
                <c:pt idx="702">
                  <c:v>-4548.3002472443868</c:v>
                </c:pt>
                <c:pt idx="703">
                  <c:v>-4030.10357556183</c:v>
                </c:pt>
                <c:pt idx="704">
                  <c:v>-3488.9761404311839</c:v>
                </c:pt>
                <c:pt idx="705">
                  <c:v>-2949.1627668611391</c:v>
                </c:pt>
                <c:pt idx="706">
                  <c:v>-2435.7939615964397</c:v>
                </c:pt>
                <c:pt idx="707">
                  <c:v>-1973.8639681611655</c:v>
                </c:pt>
                <c:pt idx="708">
                  <c:v>-1587.3641721527588</c:v>
                </c:pt>
                <c:pt idx="709">
                  <c:v>-1298.7202728634982</c:v>
                </c:pt>
                <c:pt idx="710">
                  <c:v>-1128.6081952829609</c:v>
                </c:pt>
                <c:pt idx="711">
                  <c:v>-1096.1516294799246</c:v>
                </c:pt>
                <c:pt idx="712">
                  <c:v>-1219.4623704363789</c:v>
                </c:pt>
                <c:pt idx="713">
                  <c:v>-1516.4796947279337</c:v>
                </c:pt>
                <c:pt idx="714">
                  <c:v>-2006.0841437216704</c:v>
                </c:pt>
                <c:pt idx="715">
                  <c:v>-2709.4786799568997</c:v>
                </c:pt>
                <c:pt idx="716">
                  <c:v>-3651.7987203907783</c:v>
                </c:pt>
                <c:pt idx="717">
                  <c:v>-4863.7114433405022</c:v>
                </c:pt>
                <c:pt idx="718">
                  <c:v>-6382.0342860279197</c:v>
                </c:pt>
                <c:pt idx="719">
                  <c:v>-8246.0755741550074</c:v>
                </c:pt>
                <c:pt idx="720">
                  <c:v>-10479.913212814965</c:v>
                </c:pt>
                <c:pt idx="721">
                  <c:v>-13039.734859616532</c:v>
                </c:pt>
                <c:pt idx="722">
                  <c:v>-15727.755968575935</c:v>
                </c:pt>
                <c:pt idx="723">
                  <c:v>-18216.997693302259</c:v>
                </c:pt>
                <c:pt idx="724">
                  <c:v>-20256.987583749273</c:v>
                </c:pt>
                <c:pt idx="725">
                  <c:v>-21747.244867178295</c:v>
                </c:pt>
                <c:pt idx="726">
                  <c:v>-22666.484410306013</c:v>
                </c:pt>
                <c:pt idx="727">
                  <c:v>-23015.312003438426</c:v>
                </c:pt>
                <c:pt idx="728">
                  <c:v>-22792.963782798292</c:v>
                </c:pt>
                <c:pt idx="729">
                  <c:v>-21991.30076862247</c:v>
                </c:pt>
                <c:pt idx="730">
                  <c:v>-20599.594773733668</c:v>
                </c:pt>
                <c:pt idx="731">
                  <c:v>-18626.809315801835</c:v>
                </c:pt>
                <c:pt idx="732">
                  <c:v>-16159.326374269578</c:v>
                </c:pt>
                <c:pt idx="733">
                  <c:v>-13436.350683057863</c:v>
                </c:pt>
                <c:pt idx="734">
                  <c:v>-10785.971186144647</c:v>
                </c:pt>
                <c:pt idx="735">
                  <c:v>-8421.1209224339655</c:v>
                </c:pt>
                <c:pt idx="736">
                  <c:v>-6403.2441494076456</c:v>
                </c:pt>
                <c:pt idx="737">
                  <c:v>-4721.8950266404045</c:v>
                </c:pt>
                <c:pt idx="738">
                  <c:v>-3347.8476523583404</c:v>
                </c:pt>
                <c:pt idx="739">
                  <c:v>-2252.6280207821942</c:v>
                </c:pt>
                <c:pt idx="740">
                  <c:v>-1413.5377863718738</c:v>
                </c:pt>
                <c:pt idx="741">
                  <c:v>-813.91841515670421</c:v>
                </c:pt>
                <c:pt idx="742">
                  <c:v>-442.17537154947428</c:v>
                </c:pt>
                <c:pt idx="743">
                  <c:v>-290.69710352236166</c:v>
                </c:pt>
                <c:pt idx="744">
                  <c:v>-354.99561948031703</c:v>
                </c:pt>
                <c:pt idx="745">
                  <c:v>-633.13405197605323</c:v>
                </c:pt>
                <c:pt idx="746">
                  <c:v>-1125.4266518005495</c:v>
                </c:pt>
                <c:pt idx="747">
                  <c:v>-1834.3699650215081</c:v>
                </c:pt>
                <c:pt idx="748">
                  <c:v>-2764.7333007281113</c:v>
                </c:pt>
                <c:pt idx="749">
                  <c:v>-3923.6492211852983</c:v>
                </c:pt>
                <c:pt idx="750">
                  <c:v>-5320.3089761218762</c:v>
                </c:pt>
                <c:pt idx="751">
                  <c:v>-6964.3009793256278</c:v>
                </c:pt>
                <c:pt idx="752">
                  <c:v>-8860.4030458999059</c:v>
                </c:pt>
                <c:pt idx="753">
                  <c:v>-10995.430324329749</c:v>
                </c:pt>
                <c:pt idx="754">
                  <c:v>-13310.997127374761</c:v>
                </c:pt>
                <c:pt idx="755">
                  <c:v>-15665.407710623585</c:v>
                </c:pt>
                <c:pt idx="756">
                  <c:v>-17829.255453517137</c:v>
                </c:pt>
                <c:pt idx="757">
                  <c:v>-19574.036381688551</c:v>
                </c:pt>
                <c:pt idx="758">
                  <c:v>-20771.303976618972</c:v>
                </c:pt>
                <c:pt idx="759">
                  <c:v>-21389.948099870759</c:v>
                </c:pt>
                <c:pt idx="760">
                  <c:v>-21446.835898609737</c:v>
                </c:pt>
                <c:pt idx="761">
                  <c:v>-20974.207246826849</c:v>
                </c:pt>
                <c:pt idx="762">
                  <c:v>-20008.975747117838</c:v>
                </c:pt>
                <c:pt idx="763">
                  <c:v>-18596.063439586858</c:v>
                </c:pt>
                <c:pt idx="764">
                  <c:v>-16803.117813733312</c:v>
                </c:pt>
                <c:pt idx="765">
                  <c:v>-14746.207495798053</c:v>
                </c:pt>
                <c:pt idx="766">
                  <c:v>-12611.55648346308</c:v>
                </c:pt>
                <c:pt idx="767">
                  <c:v>-10624.531529609974</c:v>
                </c:pt>
                <c:pt idx="768">
                  <c:v>-8952.6893548332828</c:v>
                </c:pt>
                <c:pt idx="769">
                  <c:v>-7651.9597011494179</c:v>
                </c:pt>
                <c:pt idx="770">
                  <c:v>-6700.0831195676055</c:v>
                </c:pt>
                <c:pt idx="771">
                  <c:v>-6044.0284150322695</c:v>
                </c:pt>
                <c:pt idx="772">
                  <c:v>-5625.1083055697682</c:v>
                </c:pt>
                <c:pt idx="773">
                  <c:v>-5387.7942744456486</c:v>
                </c:pt>
                <c:pt idx="774">
                  <c:v>-5281.807019093515</c:v>
                </c:pt>
                <c:pt idx="775">
                  <c:v>-5262.156906435147</c:v>
                </c:pt>
                <c:pt idx="776">
                  <c:v>-5288.789139662561</c:v>
                </c:pt>
                <c:pt idx="777">
                  <c:v>-5326.2638309165932</c:v>
                </c:pt>
                <c:pt idx="778">
                  <c:v>-5343.4895429221351</c:v>
                </c:pt>
                <c:pt idx="779">
                  <c:v>-5313.4323643980197</c:v>
                </c:pt>
                <c:pt idx="780">
                  <c:v>-5212.7366481265044</c:v>
                </c:pt>
                <c:pt idx="781">
                  <c:v>-5021.2331078769512</c:v>
                </c:pt>
                <c:pt idx="782">
                  <c:v>-4721.3411721738976</c:v>
                </c:pt>
                <c:pt idx="783">
                  <c:v>-4297.3879900472275</c:v>
                </c:pt>
                <c:pt idx="784">
                  <c:v>-3734.8735541170067</c:v>
                </c:pt>
                <c:pt idx="785">
                  <c:v>-3019.7255884903511</c:v>
                </c:pt>
                <c:pt idx="786">
                  <c:v>-2137.6329294034194</c:v>
                </c:pt>
                <c:pt idx="787">
                  <c:v>-1073.6638275437531</c:v>
                </c:pt>
                <c:pt idx="788">
                  <c:v>187.34615483787934</c:v>
                </c:pt>
                <c:pt idx="789">
                  <c:v>1658.5133853560899</c:v>
                </c:pt>
                <c:pt idx="790">
                  <c:v>3344.2018345231691</c:v>
                </c:pt>
                <c:pt idx="791">
                  <c:v>5223.8287191760046</c:v>
                </c:pt>
                <c:pt idx="792">
                  <c:v>7220.3519282219822</c:v>
                </c:pt>
                <c:pt idx="793">
                  <c:v>9166.8228090403409</c:v>
                </c:pt>
                <c:pt idx="794">
                  <c:v>10839.083242844175</c:v>
                </c:pt>
                <c:pt idx="795">
                  <c:v>12073.271957621269</c:v>
                </c:pt>
                <c:pt idx="796">
                  <c:v>12815.432014676933</c:v>
                </c:pt>
                <c:pt idx="797">
                  <c:v>13076.007150852525</c:v>
                </c:pt>
                <c:pt idx="798">
                  <c:v>12885.094456124549</c:v>
                </c:pt>
                <c:pt idx="799">
                  <c:v>12274.357689751358</c:v>
                </c:pt>
                <c:pt idx="800">
                  <c:v>11275.393139136637</c:v>
                </c:pt>
                <c:pt idx="801">
                  <c:v>9928.6296336968735</c:v>
                </c:pt>
                <c:pt idx="802">
                  <c:v>8304.4885411816904</c:v>
                </c:pt>
                <c:pt idx="803">
                  <c:v>6536.199553896131</c:v>
                </c:pt>
                <c:pt idx="804">
                  <c:v>4827.4247390741202</c:v>
                </c:pt>
                <c:pt idx="805">
                  <c:v>3366.8937812009763</c:v>
                </c:pt>
                <c:pt idx="806">
                  <c:v>2231.6095837794714</c:v>
                </c:pt>
                <c:pt idx="807">
                  <c:v>1404.7988864595868</c:v>
                </c:pt>
                <c:pt idx="808">
                  <c:v>833.07324296365516</c:v>
                </c:pt>
                <c:pt idx="809">
                  <c:v>457.61478999356621</c:v>
                </c:pt>
                <c:pt idx="810">
                  <c:v>224.42341224170403</c:v>
                </c:pt>
                <c:pt idx="811">
                  <c:v>86.400257784273435</c:v>
                </c:pt>
                <c:pt idx="812">
                  <c:v>3.0494935087736508</c:v>
                </c:pt>
                <c:pt idx="813">
                  <c:v>-60.33451242829193</c:v>
                </c:pt>
                <c:pt idx="814">
                  <c:v>-133.51563074172091</c:v>
                </c:pt>
                <c:pt idx="815">
                  <c:v>-242.12889998610189</c:v>
                </c:pt>
                <c:pt idx="816">
                  <c:v>-408.48090939702695</c:v>
                </c:pt>
                <c:pt idx="817">
                  <c:v>-652.36996359187128</c:v>
                </c:pt>
                <c:pt idx="818">
                  <c:v>-991.95422030544933</c:v>
                </c:pt>
                <c:pt idx="819">
                  <c:v>-1444.696176826526</c:v>
                </c:pt>
                <c:pt idx="820">
                  <c:v>-2028.4163106500794</c:v>
                </c:pt>
                <c:pt idx="821">
                  <c:v>-2762.489722894109</c:v>
                </c:pt>
                <c:pt idx="822">
                  <c:v>-3669.1990995853103</c:v>
                </c:pt>
                <c:pt idx="823">
                  <c:v>-4775.1649233650624</c:v>
                </c:pt>
                <c:pt idx="824">
                  <c:v>-6112.4555342539597</c:v>
                </c:pt>
                <c:pt idx="825">
                  <c:v>-7717.9542368359671</c:v>
                </c:pt>
                <c:pt idx="826">
                  <c:v>-9626.4277020271038</c:v>
                </c:pt>
                <c:pt idx="827">
                  <c:v>-11844.721101031371</c:v>
                </c:pt>
                <c:pt idx="828">
                  <c:v>-14287.024646293597</c:v>
                </c:pt>
                <c:pt idx="829">
                  <c:v>-16709.463563800946</c:v>
                </c:pt>
                <c:pt idx="830">
                  <c:v>-18816.986226095778</c:v>
                </c:pt>
                <c:pt idx="831">
                  <c:v>-20444.006151362195</c:v>
                </c:pt>
                <c:pt idx="832">
                  <c:v>-21544.67028852681</c:v>
                </c:pt>
                <c:pt idx="833">
                  <c:v>-22119.166837769921</c:v>
                </c:pt>
                <c:pt idx="834">
                  <c:v>-22174.841467082973</c:v>
                </c:pt>
                <c:pt idx="835">
                  <c:v>-21713.30261944505</c:v>
                </c:pt>
                <c:pt idx="836">
                  <c:v>-20729.399754678903</c:v>
                </c:pt>
                <c:pt idx="837">
                  <c:v>-19220.527553860844</c:v>
                </c:pt>
                <c:pt idx="838">
                  <c:v>-17217.175938693126</c:v>
                </c:pt>
                <c:pt idx="839">
                  <c:v>-14849.850735971177</c:v>
                </c:pt>
                <c:pt idx="840">
                  <c:v>-12392.2258902346</c:v>
                </c:pt>
                <c:pt idx="841">
                  <c:v>-10118.690037185936</c:v>
                </c:pt>
                <c:pt idx="842">
                  <c:v>-8149.5246586763515</c:v>
                </c:pt>
                <c:pt idx="843">
                  <c:v>-6491.3034026304103</c:v>
                </c:pt>
                <c:pt idx="844">
                  <c:v>-5111.2049458126885</c:v>
                </c:pt>
                <c:pt idx="845">
                  <c:v>-3970.6918846942517</c:v>
                </c:pt>
                <c:pt idx="846">
                  <c:v>-3035.3531164330948</c:v>
                </c:pt>
                <c:pt idx="847">
                  <c:v>-2276.3726556228862</c:v>
                </c:pt>
                <c:pt idx="848">
                  <c:v>-1669.5977169794442</c:v>
                </c:pt>
                <c:pt idx="849">
                  <c:v>-1194.1031712098072</c:v>
                </c:pt>
                <c:pt idx="850">
                  <c:v>-830.79302343754432</c:v>
                </c:pt>
                <c:pt idx="851">
                  <c:v>-561.15852563818567</c:v>
                </c:pt>
                <c:pt idx="852">
                  <c:v>-366.18913709846743</c:v>
                </c:pt>
                <c:pt idx="853">
                  <c:v>-225.40224884416153</c:v>
                </c:pt>
                <c:pt idx="854">
                  <c:v>-115.95477952859235</c:v>
                </c:pt>
                <c:pt idx="855">
                  <c:v>-11.801940735751486</c:v>
                </c:pt>
                <c:pt idx="856">
                  <c:v>117.13235586078548</c:v>
                </c:pt>
                <c:pt idx="857">
                  <c:v>305.81079789749595</c:v>
                </c:pt>
                <c:pt idx="858">
                  <c:v>594.97964737329244</c:v>
                </c:pt>
                <c:pt idx="859">
                  <c:v>1031.9886603609643</c:v>
                </c:pt>
                <c:pt idx="860">
                  <c:v>1670.8800545564975</c:v>
                </c:pt>
                <c:pt idx="861">
                  <c:v>2569.3308187325524</c:v>
                </c:pt>
                <c:pt idx="862">
                  <c:v>3775.2925313185597</c:v>
                </c:pt>
                <c:pt idx="863">
                  <c:v>5289.3811876150094</c:v>
                </c:pt>
                <c:pt idx="864">
                  <c:v>7007.1215874997015</c:v>
                </c:pt>
                <c:pt idx="865">
                  <c:v>8726.6841453786001</c:v>
                </c:pt>
                <c:pt idx="866">
                  <c:v>10260.87968020285</c:v>
                </c:pt>
                <c:pt idx="867">
                  <c:v>11498.240255260705</c:v>
                </c:pt>
                <c:pt idx="868">
                  <c:v>12381.400252130454</c:v>
                </c:pt>
                <c:pt idx="869">
                  <c:v>12875.735511555395</c:v>
                </c:pt>
                <c:pt idx="870">
                  <c:v>12951.724750410018</c:v>
                </c:pt>
                <c:pt idx="871">
                  <c:v>12578.590368111352</c:v>
                </c:pt>
                <c:pt idx="872">
                  <c:v>11728.718872215695</c:v>
                </c:pt>
                <c:pt idx="873">
                  <c:v>10400.873073508857</c:v>
                </c:pt>
                <c:pt idx="874">
                  <c:v>8670.5519256287407</c:v>
                </c:pt>
                <c:pt idx="875">
                  <c:v>6723.647838068292</c:v>
                </c:pt>
                <c:pt idx="876">
                  <c:v>4778.0291024080479</c:v>
                </c:pt>
                <c:pt idx="877">
                  <c:v>2974.9961153634235</c:v>
                </c:pt>
                <c:pt idx="878">
                  <c:v>1371.2876839999026</c:v>
                </c:pt>
                <c:pt idx="879">
                  <c:v>-23.097596762978185</c:v>
                </c:pt>
                <c:pt idx="880">
                  <c:v>-1217.302178183319</c:v>
                </c:pt>
                <c:pt idx="881">
                  <c:v>-2226.6061499594693</c:v>
                </c:pt>
                <c:pt idx="882">
                  <c:v>-3067.3458275763815</c:v>
                </c:pt>
                <c:pt idx="883">
                  <c:v>-3755.3587799748111</c:v>
                </c:pt>
                <c:pt idx="884">
                  <c:v>-4305.9050206395841</c:v>
                </c:pt>
                <c:pt idx="885">
                  <c:v>-4734.1779150015063</c:v>
                </c:pt>
                <c:pt idx="886">
                  <c:v>-5056.0276227779959</c:v>
                </c:pt>
                <c:pt idx="887">
                  <c:v>-5288.7392717043376</c:v>
                </c:pt>
                <c:pt idx="888">
                  <c:v>-5451.8018900507695</c:v>
                </c:pt>
                <c:pt idx="889">
                  <c:v>-5567.6432273880255</c:v>
                </c:pt>
                <c:pt idx="890">
                  <c:v>-5662.3236651825728</c:v>
                </c:pt>
                <c:pt idx="891">
                  <c:v>-5766.1979578803966</c:v>
                </c:pt>
                <c:pt idx="892">
                  <c:v>-5914.5748858533916</c:v>
                </c:pt>
                <c:pt idx="893">
                  <c:v>-6148.4236144698625</c:v>
                </c:pt>
                <c:pt idx="894">
                  <c:v>-6515.1428490462968</c:v>
                </c:pt>
                <c:pt idx="895">
                  <c:v>-7069.1700031184291</c:v>
                </c:pt>
                <c:pt idx="896">
                  <c:v>-7871.3255993883467</c:v>
                </c:pt>
                <c:pt idx="897">
                  <c:v>-8983.1975290877144</c:v>
                </c:pt>
                <c:pt idx="898">
                  <c:v>-10447.263024433014</c:v>
                </c:pt>
                <c:pt idx="899">
                  <c:v>-12240.954549429367</c:v>
                </c:pt>
                <c:pt idx="900">
                  <c:v>-14227.687493091677</c:v>
                </c:pt>
                <c:pt idx="901">
                  <c:v>-16191.720194343259</c:v>
                </c:pt>
                <c:pt idx="902">
                  <c:v>-17943.81191175001</c:v>
                </c:pt>
                <c:pt idx="903">
                  <c:v>-19365.557730285094</c:v>
                </c:pt>
                <c:pt idx="904">
                  <c:v>-20389.435202770197</c:v>
                </c:pt>
                <c:pt idx="905">
                  <c:v>-20971.313133701686</c:v>
                </c:pt>
                <c:pt idx="906">
                  <c:v>-21073.800548862371</c:v>
                </c:pt>
                <c:pt idx="907">
                  <c:v>-20659.996625840489</c:v>
                </c:pt>
                <c:pt idx="908">
                  <c:v>-19698.771012042991</c:v>
                </c:pt>
                <c:pt idx="909">
                  <c:v>-18190.491380576092</c:v>
                </c:pt>
                <c:pt idx="910">
                  <c:v>-16220.800097512516</c:v>
                </c:pt>
                <c:pt idx="911">
                  <c:v>-13994.655069711212</c:v>
                </c:pt>
                <c:pt idx="912">
                  <c:v>-11752.378407946935</c:v>
                </c:pt>
                <c:pt idx="913">
                  <c:v>-9652.6206841550102</c:v>
                </c:pt>
                <c:pt idx="914">
                  <c:v>-7761.4945444180257</c:v>
                </c:pt>
                <c:pt idx="915">
                  <c:v>-6093.6459331941978</c:v>
                </c:pt>
                <c:pt idx="916">
                  <c:v>-4643.4234398571471</c:v>
                </c:pt>
                <c:pt idx="917">
                  <c:v>-3399.806880165886</c:v>
                </c:pt>
                <c:pt idx="918">
                  <c:v>-2352.2240172875313</c:v>
                </c:pt>
                <c:pt idx="919">
                  <c:v>-1492.3058294683008</c:v>
                </c:pt>
                <c:pt idx="920">
                  <c:v>-814.02940373582533</c:v>
                </c:pt>
                <c:pt idx="921">
                  <c:v>-313.32512938789677</c:v>
                </c:pt>
                <c:pt idx="922">
                  <c:v>12.4051439681067</c:v>
                </c:pt>
                <c:pt idx="923">
                  <c:v>164.69098359103617</c:v>
                </c:pt>
                <c:pt idx="924">
                  <c:v>144.26618142228335</c:v>
                </c:pt>
                <c:pt idx="925">
                  <c:v>-48.796919126871728</c:v>
                </c:pt>
                <c:pt idx="926">
                  <c:v>-415.08980884158967</c:v>
                </c:pt>
                <c:pt idx="927">
                  <c:v>-956.00662599818338</c:v>
                </c:pt>
                <c:pt idx="928">
                  <c:v>-1674.0194696152121</c:v>
                </c:pt>
                <c:pt idx="929">
                  <c:v>-2573.0759330957253</c:v>
                </c:pt>
                <c:pt idx="930">
                  <c:v>-3659.0521905809487</c:v>
                </c:pt>
                <c:pt idx="931">
                  <c:v>-4940.0583049361876</c:v>
                </c:pt>
                <c:pt idx="932">
                  <c:v>-6426.0761804530766</c:v>
                </c:pt>
                <c:pt idx="933">
                  <c:v>-8126.7124371241216</c:v>
                </c:pt>
                <c:pt idx="934">
                  <c:v>-10044.371556295744</c:v>
                </c:pt>
                <c:pt idx="935">
                  <c:v>-12157.550468331085</c:v>
                </c:pt>
                <c:pt idx="936">
                  <c:v>-14387.957119248247</c:v>
                </c:pt>
                <c:pt idx="937">
                  <c:v>-16563.277066955514</c:v>
                </c:pt>
                <c:pt idx="938">
                  <c:v>-18443.4469302582</c:v>
                </c:pt>
                <c:pt idx="939">
                  <c:v>-19842.115737745156</c:v>
                </c:pt>
                <c:pt idx="940">
                  <c:v>-20691.353988757401</c:v>
                </c:pt>
                <c:pt idx="941">
                  <c:v>-20999.33504937655</c:v>
                </c:pt>
                <c:pt idx="942">
                  <c:v>-20800.4216410152</c:v>
                </c:pt>
                <c:pt idx="943">
                  <c:v>-20133.295157949196</c:v>
                </c:pt>
                <c:pt idx="944">
                  <c:v>-19037.748849507894</c:v>
                </c:pt>
                <c:pt idx="945">
                  <c:v>-17562.359350768118</c:v>
                </c:pt>
                <c:pt idx="946">
                  <c:v>-15782.391224681247</c:v>
                </c:pt>
                <c:pt idx="947">
                  <c:v>-13826.795585100122</c:v>
                </c:pt>
                <c:pt idx="948">
                  <c:v>-11890.875923494126</c:v>
                </c:pt>
                <c:pt idx="949">
                  <c:v>-10180.01700392607</c:v>
                </c:pt>
                <c:pt idx="950">
                  <c:v>-8809.8308175234815</c:v>
                </c:pt>
                <c:pt idx="951">
                  <c:v>-7788.1297086689292</c:v>
                </c:pt>
                <c:pt idx="952">
                  <c:v>-7066.4323775737439</c:v>
                </c:pt>
                <c:pt idx="953">
                  <c:v>-6581.4814442381003</c:v>
                </c:pt>
                <c:pt idx="954">
                  <c:v>-6272.284668705167</c:v>
                </c:pt>
                <c:pt idx="955">
                  <c:v>-6084.7225386490145</c:v>
                </c:pt>
                <c:pt idx="956">
                  <c:v>-5971.9652968851833</c:v>
                </c:pt>
                <c:pt idx="957">
                  <c:v>-5893.8529284668039</c:v>
                </c:pt>
                <c:pt idx="958">
                  <c:v>-5816.150339590331</c:v>
                </c:pt>
                <c:pt idx="959">
                  <c:v>-5709.8487840224279</c:v>
                </c:pt>
                <c:pt idx="960">
                  <c:v>-5550.4966535560588</c:v>
                </c:pt>
                <c:pt idx="961">
                  <c:v>-5317.5254172093446</c:v>
                </c:pt>
                <c:pt idx="962">
                  <c:v>-4993.5556185711612</c:v>
                </c:pt>
                <c:pt idx="963">
                  <c:v>-4563.6837568667852</c:v>
                </c:pt>
                <c:pt idx="964">
                  <c:v>-4014.7594755782616</c:v>
                </c:pt>
                <c:pt idx="965">
                  <c:v>-3334.6728529533707</c:v>
                </c:pt>
                <c:pt idx="966">
                  <c:v>-2511.6988006291463</c:v>
                </c:pt>
                <c:pt idx="967">
                  <c:v>-1534.0121312172446</c:v>
                </c:pt>
                <c:pt idx="968">
                  <c:v>-389.63325758459416</c:v>
                </c:pt>
                <c:pt idx="969">
                  <c:v>932.62334150942559</c:v>
                </c:pt>
                <c:pt idx="970">
                  <c:v>2439.9605597033806</c:v>
                </c:pt>
                <c:pt idx="971">
                  <c:v>4127.5903092608878</c:v>
                </c:pt>
                <c:pt idx="972">
                  <c:v>5961.3778336609603</c:v>
                </c:pt>
                <c:pt idx="973">
                  <c:v>7848.3442259685844</c:v>
                </c:pt>
                <c:pt idx="974">
                  <c:v>9615.4724710494102</c:v>
                </c:pt>
                <c:pt idx="975">
                  <c:v>11059.062965697551</c:v>
                </c:pt>
                <c:pt idx="976">
                  <c:v>12050.239806756721</c:v>
                </c:pt>
                <c:pt idx="977">
                  <c:v>12560.198675051215</c:v>
                </c:pt>
                <c:pt idx="978">
                  <c:v>12612.646408289551</c:v>
                </c:pt>
                <c:pt idx="979">
                  <c:v>12245.720411153818</c:v>
                </c:pt>
                <c:pt idx="980">
                  <c:v>11498.50822662521</c:v>
                </c:pt>
                <c:pt idx="981">
                  <c:v>10412.080988722775</c:v>
                </c:pt>
                <c:pt idx="982">
                  <c:v>9040.2486728885651</c:v>
                </c:pt>
                <c:pt idx="983">
                  <c:v>7470.7174675688293</c:v>
                </c:pt>
                <c:pt idx="984">
                  <c:v>5849.9870184780966</c:v>
                </c:pt>
                <c:pt idx="985">
                  <c:v>4369.6957849667315</c:v>
                </c:pt>
                <c:pt idx="986">
                  <c:v>3175.8925232950887</c:v>
                </c:pt>
                <c:pt idx="987">
                  <c:v>2304.9212035509272</c:v>
                </c:pt>
                <c:pt idx="988">
                  <c:v>1718.3077935108447</c:v>
                </c:pt>
                <c:pt idx="989">
                  <c:v>1353.675720424628</c:v>
                </c:pt>
                <c:pt idx="990">
                  <c:v>1149.1393351214738</c:v>
                </c:pt>
                <c:pt idx="991">
                  <c:v>1050.5241825589467</c:v>
                </c:pt>
                <c:pt idx="992">
                  <c:v>1012.3384006398619</c:v>
                </c:pt>
                <c:pt idx="993">
                  <c:v>997.01840100022537</c:v>
                </c:pt>
                <c:pt idx="994">
                  <c:v>973.83846067476168</c:v>
                </c:pt>
                <c:pt idx="995">
                  <c:v>917.83237605502325</c:v>
                </c:pt>
                <c:pt idx="996">
                  <c:v>808.79124090720347</c:v>
                </c:pt>
                <c:pt idx="997">
                  <c:v>630.33864856942705</c:v>
                </c:pt>
                <c:pt idx="998">
                  <c:v>369.07246153205517</c:v>
                </c:pt>
                <c:pt idx="999">
                  <c:v>13.755928977708209</c:v>
                </c:pt>
                <c:pt idx="1000">
                  <c:v>-445.46669228070368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E6-464D-8937-6ED90B2C8435}"/>
            </c:ext>
          </c:extLst>
        </c:ser>
        <c:ser>
          <c:idx val="4"/>
          <c:order val="4"/>
          <c:tx>
            <c:v>Vaisseau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Tableau!$BG$14:$BG$17</c:f>
              <c:numCache>
                <c:formatCode>General</c:formatCode>
                <c:ptCount val="4"/>
                <c:pt idx="0">
                  <c:v>2500</c:v>
                </c:pt>
                <c:pt idx="1">
                  <c:v>0</c:v>
                </c:pt>
                <c:pt idx="2">
                  <c:v>-2500</c:v>
                </c:pt>
                <c:pt idx="3">
                  <c:v>2500</c:v>
                </c:pt>
              </c:numCache>
            </c:numRef>
          </c:xVal>
          <c:yVal>
            <c:numRef>
              <c:f>Tableau!$BH$14:$BH$17</c:f>
              <c:numCache>
                <c:formatCode>General</c:formatCode>
                <c:ptCount val="4"/>
                <c:pt idx="0">
                  <c:v>-2500</c:v>
                </c:pt>
                <c:pt idx="1">
                  <c:v>2500</c:v>
                </c:pt>
                <c:pt idx="2">
                  <c:v>-2500</c:v>
                </c:pt>
                <c:pt idx="3">
                  <c:v>-2500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E6-464D-8937-6ED90B2C8435}"/>
            </c:ext>
          </c:extLst>
        </c:ser>
        <c:ser>
          <c:idx val="5"/>
          <c:order val="5"/>
          <c:tx>
            <c:v>Lune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Tableau!$AG$34:$AG$59</c:f>
              <c:numCache>
                <c:formatCode>General</c:formatCode>
                <c:ptCount val="26"/>
                <c:pt idx="0">
                  <c:v>-11500</c:v>
                </c:pt>
                <c:pt idx="1">
                  <c:v>-11531.41683887137</c:v>
                </c:pt>
                <c:pt idx="2">
                  <c:v>-11623.693319956137</c:v>
                </c:pt>
                <c:pt idx="3">
                  <c:v>-11771.031372578589</c:v>
                </c:pt>
                <c:pt idx="4">
                  <c:v>-11964.173205021003</c:v>
                </c:pt>
                <c:pt idx="5">
                  <c:v>-12190.983005625052</c:v>
                </c:pt>
                <c:pt idx="6">
                  <c:v>-12437.209480470687</c:v>
                </c:pt>
                <c:pt idx="7">
                  <c:v>-12687.381314585726</c:v>
                </c:pt>
                <c:pt idx="8">
                  <c:v>-12925.779291565073</c:v>
                </c:pt>
                <c:pt idx="9">
                  <c:v>-13137.42398974869</c:v>
                </c:pt>
                <c:pt idx="10">
                  <c:v>-13309.016994374948</c:v>
                </c:pt>
                <c:pt idx="11">
                  <c:v>-13429.776485888251</c:v>
                </c:pt>
                <c:pt idx="12">
                  <c:v>-13492.114701314478</c:v>
                </c:pt>
                <c:pt idx="13">
                  <c:v>-13492.114701314478</c:v>
                </c:pt>
                <c:pt idx="14">
                  <c:v>-13429.776485888251</c:v>
                </c:pt>
                <c:pt idx="15">
                  <c:v>-13309.016994374948</c:v>
                </c:pt>
                <c:pt idx="16">
                  <c:v>-13137.42398974869</c:v>
                </c:pt>
                <c:pt idx="17">
                  <c:v>-12925.779291565072</c:v>
                </c:pt>
                <c:pt idx="18">
                  <c:v>-12687.381314585724</c:v>
                </c:pt>
                <c:pt idx="19">
                  <c:v>-12437.209480470687</c:v>
                </c:pt>
                <c:pt idx="20">
                  <c:v>-12190.983005625052</c:v>
                </c:pt>
                <c:pt idx="21">
                  <c:v>-11964.173205021003</c:v>
                </c:pt>
                <c:pt idx="22">
                  <c:v>-11771.031372578589</c:v>
                </c:pt>
                <c:pt idx="23">
                  <c:v>-11623.693319956137</c:v>
                </c:pt>
                <c:pt idx="24">
                  <c:v>-11531.41683887137</c:v>
                </c:pt>
                <c:pt idx="25">
                  <c:v>-11500</c:v>
                </c:pt>
              </c:numCache>
            </c:numRef>
          </c:xVal>
          <c:yVal>
            <c:numRef>
              <c:f>Tableau!$AH$34:$AH$59</c:f>
              <c:numCache>
                <c:formatCode>General</c:formatCode>
                <c:ptCount val="26"/>
                <c:pt idx="0">
                  <c:v>10000</c:v>
                </c:pt>
                <c:pt idx="1">
                  <c:v>10248.689887164855</c:v>
                </c:pt>
                <c:pt idx="2">
                  <c:v>10481.753674101716</c:v>
                </c:pt>
                <c:pt idx="3">
                  <c:v>10684.547105928688</c:v>
                </c:pt>
                <c:pt idx="4">
                  <c:v>10844.327925502015</c:v>
                </c:pt>
                <c:pt idx="5">
                  <c:v>10951.056516295153</c:v>
                </c:pt>
                <c:pt idx="6">
                  <c:v>10998.026728428271</c:v>
                </c:pt>
                <c:pt idx="7">
                  <c:v>10982.287250728688</c:v>
                </c:pt>
                <c:pt idx="8">
                  <c:v>10904.82705246602</c:v>
                </c:pt>
                <c:pt idx="9">
                  <c:v>10770.513242775789</c:v>
                </c:pt>
                <c:pt idx="10">
                  <c:v>10587.785252292473</c:v>
                </c:pt>
                <c:pt idx="11">
                  <c:v>10368.124552684678</c:v>
                </c:pt>
                <c:pt idx="12">
                  <c:v>10125.333233564304</c:v>
                </c:pt>
                <c:pt idx="13">
                  <c:v>9874.6667664356955</c:v>
                </c:pt>
                <c:pt idx="14">
                  <c:v>9631.8754473153222</c:v>
                </c:pt>
                <c:pt idx="15">
                  <c:v>9412.2147477075268</c:v>
                </c:pt>
                <c:pt idx="16">
                  <c:v>9229.486757224211</c:v>
                </c:pt>
                <c:pt idx="17">
                  <c:v>9095.1729475339798</c:v>
                </c:pt>
                <c:pt idx="18">
                  <c:v>9017.7127492713116</c:v>
                </c:pt>
                <c:pt idx="19">
                  <c:v>9001.9732715717291</c:v>
                </c:pt>
                <c:pt idx="20">
                  <c:v>9048.9434837048466</c:v>
                </c:pt>
                <c:pt idx="21">
                  <c:v>9155.6720744979848</c:v>
                </c:pt>
                <c:pt idx="22">
                  <c:v>9315.4528940713117</c:v>
                </c:pt>
                <c:pt idx="23">
                  <c:v>9518.2463258982843</c:v>
                </c:pt>
                <c:pt idx="24">
                  <c:v>9751.3101128351464</c:v>
                </c:pt>
                <c:pt idx="25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6-464D-8937-6ED90B2C8435}"/>
            </c:ext>
          </c:extLst>
        </c:ser>
        <c:ser>
          <c:idx val="6"/>
          <c:order val="6"/>
          <c:tx>
            <c:v>Chemin Lune</c:v>
          </c:tx>
          <c:spPr>
            <a:ln w="19050" cap="rnd">
              <a:solidFill>
                <a:srgbClr val="00FF00">
                  <a:alpha val="4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Tableau!$AG$62:$AG$1062</c:f>
              <c:numCache>
                <c:formatCode>General</c:formatCode>
                <c:ptCount val="1001"/>
                <c:pt idx="0">
                  <c:v>-12500</c:v>
                </c:pt>
                <c:pt idx="1">
                  <c:v>-12514.799536787963</c:v>
                </c:pt>
                <c:pt idx="2">
                  <c:v>-12559.139740141416</c:v>
                </c:pt>
                <c:pt idx="3">
                  <c:v>-12632.845619534834</c:v>
                </c:pt>
                <c:pt idx="4">
                  <c:v>-12735.626291535267</c:v>
                </c:pt>
                <c:pt idx="5">
                  <c:v>-12867.076127786349</c:v>
                </c:pt>
                <c:pt idx="6">
                  <c:v>-13026.676355838115</c:v>
                </c:pt>
                <c:pt idx="7">
                  <c:v>-13213.797106504855</c:v>
                </c:pt>
                <c:pt idx="8">
                  <c:v>-13427.699899671024</c:v>
                </c:pt>
                <c:pt idx="9">
                  <c:v>-13667.540558734887</c:v>
                </c:pt>
                <c:pt idx="10">
                  <c:v>-13932.372542187895</c:v>
                </c:pt>
                <c:pt idx="11">
                  <c:v>-14221.150679181581</c:v>
                </c:pt>
                <c:pt idx="12">
                  <c:v>-14532.735294339414</c:v>
                </c:pt>
                <c:pt idx="13">
                  <c:v>-14865.896705534837</c:v>
                </c:pt>
                <c:pt idx="14">
                  <c:v>-15219.320076884827</c:v>
                </c:pt>
                <c:pt idx="15">
                  <c:v>-15591.610607806451</c:v>
                </c:pt>
                <c:pt idx="16">
                  <c:v>-15981.299037657525</c:v>
                </c:pt>
                <c:pt idx="17">
                  <c:v>-16386.847444237137</c:v>
                </c:pt>
                <c:pt idx="18">
                  <c:v>-16806.655313261956</c:v>
                </c:pt>
                <c:pt idx="19">
                  <c:v>-17239.065854864915</c:v>
                </c:pt>
                <c:pt idx="20">
                  <c:v>-17682.372542187895</c:v>
                </c:pt>
                <c:pt idx="21">
                  <c:v>-18134.825846263589</c:v>
                </c:pt>
                <c:pt idx="22">
                  <c:v>-18594.640140607065</c:v>
                </c:pt>
                <c:pt idx="23">
                  <c:v>-19060.000748267717</c:v>
                </c:pt>
                <c:pt idx="24">
                  <c:v>-19529.07110353015</c:v>
                </c:pt>
                <c:pt idx="25">
                  <c:v>-20000</c:v>
                </c:pt>
                <c:pt idx="26">
                  <c:v>-20470.92889646985</c:v>
                </c:pt>
                <c:pt idx="27">
                  <c:v>-20939.999251732283</c:v>
                </c:pt>
                <c:pt idx="28">
                  <c:v>-21405.359859392935</c:v>
                </c:pt>
                <c:pt idx="29">
                  <c:v>-21865.174153736411</c:v>
                </c:pt>
                <c:pt idx="30">
                  <c:v>-22317.627457812108</c:v>
                </c:pt>
                <c:pt idx="31">
                  <c:v>-22760.934145135085</c:v>
                </c:pt>
                <c:pt idx="32">
                  <c:v>-23193.344686738044</c:v>
                </c:pt>
                <c:pt idx="33">
                  <c:v>-23613.152555762867</c:v>
                </c:pt>
                <c:pt idx="34">
                  <c:v>-24018.700962342475</c:v>
                </c:pt>
                <c:pt idx="35">
                  <c:v>-24408.389392193549</c:v>
                </c:pt>
                <c:pt idx="36">
                  <c:v>-24780.679923115174</c:v>
                </c:pt>
                <c:pt idx="37">
                  <c:v>-25134.103294465167</c:v>
                </c:pt>
                <c:pt idx="38">
                  <c:v>-25467.264705660586</c:v>
                </c:pt>
                <c:pt idx="39">
                  <c:v>-25778.849320818419</c:v>
                </c:pt>
                <c:pt idx="40">
                  <c:v>-26067.627457812105</c:v>
                </c:pt>
                <c:pt idx="41">
                  <c:v>-26332.459441265113</c:v>
                </c:pt>
                <c:pt idx="42">
                  <c:v>-26572.300100328976</c:v>
                </c:pt>
                <c:pt idx="43">
                  <c:v>-26786.202893495145</c:v>
                </c:pt>
                <c:pt idx="44">
                  <c:v>-26973.323644161886</c:v>
                </c:pt>
                <c:pt idx="45">
                  <c:v>-27132.923872213651</c:v>
                </c:pt>
                <c:pt idx="46">
                  <c:v>-27264.373708464733</c:v>
                </c:pt>
                <c:pt idx="47">
                  <c:v>-27367.154380465166</c:v>
                </c:pt>
                <c:pt idx="48">
                  <c:v>-27440.860259858586</c:v>
                </c:pt>
                <c:pt idx="49">
                  <c:v>-27485.200463212037</c:v>
                </c:pt>
                <c:pt idx="50">
                  <c:v>-27500</c:v>
                </c:pt>
                <c:pt idx="51">
                  <c:v>-27485.200463212037</c:v>
                </c:pt>
                <c:pt idx="52">
                  <c:v>-27440.860259858586</c:v>
                </c:pt>
                <c:pt idx="53">
                  <c:v>-27367.154380465166</c:v>
                </c:pt>
                <c:pt idx="54">
                  <c:v>-27264.373708464733</c:v>
                </c:pt>
                <c:pt idx="55">
                  <c:v>-27132.923872213651</c:v>
                </c:pt>
                <c:pt idx="56">
                  <c:v>-26973.323644161886</c:v>
                </c:pt>
                <c:pt idx="57">
                  <c:v>-26786.202893495145</c:v>
                </c:pt>
                <c:pt idx="58">
                  <c:v>-26572.300100328976</c:v>
                </c:pt>
                <c:pt idx="59">
                  <c:v>-26332.459441265113</c:v>
                </c:pt>
                <c:pt idx="60">
                  <c:v>-26067.627457812105</c:v>
                </c:pt>
                <c:pt idx="61">
                  <c:v>-25778.849320818419</c:v>
                </c:pt>
                <c:pt idx="62">
                  <c:v>-25467.264705660586</c:v>
                </c:pt>
                <c:pt idx="63">
                  <c:v>-25134.103294465163</c:v>
                </c:pt>
                <c:pt idx="64">
                  <c:v>-24780.679923115171</c:v>
                </c:pt>
                <c:pt idx="65">
                  <c:v>-24408.389392193549</c:v>
                </c:pt>
                <c:pt idx="66">
                  <c:v>-24018.700962342471</c:v>
                </c:pt>
                <c:pt idx="67">
                  <c:v>-23613.152555762863</c:v>
                </c:pt>
                <c:pt idx="68">
                  <c:v>-23193.344686738041</c:v>
                </c:pt>
                <c:pt idx="69">
                  <c:v>-22760.934145135085</c:v>
                </c:pt>
                <c:pt idx="70">
                  <c:v>-22317.627457812108</c:v>
                </c:pt>
                <c:pt idx="71">
                  <c:v>-21865.174153736407</c:v>
                </c:pt>
                <c:pt idx="72">
                  <c:v>-21405.359859392935</c:v>
                </c:pt>
                <c:pt idx="73">
                  <c:v>-20939.999251732279</c:v>
                </c:pt>
                <c:pt idx="74">
                  <c:v>-20470.92889646985</c:v>
                </c:pt>
                <c:pt idx="75">
                  <c:v>-20000</c:v>
                </c:pt>
                <c:pt idx="76">
                  <c:v>-19529.071103530147</c:v>
                </c:pt>
                <c:pt idx="77">
                  <c:v>-19060.000748267717</c:v>
                </c:pt>
                <c:pt idx="78">
                  <c:v>-18594.640140607062</c:v>
                </c:pt>
                <c:pt idx="79">
                  <c:v>-18134.825846263589</c:v>
                </c:pt>
                <c:pt idx="80">
                  <c:v>-17682.372542187895</c:v>
                </c:pt>
                <c:pt idx="81">
                  <c:v>-17239.065854864912</c:v>
                </c:pt>
                <c:pt idx="82">
                  <c:v>-16806.655313261956</c:v>
                </c:pt>
                <c:pt idx="83">
                  <c:v>-16386.847444237133</c:v>
                </c:pt>
                <c:pt idx="84">
                  <c:v>-15981.299037657525</c:v>
                </c:pt>
                <c:pt idx="85">
                  <c:v>-15591.610607806448</c:v>
                </c:pt>
                <c:pt idx="86">
                  <c:v>-15219.320076884826</c:v>
                </c:pt>
                <c:pt idx="87">
                  <c:v>-14865.896705534837</c:v>
                </c:pt>
                <c:pt idx="88">
                  <c:v>-14532.735294339411</c:v>
                </c:pt>
                <c:pt idx="89">
                  <c:v>-14221.150679181581</c:v>
                </c:pt>
                <c:pt idx="90">
                  <c:v>-13932.372542187892</c:v>
                </c:pt>
                <c:pt idx="91">
                  <c:v>-13667.540558734885</c:v>
                </c:pt>
                <c:pt idx="92">
                  <c:v>-13427.699899671024</c:v>
                </c:pt>
                <c:pt idx="93">
                  <c:v>-13213.797106504851</c:v>
                </c:pt>
                <c:pt idx="94">
                  <c:v>-13026.676355838114</c:v>
                </c:pt>
                <c:pt idx="95">
                  <c:v>-12867.076127786346</c:v>
                </c:pt>
                <c:pt idx="96">
                  <c:v>-12735.626291535267</c:v>
                </c:pt>
                <c:pt idx="97">
                  <c:v>-12632.845619534834</c:v>
                </c:pt>
                <c:pt idx="98">
                  <c:v>-12559.139740141416</c:v>
                </c:pt>
                <c:pt idx="99">
                  <c:v>-12514.799536787963</c:v>
                </c:pt>
                <c:pt idx="100">
                  <c:v>-12500</c:v>
                </c:pt>
                <c:pt idx="101">
                  <c:v>-12514.799536787963</c:v>
                </c:pt>
                <c:pt idx="102">
                  <c:v>-12559.139740141416</c:v>
                </c:pt>
                <c:pt idx="103">
                  <c:v>-12632.845619534834</c:v>
                </c:pt>
                <c:pt idx="104">
                  <c:v>-12735.626291535267</c:v>
                </c:pt>
                <c:pt idx="105">
                  <c:v>-12867.076127786349</c:v>
                </c:pt>
                <c:pt idx="106">
                  <c:v>-13026.676355838115</c:v>
                </c:pt>
                <c:pt idx="107">
                  <c:v>-13213.797106504855</c:v>
                </c:pt>
                <c:pt idx="108">
                  <c:v>-13427.699899671024</c:v>
                </c:pt>
                <c:pt idx="109">
                  <c:v>-13667.540558734887</c:v>
                </c:pt>
                <c:pt idx="110">
                  <c:v>-13932.372542187895</c:v>
                </c:pt>
                <c:pt idx="111">
                  <c:v>-14221.150679181581</c:v>
                </c:pt>
                <c:pt idx="112">
                  <c:v>-14532.735294339414</c:v>
                </c:pt>
                <c:pt idx="113">
                  <c:v>-14865.896705534837</c:v>
                </c:pt>
                <c:pt idx="114">
                  <c:v>-15219.320076884827</c:v>
                </c:pt>
                <c:pt idx="115">
                  <c:v>-15591.610607806451</c:v>
                </c:pt>
                <c:pt idx="116">
                  <c:v>-15981.299037657525</c:v>
                </c:pt>
                <c:pt idx="117">
                  <c:v>-16386.847444237137</c:v>
                </c:pt>
                <c:pt idx="118">
                  <c:v>-16806.655313261956</c:v>
                </c:pt>
                <c:pt idx="119">
                  <c:v>-17239.065854864915</c:v>
                </c:pt>
                <c:pt idx="120">
                  <c:v>-17682.372542187895</c:v>
                </c:pt>
                <c:pt idx="121">
                  <c:v>-18134.825846263589</c:v>
                </c:pt>
                <c:pt idx="122">
                  <c:v>-18594.640140607065</c:v>
                </c:pt>
                <c:pt idx="123">
                  <c:v>-19060.000748267717</c:v>
                </c:pt>
                <c:pt idx="124">
                  <c:v>-19529.07110353015</c:v>
                </c:pt>
                <c:pt idx="125">
                  <c:v>-20000</c:v>
                </c:pt>
                <c:pt idx="126">
                  <c:v>-20470.92889646985</c:v>
                </c:pt>
                <c:pt idx="127">
                  <c:v>-20939.999251732283</c:v>
                </c:pt>
                <c:pt idx="128">
                  <c:v>-21405.359859392935</c:v>
                </c:pt>
                <c:pt idx="129">
                  <c:v>-21865.174153736411</c:v>
                </c:pt>
                <c:pt idx="130">
                  <c:v>-22317.627457812108</c:v>
                </c:pt>
                <c:pt idx="131">
                  <c:v>-22760.934145135085</c:v>
                </c:pt>
                <c:pt idx="132">
                  <c:v>-23193.344686738044</c:v>
                </c:pt>
                <c:pt idx="133">
                  <c:v>-23613.152555762867</c:v>
                </c:pt>
                <c:pt idx="134">
                  <c:v>-24018.700962342475</c:v>
                </c:pt>
                <c:pt idx="135">
                  <c:v>-24408.389392193549</c:v>
                </c:pt>
                <c:pt idx="136">
                  <c:v>-24780.679923115174</c:v>
                </c:pt>
                <c:pt idx="137">
                  <c:v>-25134.103294465167</c:v>
                </c:pt>
                <c:pt idx="138">
                  <c:v>-25467.264705660586</c:v>
                </c:pt>
                <c:pt idx="139">
                  <c:v>-25778.849320818419</c:v>
                </c:pt>
                <c:pt idx="140">
                  <c:v>-26067.627457812105</c:v>
                </c:pt>
                <c:pt idx="141">
                  <c:v>-26332.459441265113</c:v>
                </c:pt>
                <c:pt idx="142">
                  <c:v>-26572.300100328976</c:v>
                </c:pt>
                <c:pt idx="143">
                  <c:v>-26786.202893495145</c:v>
                </c:pt>
                <c:pt idx="144">
                  <c:v>-26973.323644161886</c:v>
                </c:pt>
                <c:pt idx="145">
                  <c:v>-27132.923872213651</c:v>
                </c:pt>
                <c:pt idx="146">
                  <c:v>-27264.373708464733</c:v>
                </c:pt>
                <c:pt idx="147">
                  <c:v>-27367.154380465166</c:v>
                </c:pt>
                <c:pt idx="148">
                  <c:v>-27440.860259858586</c:v>
                </c:pt>
                <c:pt idx="149">
                  <c:v>-27485.200463212037</c:v>
                </c:pt>
                <c:pt idx="150">
                  <c:v>-27500</c:v>
                </c:pt>
                <c:pt idx="151">
                  <c:v>-27485.200463212037</c:v>
                </c:pt>
                <c:pt idx="152">
                  <c:v>-27440.860259858586</c:v>
                </c:pt>
                <c:pt idx="153">
                  <c:v>-27367.154380465166</c:v>
                </c:pt>
                <c:pt idx="154">
                  <c:v>-27264.373708464733</c:v>
                </c:pt>
                <c:pt idx="155">
                  <c:v>-27132.923872213651</c:v>
                </c:pt>
                <c:pt idx="156">
                  <c:v>-26973.323644161886</c:v>
                </c:pt>
                <c:pt idx="157">
                  <c:v>-26786.202893495145</c:v>
                </c:pt>
                <c:pt idx="158">
                  <c:v>-26572.300100328976</c:v>
                </c:pt>
                <c:pt idx="159">
                  <c:v>-26332.459441265113</c:v>
                </c:pt>
                <c:pt idx="160">
                  <c:v>-26067.627457812105</c:v>
                </c:pt>
                <c:pt idx="161">
                  <c:v>-25778.849320818419</c:v>
                </c:pt>
                <c:pt idx="162">
                  <c:v>-25467.264705660586</c:v>
                </c:pt>
                <c:pt idx="163">
                  <c:v>-25134.103294465163</c:v>
                </c:pt>
                <c:pt idx="164">
                  <c:v>-24780.679923115171</c:v>
                </c:pt>
                <c:pt idx="165">
                  <c:v>-24408.389392193549</c:v>
                </c:pt>
                <c:pt idx="166">
                  <c:v>-24018.700962342471</c:v>
                </c:pt>
                <c:pt idx="167">
                  <c:v>-23613.152555762863</c:v>
                </c:pt>
                <c:pt idx="168">
                  <c:v>-23193.344686738041</c:v>
                </c:pt>
                <c:pt idx="169">
                  <c:v>-22760.934145135085</c:v>
                </c:pt>
                <c:pt idx="170">
                  <c:v>-22317.627457812108</c:v>
                </c:pt>
                <c:pt idx="171">
                  <c:v>-21865.174153736407</c:v>
                </c:pt>
                <c:pt idx="172">
                  <c:v>-21405.359859392935</c:v>
                </c:pt>
                <c:pt idx="173">
                  <c:v>-20939.999251732279</c:v>
                </c:pt>
                <c:pt idx="174">
                  <c:v>-20470.92889646985</c:v>
                </c:pt>
                <c:pt idx="175">
                  <c:v>-20000</c:v>
                </c:pt>
                <c:pt idx="176">
                  <c:v>-19529.071103530147</c:v>
                </c:pt>
                <c:pt idx="177">
                  <c:v>-19060.000748267717</c:v>
                </c:pt>
                <c:pt idx="178">
                  <c:v>-18594.640140607062</c:v>
                </c:pt>
                <c:pt idx="179">
                  <c:v>-18134.825846263589</c:v>
                </c:pt>
                <c:pt idx="180">
                  <c:v>-17682.372542187895</c:v>
                </c:pt>
                <c:pt idx="181">
                  <c:v>-17239.065854864912</c:v>
                </c:pt>
                <c:pt idx="182">
                  <c:v>-16806.655313261956</c:v>
                </c:pt>
                <c:pt idx="183">
                  <c:v>-16386.847444237133</c:v>
                </c:pt>
                <c:pt idx="184">
                  <c:v>-15981.299037657525</c:v>
                </c:pt>
                <c:pt idx="185">
                  <c:v>-15591.610607806448</c:v>
                </c:pt>
                <c:pt idx="186">
                  <c:v>-15219.320076884826</c:v>
                </c:pt>
                <c:pt idx="187">
                  <c:v>-14865.896705534837</c:v>
                </c:pt>
                <c:pt idx="188">
                  <c:v>-14532.735294339411</c:v>
                </c:pt>
                <c:pt idx="189">
                  <c:v>-14221.150679181581</c:v>
                </c:pt>
                <c:pt idx="190">
                  <c:v>-13932.372542187892</c:v>
                </c:pt>
                <c:pt idx="191">
                  <c:v>-13667.540558734885</c:v>
                </c:pt>
                <c:pt idx="192">
                  <c:v>-13427.699899671024</c:v>
                </c:pt>
                <c:pt idx="193">
                  <c:v>-13213.797106504851</c:v>
                </c:pt>
                <c:pt idx="194">
                  <c:v>-13026.676355838114</c:v>
                </c:pt>
                <c:pt idx="195">
                  <c:v>-12867.076127786346</c:v>
                </c:pt>
                <c:pt idx="196">
                  <c:v>-12735.626291535267</c:v>
                </c:pt>
                <c:pt idx="197">
                  <c:v>-12632.845619534834</c:v>
                </c:pt>
                <c:pt idx="198">
                  <c:v>-12559.139740141416</c:v>
                </c:pt>
                <c:pt idx="199">
                  <c:v>-12514.799536787963</c:v>
                </c:pt>
                <c:pt idx="200">
                  <c:v>-12500</c:v>
                </c:pt>
                <c:pt idx="201">
                  <c:v>-12514.799536787963</c:v>
                </c:pt>
                <c:pt idx="202">
                  <c:v>-12559.139740141416</c:v>
                </c:pt>
                <c:pt idx="203">
                  <c:v>-12632.845619534834</c:v>
                </c:pt>
                <c:pt idx="204">
                  <c:v>-12735.626291535267</c:v>
                </c:pt>
                <c:pt idx="205">
                  <c:v>-12867.076127786349</c:v>
                </c:pt>
                <c:pt idx="206">
                  <c:v>-13026.676355838115</c:v>
                </c:pt>
                <c:pt idx="207">
                  <c:v>-13213.797106504855</c:v>
                </c:pt>
                <c:pt idx="208">
                  <c:v>-13427.699899671024</c:v>
                </c:pt>
                <c:pt idx="209">
                  <c:v>-13667.540558734887</c:v>
                </c:pt>
                <c:pt idx="210">
                  <c:v>-13932.372542187895</c:v>
                </c:pt>
                <c:pt idx="211">
                  <c:v>-14221.150679181581</c:v>
                </c:pt>
                <c:pt idx="212">
                  <c:v>-14532.735294339414</c:v>
                </c:pt>
                <c:pt idx="213">
                  <c:v>-14865.896705534837</c:v>
                </c:pt>
                <c:pt idx="214">
                  <c:v>-15219.320076884827</c:v>
                </c:pt>
                <c:pt idx="215">
                  <c:v>-15591.610607806451</c:v>
                </c:pt>
                <c:pt idx="216">
                  <c:v>-15981.299037657525</c:v>
                </c:pt>
                <c:pt idx="217">
                  <c:v>-16386.847444237137</c:v>
                </c:pt>
                <c:pt idx="218">
                  <c:v>-16806.655313261956</c:v>
                </c:pt>
                <c:pt idx="219">
                  <c:v>-17239.065854864915</c:v>
                </c:pt>
                <c:pt idx="220">
                  <c:v>-17682.372542187895</c:v>
                </c:pt>
                <c:pt idx="221">
                  <c:v>-18134.825846263589</c:v>
                </c:pt>
                <c:pt idx="222">
                  <c:v>-18594.640140607065</c:v>
                </c:pt>
                <c:pt idx="223">
                  <c:v>-19060.000748267717</c:v>
                </c:pt>
                <c:pt idx="224">
                  <c:v>-19529.07110353015</c:v>
                </c:pt>
                <c:pt idx="225">
                  <c:v>-20000</c:v>
                </c:pt>
                <c:pt idx="226">
                  <c:v>-20470.92889646985</c:v>
                </c:pt>
                <c:pt idx="227">
                  <c:v>-20939.999251732283</c:v>
                </c:pt>
                <c:pt idx="228">
                  <c:v>-21405.359859392935</c:v>
                </c:pt>
                <c:pt idx="229">
                  <c:v>-21865.174153736411</c:v>
                </c:pt>
                <c:pt idx="230">
                  <c:v>-22317.627457812108</c:v>
                </c:pt>
                <c:pt idx="231">
                  <c:v>-22760.934145135085</c:v>
                </c:pt>
                <c:pt idx="232">
                  <c:v>-23193.344686738044</c:v>
                </c:pt>
                <c:pt idx="233">
                  <c:v>-23613.152555762867</c:v>
                </c:pt>
                <c:pt idx="234">
                  <c:v>-24018.700962342475</c:v>
                </c:pt>
                <c:pt idx="235">
                  <c:v>-24408.389392193549</c:v>
                </c:pt>
                <c:pt idx="236">
                  <c:v>-24780.679923115174</c:v>
                </c:pt>
                <c:pt idx="237">
                  <c:v>-25134.103294465167</c:v>
                </c:pt>
                <c:pt idx="238">
                  <c:v>-25467.264705660586</c:v>
                </c:pt>
                <c:pt idx="239">
                  <c:v>-25778.849320818419</c:v>
                </c:pt>
                <c:pt idx="240">
                  <c:v>-26067.627457812105</c:v>
                </c:pt>
                <c:pt idx="241">
                  <c:v>-26332.459441265113</c:v>
                </c:pt>
                <c:pt idx="242">
                  <c:v>-26572.300100328976</c:v>
                </c:pt>
                <c:pt idx="243">
                  <c:v>-26786.202893495145</c:v>
                </c:pt>
                <c:pt idx="244">
                  <c:v>-26973.323644161886</c:v>
                </c:pt>
                <c:pt idx="245">
                  <c:v>-27132.923872213651</c:v>
                </c:pt>
                <c:pt idx="246">
                  <c:v>-27264.373708464733</c:v>
                </c:pt>
                <c:pt idx="247">
                  <c:v>-27367.154380465166</c:v>
                </c:pt>
                <c:pt idx="248">
                  <c:v>-27440.860259858586</c:v>
                </c:pt>
                <c:pt idx="249">
                  <c:v>-27485.200463212037</c:v>
                </c:pt>
                <c:pt idx="250">
                  <c:v>-27500</c:v>
                </c:pt>
                <c:pt idx="251">
                  <c:v>-27485.200463212037</c:v>
                </c:pt>
                <c:pt idx="252">
                  <c:v>-27440.860259858586</c:v>
                </c:pt>
                <c:pt idx="253">
                  <c:v>-27367.154380465166</c:v>
                </c:pt>
                <c:pt idx="254">
                  <c:v>-27264.373708464733</c:v>
                </c:pt>
                <c:pt idx="255">
                  <c:v>-27132.923872213651</c:v>
                </c:pt>
                <c:pt idx="256">
                  <c:v>-26973.323644161886</c:v>
                </c:pt>
                <c:pt idx="257">
                  <c:v>-26786.202893495145</c:v>
                </c:pt>
                <c:pt idx="258">
                  <c:v>-26572.300100328976</c:v>
                </c:pt>
                <c:pt idx="259">
                  <c:v>-26332.459441265113</c:v>
                </c:pt>
                <c:pt idx="260">
                  <c:v>-26067.627457812105</c:v>
                </c:pt>
                <c:pt idx="261">
                  <c:v>-25778.849320818419</c:v>
                </c:pt>
                <c:pt idx="262">
                  <c:v>-25467.264705660586</c:v>
                </c:pt>
                <c:pt idx="263">
                  <c:v>-25134.103294465163</c:v>
                </c:pt>
                <c:pt idx="264">
                  <c:v>-24780.679923115171</c:v>
                </c:pt>
                <c:pt idx="265">
                  <c:v>-24408.389392193549</c:v>
                </c:pt>
                <c:pt idx="266">
                  <c:v>-24018.700962342471</c:v>
                </c:pt>
                <c:pt idx="267">
                  <c:v>-23613.152555762863</c:v>
                </c:pt>
                <c:pt idx="268">
                  <c:v>-23193.344686738041</c:v>
                </c:pt>
                <c:pt idx="269">
                  <c:v>-22760.934145135085</c:v>
                </c:pt>
                <c:pt idx="270">
                  <c:v>-22317.627457812108</c:v>
                </c:pt>
                <c:pt idx="271">
                  <c:v>-21865.174153736407</c:v>
                </c:pt>
                <c:pt idx="272">
                  <c:v>-21405.359859392935</c:v>
                </c:pt>
                <c:pt idx="273">
                  <c:v>-20939.999251732279</c:v>
                </c:pt>
                <c:pt idx="274">
                  <c:v>-20470.92889646985</c:v>
                </c:pt>
                <c:pt idx="275">
                  <c:v>-20000</c:v>
                </c:pt>
                <c:pt idx="276">
                  <c:v>-19529.071103530147</c:v>
                </c:pt>
                <c:pt idx="277">
                  <c:v>-19060.000748267717</c:v>
                </c:pt>
                <c:pt idx="278">
                  <c:v>-18594.640140607062</c:v>
                </c:pt>
                <c:pt idx="279">
                  <c:v>-18134.825846263589</c:v>
                </c:pt>
                <c:pt idx="280">
                  <c:v>-17682.372542187895</c:v>
                </c:pt>
                <c:pt idx="281">
                  <c:v>-17239.065854864912</c:v>
                </c:pt>
                <c:pt idx="282">
                  <c:v>-16806.655313261956</c:v>
                </c:pt>
                <c:pt idx="283">
                  <c:v>-16386.847444237133</c:v>
                </c:pt>
                <c:pt idx="284">
                  <c:v>-15981.299037657525</c:v>
                </c:pt>
                <c:pt idx="285">
                  <c:v>-15591.610607806448</c:v>
                </c:pt>
                <c:pt idx="286">
                  <c:v>-15219.320076884826</c:v>
                </c:pt>
                <c:pt idx="287">
                  <c:v>-14865.896705534837</c:v>
                </c:pt>
                <c:pt idx="288">
                  <c:v>-14532.735294339411</c:v>
                </c:pt>
                <c:pt idx="289">
                  <c:v>-14221.150679181581</c:v>
                </c:pt>
                <c:pt idx="290">
                  <c:v>-13932.372542187892</c:v>
                </c:pt>
                <c:pt idx="291">
                  <c:v>-13667.540558734885</c:v>
                </c:pt>
                <c:pt idx="292">
                  <c:v>-13427.699899671024</c:v>
                </c:pt>
                <c:pt idx="293">
                  <c:v>-13213.797106504851</c:v>
                </c:pt>
                <c:pt idx="294">
                  <c:v>-13026.676355838114</c:v>
                </c:pt>
                <c:pt idx="295">
                  <c:v>-12867.076127786346</c:v>
                </c:pt>
                <c:pt idx="296">
                  <c:v>-12735.626291535267</c:v>
                </c:pt>
                <c:pt idx="297">
                  <c:v>-12632.845619534834</c:v>
                </c:pt>
                <c:pt idx="298">
                  <c:v>-12559.139740141416</c:v>
                </c:pt>
                <c:pt idx="299">
                  <c:v>-12514.799536787963</c:v>
                </c:pt>
                <c:pt idx="300">
                  <c:v>-12500</c:v>
                </c:pt>
                <c:pt idx="301">
                  <c:v>-12514.799536787963</c:v>
                </c:pt>
                <c:pt idx="302">
                  <c:v>-12559.139740141416</c:v>
                </c:pt>
                <c:pt idx="303">
                  <c:v>-12632.845619534834</c:v>
                </c:pt>
                <c:pt idx="304">
                  <c:v>-12735.626291535267</c:v>
                </c:pt>
                <c:pt idx="305">
                  <c:v>-12867.076127786349</c:v>
                </c:pt>
                <c:pt idx="306">
                  <c:v>-13026.676355838115</c:v>
                </c:pt>
                <c:pt idx="307">
                  <c:v>-13213.797106504855</c:v>
                </c:pt>
                <c:pt idx="308">
                  <c:v>-13427.699899671024</c:v>
                </c:pt>
                <c:pt idx="309">
                  <c:v>-13667.540558734887</c:v>
                </c:pt>
                <c:pt idx="310">
                  <c:v>-13932.372542187895</c:v>
                </c:pt>
                <c:pt idx="311">
                  <c:v>-14221.150679181581</c:v>
                </c:pt>
                <c:pt idx="312">
                  <c:v>-14532.735294339414</c:v>
                </c:pt>
                <c:pt idx="313">
                  <c:v>-14865.896705534837</c:v>
                </c:pt>
                <c:pt idx="314">
                  <c:v>-15219.320076884827</c:v>
                </c:pt>
                <c:pt idx="315">
                  <c:v>-15591.610607806451</c:v>
                </c:pt>
                <c:pt idx="316">
                  <c:v>-15981.299037657525</c:v>
                </c:pt>
                <c:pt idx="317">
                  <c:v>-16386.847444237137</c:v>
                </c:pt>
                <c:pt idx="318">
                  <c:v>-16806.655313261956</c:v>
                </c:pt>
                <c:pt idx="319">
                  <c:v>-17239.065854864915</c:v>
                </c:pt>
                <c:pt idx="320">
                  <c:v>-17682.372542187895</c:v>
                </c:pt>
                <c:pt idx="321">
                  <c:v>-18134.825846263589</c:v>
                </c:pt>
                <c:pt idx="322">
                  <c:v>-18594.640140607065</c:v>
                </c:pt>
                <c:pt idx="323">
                  <c:v>-19060.000748267717</c:v>
                </c:pt>
                <c:pt idx="324">
                  <c:v>-19529.07110353015</c:v>
                </c:pt>
                <c:pt idx="325">
                  <c:v>-20000</c:v>
                </c:pt>
                <c:pt idx="326">
                  <c:v>-20470.92889646985</c:v>
                </c:pt>
                <c:pt idx="327">
                  <c:v>-20939.999251732283</c:v>
                </c:pt>
                <c:pt idx="328">
                  <c:v>-21405.359859392935</c:v>
                </c:pt>
                <c:pt idx="329">
                  <c:v>-21865.174153736411</c:v>
                </c:pt>
                <c:pt idx="330">
                  <c:v>-22317.627457812108</c:v>
                </c:pt>
                <c:pt idx="331">
                  <c:v>-22760.934145135085</c:v>
                </c:pt>
                <c:pt idx="332">
                  <c:v>-23193.344686738044</c:v>
                </c:pt>
                <c:pt idx="333">
                  <c:v>-23613.152555762867</c:v>
                </c:pt>
                <c:pt idx="334">
                  <c:v>-24018.700962342475</c:v>
                </c:pt>
                <c:pt idx="335">
                  <c:v>-24408.389392193549</c:v>
                </c:pt>
                <c:pt idx="336">
                  <c:v>-24780.679923115174</c:v>
                </c:pt>
                <c:pt idx="337">
                  <c:v>-25134.103294465167</c:v>
                </c:pt>
                <c:pt idx="338">
                  <c:v>-25467.264705660586</c:v>
                </c:pt>
                <c:pt idx="339">
                  <c:v>-25778.849320818419</c:v>
                </c:pt>
                <c:pt idx="340">
                  <c:v>-26067.627457812105</c:v>
                </c:pt>
                <c:pt idx="341">
                  <c:v>-26332.459441265113</c:v>
                </c:pt>
                <c:pt idx="342">
                  <c:v>-26572.300100328976</c:v>
                </c:pt>
                <c:pt idx="343">
                  <c:v>-26786.202893495145</c:v>
                </c:pt>
                <c:pt idx="344">
                  <c:v>-26973.323644161886</c:v>
                </c:pt>
                <c:pt idx="345">
                  <c:v>-27132.923872213651</c:v>
                </c:pt>
                <c:pt idx="346">
                  <c:v>-27264.373708464733</c:v>
                </c:pt>
                <c:pt idx="347">
                  <c:v>-27367.154380465166</c:v>
                </c:pt>
                <c:pt idx="348">
                  <c:v>-27440.860259858586</c:v>
                </c:pt>
                <c:pt idx="349">
                  <c:v>-27485.200463212037</c:v>
                </c:pt>
                <c:pt idx="350">
                  <c:v>-27500</c:v>
                </c:pt>
                <c:pt idx="351">
                  <c:v>-27485.200463212037</c:v>
                </c:pt>
                <c:pt idx="352">
                  <c:v>-27440.860259858586</c:v>
                </c:pt>
                <c:pt idx="353">
                  <c:v>-27367.154380465166</c:v>
                </c:pt>
                <c:pt idx="354">
                  <c:v>-27264.373708464733</c:v>
                </c:pt>
                <c:pt idx="355">
                  <c:v>-27132.923872213651</c:v>
                </c:pt>
                <c:pt idx="356">
                  <c:v>-26973.323644161886</c:v>
                </c:pt>
                <c:pt idx="357">
                  <c:v>-26786.202893495145</c:v>
                </c:pt>
                <c:pt idx="358">
                  <c:v>-26572.300100328976</c:v>
                </c:pt>
                <c:pt idx="359">
                  <c:v>-26332.459441265113</c:v>
                </c:pt>
                <c:pt idx="360">
                  <c:v>-26067.627457812105</c:v>
                </c:pt>
                <c:pt idx="361">
                  <c:v>-25778.849320818419</c:v>
                </c:pt>
                <c:pt idx="362">
                  <c:v>-25467.264705660586</c:v>
                </c:pt>
                <c:pt idx="363">
                  <c:v>-25134.103294465163</c:v>
                </c:pt>
                <c:pt idx="364">
                  <c:v>-24780.679923115171</c:v>
                </c:pt>
                <c:pt idx="365">
                  <c:v>-24408.389392193549</c:v>
                </c:pt>
                <c:pt idx="366">
                  <c:v>-24018.700962342471</c:v>
                </c:pt>
                <c:pt idx="367">
                  <c:v>-23613.152555762863</c:v>
                </c:pt>
                <c:pt idx="368">
                  <c:v>-23193.344686738041</c:v>
                </c:pt>
                <c:pt idx="369">
                  <c:v>-22760.934145135085</c:v>
                </c:pt>
                <c:pt idx="370">
                  <c:v>-22317.627457812108</c:v>
                </c:pt>
                <c:pt idx="371">
                  <c:v>-21865.174153736407</c:v>
                </c:pt>
                <c:pt idx="372">
                  <c:v>-21405.359859392935</c:v>
                </c:pt>
                <c:pt idx="373">
                  <c:v>-20939.999251732279</c:v>
                </c:pt>
                <c:pt idx="374">
                  <c:v>-20470.92889646985</c:v>
                </c:pt>
                <c:pt idx="375">
                  <c:v>-20000</c:v>
                </c:pt>
                <c:pt idx="376">
                  <c:v>-19529.071103530147</c:v>
                </c:pt>
                <c:pt idx="377">
                  <c:v>-19060.000748267717</c:v>
                </c:pt>
                <c:pt idx="378">
                  <c:v>-18594.640140607062</c:v>
                </c:pt>
                <c:pt idx="379">
                  <c:v>-18134.825846263589</c:v>
                </c:pt>
                <c:pt idx="380">
                  <c:v>-17682.372542187895</c:v>
                </c:pt>
                <c:pt idx="381">
                  <c:v>-17239.065854864912</c:v>
                </c:pt>
                <c:pt idx="382">
                  <c:v>-16806.655313261956</c:v>
                </c:pt>
                <c:pt idx="383">
                  <c:v>-16386.847444237133</c:v>
                </c:pt>
                <c:pt idx="384">
                  <c:v>-15981.299037657525</c:v>
                </c:pt>
                <c:pt idx="385">
                  <c:v>-15591.610607806448</c:v>
                </c:pt>
                <c:pt idx="386">
                  <c:v>-15219.320076884826</c:v>
                </c:pt>
                <c:pt idx="387">
                  <c:v>-14865.896705534837</c:v>
                </c:pt>
                <c:pt idx="388">
                  <c:v>-14532.735294339411</c:v>
                </c:pt>
                <c:pt idx="389">
                  <c:v>-14221.150679181581</c:v>
                </c:pt>
                <c:pt idx="390">
                  <c:v>-13932.372542187892</c:v>
                </c:pt>
                <c:pt idx="391">
                  <c:v>-13667.540558734885</c:v>
                </c:pt>
                <c:pt idx="392">
                  <c:v>-13427.699899671024</c:v>
                </c:pt>
                <c:pt idx="393">
                  <c:v>-13213.797106504851</c:v>
                </c:pt>
                <c:pt idx="394">
                  <c:v>-13026.676355838114</c:v>
                </c:pt>
                <c:pt idx="395">
                  <c:v>-12867.076127786346</c:v>
                </c:pt>
                <c:pt idx="396">
                  <c:v>-12735.626291535267</c:v>
                </c:pt>
                <c:pt idx="397">
                  <c:v>-12632.845619534834</c:v>
                </c:pt>
                <c:pt idx="398">
                  <c:v>-12559.139740141416</c:v>
                </c:pt>
                <c:pt idx="399">
                  <c:v>-12514.799536787963</c:v>
                </c:pt>
                <c:pt idx="400">
                  <c:v>-12500</c:v>
                </c:pt>
                <c:pt idx="401">
                  <c:v>-12514.799536787963</c:v>
                </c:pt>
                <c:pt idx="402">
                  <c:v>-12559.139740141416</c:v>
                </c:pt>
                <c:pt idx="403">
                  <c:v>-12632.845619534834</c:v>
                </c:pt>
                <c:pt idx="404">
                  <c:v>-12735.626291535267</c:v>
                </c:pt>
                <c:pt idx="405">
                  <c:v>-12867.076127786349</c:v>
                </c:pt>
                <c:pt idx="406">
                  <c:v>-13026.676355838115</c:v>
                </c:pt>
                <c:pt idx="407">
                  <c:v>-13213.797106504855</c:v>
                </c:pt>
                <c:pt idx="408">
                  <c:v>-13427.699899671024</c:v>
                </c:pt>
                <c:pt idx="409">
                  <c:v>-13667.540558734887</c:v>
                </c:pt>
                <c:pt idx="410">
                  <c:v>-13932.372542187895</c:v>
                </c:pt>
                <c:pt idx="411">
                  <c:v>-14221.150679181581</c:v>
                </c:pt>
                <c:pt idx="412">
                  <c:v>-14532.735294339414</c:v>
                </c:pt>
                <c:pt idx="413">
                  <c:v>-14865.896705534837</c:v>
                </c:pt>
                <c:pt idx="414">
                  <c:v>-15219.320076884827</c:v>
                </c:pt>
                <c:pt idx="415">
                  <c:v>-15591.610607806451</c:v>
                </c:pt>
                <c:pt idx="416">
                  <c:v>-15981.299037657525</c:v>
                </c:pt>
                <c:pt idx="417">
                  <c:v>-16386.847444237137</c:v>
                </c:pt>
                <c:pt idx="418">
                  <c:v>-16806.655313261956</c:v>
                </c:pt>
                <c:pt idx="419">
                  <c:v>-17239.065854864915</c:v>
                </c:pt>
                <c:pt idx="420">
                  <c:v>-17682.372542187895</c:v>
                </c:pt>
                <c:pt idx="421">
                  <c:v>-18134.825846263589</c:v>
                </c:pt>
                <c:pt idx="422">
                  <c:v>-18594.640140607065</c:v>
                </c:pt>
                <c:pt idx="423">
                  <c:v>-19060.000748267717</c:v>
                </c:pt>
                <c:pt idx="424">
                  <c:v>-19529.07110353015</c:v>
                </c:pt>
                <c:pt idx="425">
                  <c:v>-20000</c:v>
                </c:pt>
                <c:pt idx="426">
                  <c:v>-20470.92889646985</c:v>
                </c:pt>
                <c:pt idx="427">
                  <c:v>-20939.999251732283</c:v>
                </c:pt>
                <c:pt idx="428">
                  <c:v>-21405.359859392935</c:v>
                </c:pt>
                <c:pt idx="429">
                  <c:v>-21865.174153736411</c:v>
                </c:pt>
                <c:pt idx="430">
                  <c:v>-22317.627457812108</c:v>
                </c:pt>
                <c:pt idx="431">
                  <c:v>-22760.934145135085</c:v>
                </c:pt>
                <c:pt idx="432">
                  <c:v>-23193.344686738044</c:v>
                </c:pt>
                <c:pt idx="433">
                  <c:v>-23613.152555762867</c:v>
                </c:pt>
                <c:pt idx="434">
                  <c:v>-24018.700962342475</c:v>
                </c:pt>
                <c:pt idx="435">
                  <c:v>-24408.389392193549</c:v>
                </c:pt>
                <c:pt idx="436">
                  <c:v>-24780.679923115174</c:v>
                </c:pt>
                <c:pt idx="437">
                  <c:v>-25134.103294465167</c:v>
                </c:pt>
                <c:pt idx="438">
                  <c:v>-25467.264705660586</c:v>
                </c:pt>
                <c:pt idx="439">
                  <c:v>-25778.849320818419</c:v>
                </c:pt>
                <c:pt idx="440">
                  <c:v>-26067.627457812105</c:v>
                </c:pt>
                <c:pt idx="441">
                  <c:v>-26332.459441265113</c:v>
                </c:pt>
                <c:pt idx="442">
                  <c:v>-26572.300100328976</c:v>
                </c:pt>
                <c:pt idx="443">
                  <c:v>-26786.202893495145</c:v>
                </c:pt>
                <c:pt idx="444">
                  <c:v>-26973.323644161886</c:v>
                </c:pt>
                <c:pt idx="445">
                  <c:v>-27132.923872213651</c:v>
                </c:pt>
                <c:pt idx="446">
                  <c:v>-27264.373708464733</c:v>
                </c:pt>
                <c:pt idx="447">
                  <c:v>-27367.154380465166</c:v>
                </c:pt>
                <c:pt idx="448">
                  <c:v>-27440.860259858586</c:v>
                </c:pt>
                <c:pt idx="449">
                  <c:v>-27485.200463212037</c:v>
                </c:pt>
                <c:pt idx="450">
                  <c:v>-27500</c:v>
                </c:pt>
                <c:pt idx="451">
                  <c:v>-27485.200463212037</c:v>
                </c:pt>
                <c:pt idx="452">
                  <c:v>-27440.860259858586</c:v>
                </c:pt>
                <c:pt idx="453">
                  <c:v>-27367.154380465166</c:v>
                </c:pt>
                <c:pt idx="454">
                  <c:v>-27264.373708464733</c:v>
                </c:pt>
                <c:pt idx="455">
                  <c:v>-27132.923872213651</c:v>
                </c:pt>
                <c:pt idx="456">
                  <c:v>-26973.323644161886</c:v>
                </c:pt>
                <c:pt idx="457">
                  <c:v>-26786.202893495145</c:v>
                </c:pt>
                <c:pt idx="458">
                  <c:v>-26572.300100328976</c:v>
                </c:pt>
                <c:pt idx="459">
                  <c:v>-26332.459441265113</c:v>
                </c:pt>
                <c:pt idx="460">
                  <c:v>-26067.627457812105</c:v>
                </c:pt>
                <c:pt idx="461">
                  <c:v>-25778.849320818419</c:v>
                </c:pt>
                <c:pt idx="462">
                  <c:v>-25467.264705660586</c:v>
                </c:pt>
                <c:pt idx="463">
                  <c:v>-25134.103294465163</c:v>
                </c:pt>
                <c:pt idx="464">
                  <c:v>-24780.679923115171</c:v>
                </c:pt>
                <c:pt idx="465">
                  <c:v>-24408.389392193549</c:v>
                </c:pt>
                <c:pt idx="466">
                  <c:v>-24018.700962342471</c:v>
                </c:pt>
                <c:pt idx="467">
                  <c:v>-23613.152555762863</c:v>
                </c:pt>
                <c:pt idx="468">
                  <c:v>-23193.344686738041</c:v>
                </c:pt>
                <c:pt idx="469">
                  <c:v>-22760.934145135085</c:v>
                </c:pt>
                <c:pt idx="470">
                  <c:v>-22317.627457812108</c:v>
                </c:pt>
                <c:pt idx="471">
                  <c:v>-21865.174153736407</c:v>
                </c:pt>
                <c:pt idx="472">
                  <c:v>-21405.359859392935</c:v>
                </c:pt>
                <c:pt idx="473">
                  <c:v>-20939.999251732279</c:v>
                </c:pt>
                <c:pt idx="474">
                  <c:v>-20470.92889646985</c:v>
                </c:pt>
                <c:pt idx="475">
                  <c:v>-20000</c:v>
                </c:pt>
                <c:pt idx="476">
                  <c:v>-19529.071103530147</c:v>
                </c:pt>
                <c:pt idx="477">
                  <c:v>-19060.000748267717</c:v>
                </c:pt>
                <c:pt idx="478">
                  <c:v>-18594.640140607062</c:v>
                </c:pt>
                <c:pt idx="479">
                  <c:v>-18134.825846263589</c:v>
                </c:pt>
                <c:pt idx="480">
                  <c:v>-17682.372542187895</c:v>
                </c:pt>
                <c:pt idx="481">
                  <c:v>-17239.065854864912</c:v>
                </c:pt>
                <c:pt idx="482">
                  <c:v>-16806.655313261956</c:v>
                </c:pt>
                <c:pt idx="483">
                  <c:v>-16386.847444237133</c:v>
                </c:pt>
                <c:pt idx="484">
                  <c:v>-15981.299037657525</c:v>
                </c:pt>
                <c:pt idx="485">
                  <c:v>-15591.610607806448</c:v>
                </c:pt>
                <c:pt idx="486">
                  <c:v>-15219.320076884826</c:v>
                </c:pt>
                <c:pt idx="487">
                  <c:v>-14865.896705534837</c:v>
                </c:pt>
                <c:pt idx="488">
                  <c:v>-14532.735294339411</c:v>
                </c:pt>
                <c:pt idx="489">
                  <c:v>-14221.150679181581</c:v>
                </c:pt>
                <c:pt idx="490">
                  <c:v>-13932.372542187892</c:v>
                </c:pt>
                <c:pt idx="491">
                  <c:v>-13667.540558734885</c:v>
                </c:pt>
                <c:pt idx="492">
                  <c:v>-13427.699899671024</c:v>
                </c:pt>
                <c:pt idx="493">
                  <c:v>-13213.797106504851</c:v>
                </c:pt>
                <c:pt idx="494">
                  <c:v>-13026.676355838114</c:v>
                </c:pt>
                <c:pt idx="495">
                  <c:v>-12867.076127786346</c:v>
                </c:pt>
                <c:pt idx="496">
                  <c:v>-12735.626291535267</c:v>
                </c:pt>
                <c:pt idx="497">
                  <c:v>-12632.845619534834</c:v>
                </c:pt>
                <c:pt idx="498">
                  <c:v>-12559.139740141416</c:v>
                </c:pt>
                <c:pt idx="499">
                  <c:v>-12514.799536787963</c:v>
                </c:pt>
                <c:pt idx="500">
                  <c:v>-12500</c:v>
                </c:pt>
                <c:pt idx="501">
                  <c:v>-12514.799536787963</c:v>
                </c:pt>
                <c:pt idx="502">
                  <c:v>-12559.139740141416</c:v>
                </c:pt>
                <c:pt idx="503">
                  <c:v>-12632.845619534834</c:v>
                </c:pt>
                <c:pt idx="504">
                  <c:v>-12735.626291535267</c:v>
                </c:pt>
                <c:pt idx="505">
                  <c:v>-12867.076127786349</c:v>
                </c:pt>
                <c:pt idx="506">
                  <c:v>-13026.676355838115</c:v>
                </c:pt>
                <c:pt idx="507">
                  <c:v>-13213.797106504855</c:v>
                </c:pt>
                <c:pt idx="508">
                  <c:v>-13427.699899671024</c:v>
                </c:pt>
                <c:pt idx="509">
                  <c:v>-13667.540558734887</c:v>
                </c:pt>
                <c:pt idx="510">
                  <c:v>-13932.372542187895</c:v>
                </c:pt>
                <c:pt idx="511">
                  <c:v>-14221.150679181581</c:v>
                </c:pt>
                <c:pt idx="512">
                  <c:v>-14532.735294339414</c:v>
                </c:pt>
                <c:pt idx="513">
                  <c:v>-14865.896705534837</c:v>
                </c:pt>
                <c:pt idx="514">
                  <c:v>-15219.320076884827</c:v>
                </c:pt>
                <c:pt idx="515">
                  <c:v>-15591.610607806451</c:v>
                </c:pt>
                <c:pt idx="516">
                  <c:v>-15981.299037657525</c:v>
                </c:pt>
                <c:pt idx="517">
                  <c:v>-16386.847444237137</c:v>
                </c:pt>
                <c:pt idx="518">
                  <c:v>-16806.655313261956</c:v>
                </c:pt>
                <c:pt idx="519">
                  <c:v>-17239.065854864915</c:v>
                </c:pt>
                <c:pt idx="520">
                  <c:v>-17682.372542187895</c:v>
                </c:pt>
                <c:pt idx="521">
                  <c:v>-18134.825846263589</c:v>
                </c:pt>
                <c:pt idx="522">
                  <c:v>-18594.640140607065</c:v>
                </c:pt>
                <c:pt idx="523">
                  <c:v>-19060.000748267717</c:v>
                </c:pt>
                <c:pt idx="524">
                  <c:v>-19529.07110353015</c:v>
                </c:pt>
                <c:pt idx="525">
                  <c:v>-20000</c:v>
                </c:pt>
                <c:pt idx="526">
                  <c:v>-20470.92889646985</c:v>
                </c:pt>
                <c:pt idx="527">
                  <c:v>-20939.999251732283</c:v>
                </c:pt>
                <c:pt idx="528">
                  <c:v>-21405.359859392935</c:v>
                </c:pt>
                <c:pt idx="529">
                  <c:v>-21865.174153736411</c:v>
                </c:pt>
                <c:pt idx="530">
                  <c:v>-22317.627457812108</c:v>
                </c:pt>
                <c:pt idx="531">
                  <c:v>-22760.934145135085</c:v>
                </c:pt>
                <c:pt idx="532">
                  <c:v>-23193.344686738044</c:v>
                </c:pt>
                <c:pt idx="533">
                  <c:v>-23613.152555762867</c:v>
                </c:pt>
                <c:pt idx="534">
                  <c:v>-24018.700962342475</c:v>
                </c:pt>
                <c:pt idx="535">
                  <c:v>-24408.389392193549</c:v>
                </c:pt>
                <c:pt idx="536">
                  <c:v>-24780.679923115174</c:v>
                </c:pt>
                <c:pt idx="537">
                  <c:v>-25134.103294465167</c:v>
                </c:pt>
                <c:pt idx="538">
                  <c:v>-25467.264705660586</c:v>
                </c:pt>
                <c:pt idx="539">
                  <c:v>-25778.849320818419</c:v>
                </c:pt>
                <c:pt idx="540">
                  <c:v>-26067.627457812105</c:v>
                </c:pt>
                <c:pt idx="541">
                  <c:v>-26332.459441265113</c:v>
                </c:pt>
                <c:pt idx="542">
                  <c:v>-26572.300100328976</c:v>
                </c:pt>
                <c:pt idx="543">
                  <c:v>-26786.202893495145</c:v>
                </c:pt>
                <c:pt idx="544">
                  <c:v>-26973.323644161886</c:v>
                </c:pt>
                <c:pt idx="545">
                  <c:v>-27132.923872213651</c:v>
                </c:pt>
                <c:pt idx="546">
                  <c:v>-27264.373708464733</c:v>
                </c:pt>
                <c:pt idx="547">
                  <c:v>-27367.154380465166</c:v>
                </c:pt>
                <c:pt idx="548">
                  <c:v>-27440.860259858586</c:v>
                </c:pt>
                <c:pt idx="549">
                  <c:v>-27485.200463212037</c:v>
                </c:pt>
                <c:pt idx="550">
                  <c:v>-27500</c:v>
                </c:pt>
                <c:pt idx="551">
                  <c:v>-27485.200463212037</c:v>
                </c:pt>
                <c:pt idx="552">
                  <c:v>-27440.860259858586</c:v>
                </c:pt>
                <c:pt idx="553">
                  <c:v>-27367.154380465166</c:v>
                </c:pt>
                <c:pt idx="554">
                  <c:v>-27264.373708464733</c:v>
                </c:pt>
                <c:pt idx="555">
                  <c:v>-27132.923872213651</c:v>
                </c:pt>
                <c:pt idx="556">
                  <c:v>-26973.323644161886</c:v>
                </c:pt>
                <c:pt idx="557">
                  <c:v>-26786.202893495145</c:v>
                </c:pt>
                <c:pt idx="558">
                  <c:v>-26572.300100328976</c:v>
                </c:pt>
                <c:pt idx="559">
                  <c:v>-26332.459441265113</c:v>
                </c:pt>
                <c:pt idx="560">
                  <c:v>-26067.627457812105</c:v>
                </c:pt>
                <c:pt idx="561">
                  <c:v>-25778.849320818419</c:v>
                </c:pt>
                <c:pt idx="562">
                  <c:v>-25467.264705660586</c:v>
                </c:pt>
                <c:pt idx="563">
                  <c:v>-25134.103294465163</c:v>
                </c:pt>
                <c:pt idx="564">
                  <c:v>-24780.679923115171</c:v>
                </c:pt>
                <c:pt idx="565">
                  <c:v>-24408.389392193549</c:v>
                </c:pt>
                <c:pt idx="566">
                  <c:v>-24018.700962342471</c:v>
                </c:pt>
                <c:pt idx="567">
                  <c:v>-23613.152555762863</c:v>
                </c:pt>
                <c:pt idx="568">
                  <c:v>-23193.344686738041</c:v>
                </c:pt>
                <c:pt idx="569">
                  <c:v>-22760.934145135085</c:v>
                </c:pt>
                <c:pt idx="570">
                  <c:v>-22317.627457812108</c:v>
                </c:pt>
                <c:pt idx="571">
                  <c:v>-21865.174153736407</c:v>
                </c:pt>
                <c:pt idx="572">
                  <c:v>-21405.359859392935</c:v>
                </c:pt>
                <c:pt idx="573">
                  <c:v>-20939.999251732279</c:v>
                </c:pt>
                <c:pt idx="574">
                  <c:v>-20470.92889646985</c:v>
                </c:pt>
                <c:pt idx="575">
                  <c:v>-20000</c:v>
                </c:pt>
                <c:pt idx="576">
                  <c:v>-19529.071103530147</c:v>
                </c:pt>
                <c:pt idx="577">
                  <c:v>-19060.000748267717</c:v>
                </c:pt>
                <c:pt idx="578">
                  <c:v>-18594.640140607062</c:v>
                </c:pt>
                <c:pt idx="579">
                  <c:v>-18134.825846263589</c:v>
                </c:pt>
                <c:pt idx="580">
                  <c:v>-17682.372542187895</c:v>
                </c:pt>
                <c:pt idx="581">
                  <c:v>-17239.065854864912</c:v>
                </c:pt>
                <c:pt idx="582">
                  <c:v>-16806.655313261956</c:v>
                </c:pt>
                <c:pt idx="583">
                  <c:v>-16386.847444237133</c:v>
                </c:pt>
                <c:pt idx="584">
                  <c:v>-15981.299037657525</c:v>
                </c:pt>
                <c:pt idx="585">
                  <c:v>-15591.610607806448</c:v>
                </c:pt>
                <c:pt idx="586">
                  <c:v>-15219.320076884826</c:v>
                </c:pt>
                <c:pt idx="587">
                  <c:v>-14865.896705534837</c:v>
                </c:pt>
                <c:pt idx="588">
                  <c:v>-14532.735294339411</c:v>
                </c:pt>
                <c:pt idx="589">
                  <c:v>-14221.150679181581</c:v>
                </c:pt>
                <c:pt idx="590">
                  <c:v>-13932.372542187892</c:v>
                </c:pt>
                <c:pt idx="591">
                  <c:v>-13667.540558734885</c:v>
                </c:pt>
                <c:pt idx="592">
                  <c:v>-13427.699899671024</c:v>
                </c:pt>
                <c:pt idx="593">
                  <c:v>-13213.797106504851</c:v>
                </c:pt>
                <c:pt idx="594">
                  <c:v>-13026.676355838114</c:v>
                </c:pt>
                <c:pt idx="595">
                  <c:v>-12867.076127786346</c:v>
                </c:pt>
                <c:pt idx="596">
                  <c:v>-12735.626291535267</c:v>
                </c:pt>
                <c:pt idx="597">
                  <c:v>-12632.845619534834</c:v>
                </c:pt>
                <c:pt idx="598">
                  <c:v>-12559.139740141416</c:v>
                </c:pt>
                <c:pt idx="599">
                  <c:v>-12514.799536787963</c:v>
                </c:pt>
                <c:pt idx="600">
                  <c:v>-12500</c:v>
                </c:pt>
                <c:pt idx="601">
                  <c:v>-12514.799536787963</c:v>
                </c:pt>
                <c:pt idx="602">
                  <c:v>-12559.139740141416</c:v>
                </c:pt>
                <c:pt idx="603">
                  <c:v>-12632.845619534834</c:v>
                </c:pt>
                <c:pt idx="604">
                  <c:v>-12735.626291535267</c:v>
                </c:pt>
                <c:pt idx="605">
                  <c:v>-12867.076127786349</c:v>
                </c:pt>
                <c:pt idx="606">
                  <c:v>-13026.676355838115</c:v>
                </c:pt>
                <c:pt idx="607">
                  <c:v>-13213.797106504855</c:v>
                </c:pt>
                <c:pt idx="608">
                  <c:v>-13427.699899671024</c:v>
                </c:pt>
                <c:pt idx="609">
                  <c:v>-13667.540558734887</c:v>
                </c:pt>
                <c:pt idx="610">
                  <c:v>-13932.372542187895</c:v>
                </c:pt>
                <c:pt idx="611">
                  <c:v>-14221.150679181581</c:v>
                </c:pt>
                <c:pt idx="612">
                  <c:v>-14532.735294339414</c:v>
                </c:pt>
                <c:pt idx="613">
                  <c:v>-14865.896705534837</c:v>
                </c:pt>
                <c:pt idx="614">
                  <c:v>-15219.320076884827</c:v>
                </c:pt>
                <c:pt idx="615">
                  <c:v>-15591.610607806451</c:v>
                </c:pt>
                <c:pt idx="616">
                  <c:v>-15981.299037657525</c:v>
                </c:pt>
                <c:pt idx="617">
                  <c:v>-16386.847444237137</c:v>
                </c:pt>
                <c:pt idx="618">
                  <c:v>-16806.655313261956</c:v>
                </c:pt>
                <c:pt idx="619">
                  <c:v>-17239.065854864915</c:v>
                </c:pt>
                <c:pt idx="620">
                  <c:v>-17682.372542187895</c:v>
                </c:pt>
                <c:pt idx="621">
                  <c:v>-18134.825846263589</c:v>
                </c:pt>
                <c:pt idx="622">
                  <c:v>-18594.640140607065</c:v>
                </c:pt>
                <c:pt idx="623">
                  <c:v>-19060.000748267717</c:v>
                </c:pt>
                <c:pt idx="624">
                  <c:v>-19529.07110353015</c:v>
                </c:pt>
                <c:pt idx="625">
                  <c:v>-20000</c:v>
                </c:pt>
                <c:pt idx="626">
                  <c:v>-20470.92889646985</c:v>
                </c:pt>
                <c:pt idx="627">
                  <c:v>-20939.999251732283</c:v>
                </c:pt>
                <c:pt idx="628">
                  <c:v>-21405.359859392935</c:v>
                </c:pt>
                <c:pt idx="629">
                  <c:v>-21865.174153736411</c:v>
                </c:pt>
                <c:pt idx="630">
                  <c:v>-22317.627457812108</c:v>
                </c:pt>
                <c:pt idx="631">
                  <c:v>-22760.934145135085</c:v>
                </c:pt>
                <c:pt idx="632">
                  <c:v>-23193.344686738044</c:v>
                </c:pt>
                <c:pt idx="633">
                  <c:v>-23613.152555762867</c:v>
                </c:pt>
                <c:pt idx="634">
                  <c:v>-24018.700962342475</c:v>
                </c:pt>
                <c:pt idx="635">
                  <c:v>-24408.389392193549</c:v>
                </c:pt>
                <c:pt idx="636">
                  <c:v>-24780.679923115174</c:v>
                </c:pt>
                <c:pt idx="637">
                  <c:v>-25134.103294465167</c:v>
                </c:pt>
                <c:pt idx="638">
                  <c:v>-25467.264705660586</c:v>
                </c:pt>
                <c:pt idx="639">
                  <c:v>-25778.849320818419</c:v>
                </c:pt>
                <c:pt idx="640">
                  <c:v>-26067.627457812105</c:v>
                </c:pt>
                <c:pt idx="641">
                  <c:v>-26332.459441265113</c:v>
                </c:pt>
                <c:pt idx="642">
                  <c:v>-26572.300100328976</c:v>
                </c:pt>
                <c:pt idx="643">
                  <c:v>-26786.202893495145</c:v>
                </c:pt>
                <c:pt idx="644">
                  <c:v>-26973.323644161886</c:v>
                </c:pt>
                <c:pt idx="645">
                  <c:v>-27132.923872213651</c:v>
                </c:pt>
                <c:pt idx="646">
                  <c:v>-27264.373708464733</c:v>
                </c:pt>
                <c:pt idx="647">
                  <c:v>-27367.154380465166</c:v>
                </c:pt>
                <c:pt idx="648">
                  <c:v>-27440.860259858586</c:v>
                </c:pt>
                <c:pt idx="649">
                  <c:v>-27485.200463212037</c:v>
                </c:pt>
                <c:pt idx="650">
                  <c:v>-27500</c:v>
                </c:pt>
                <c:pt idx="651">
                  <c:v>-27485.200463212037</c:v>
                </c:pt>
                <c:pt idx="652">
                  <c:v>-27440.860259858586</c:v>
                </c:pt>
                <c:pt idx="653">
                  <c:v>-27367.154380465166</c:v>
                </c:pt>
                <c:pt idx="654">
                  <c:v>-27264.373708464733</c:v>
                </c:pt>
                <c:pt idx="655">
                  <c:v>-27132.923872213651</c:v>
                </c:pt>
                <c:pt idx="656">
                  <c:v>-26973.323644161886</c:v>
                </c:pt>
                <c:pt idx="657">
                  <c:v>-26786.202893495145</c:v>
                </c:pt>
                <c:pt idx="658">
                  <c:v>-26572.300100328976</c:v>
                </c:pt>
                <c:pt idx="659">
                  <c:v>-26332.459441265113</c:v>
                </c:pt>
                <c:pt idx="660">
                  <c:v>-26067.627457812105</c:v>
                </c:pt>
                <c:pt idx="661">
                  <c:v>-25778.849320818419</c:v>
                </c:pt>
                <c:pt idx="662">
                  <c:v>-25467.264705660586</c:v>
                </c:pt>
                <c:pt idx="663">
                  <c:v>-25134.103294465163</c:v>
                </c:pt>
                <c:pt idx="664">
                  <c:v>-24780.679923115171</c:v>
                </c:pt>
                <c:pt idx="665">
                  <c:v>-24408.389392193549</c:v>
                </c:pt>
                <c:pt idx="666">
                  <c:v>-24018.700962342471</c:v>
                </c:pt>
                <c:pt idx="667">
                  <c:v>-23613.152555762863</c:v>
                </c:pt>
                <c:pt idx="668">
                  <c:v>-23193.344686738041</c:v>
                </c:pt>
                <c:pt idx="669">
                  <c:v>-22760.934145135085</c:v>
                </c:pt>
                <c:pt idx="670">
                  <c:v>-22317.627457812108</c:v>
                </c:pt>
                <c:pt idx="671">
                  <c:v>-21865.174153736407</c:v>
                </c:pt>
                <c:pt idx="672">
                  <c:v>-21405.359859392935</c:v>
                </c:pt>
                <c:pt idx="673">
                  <c:v>-20939.999251732279</c:v>
                </c:pt>
                <c:pt idx="674">
                  <c:v>-20470.92889646985</c:v>
                </c:pt>
                <c:pt idx="675">
                  <c:v>-20000</c:v>
                </c:pt>
                <c:pt idx="676">
                  <c:v>-19529.071103530147</c:v>
                </c:pt>
                <c:pt idx="677">
                  <c:v>-19060.000748267717</c:v>
                </c:pt>
                <c:pt idx="678">
                  <c:v>-18594.640140607062</c:v>
                </c:pt>
                <c:pt idx="679">
                  <c:v>-18134.825846263589</c:v>
                </c:pt>
                <c:pt idx="680">
                  <c:v>-17682.372542187895</c:v>
                </c:pt>
                <c:pt idx="681">
                  <c:v>-17239.065854864912</c:v>
                </c:pt>
                <c:pt idx="682">
                  <c:v>-16806.655313261956</c:v>
                </c:pt>
                <c:pt idx="683">
                  <c:v>-16386.847444237133</c:v>
                </c:pt>
                <c:pt idx="684">
                  <c:v>-15981.299037657525</c:v>
                </c:pt>
                <c:pt idx="685">
                  <c:v>-15591.610607806448</c:v>
                </c:pt>
                <c:pt idx="686">
                  <c:v>-15219.320076884826</c:v>
                </c:pt>
                <c:pt idx="687">
                  <c:v>-14865.896705534837</c:v>
                </c:pt>
                <c:pt idx="688">
                  <c:v>-14532.735294339411</c:v>
                </c:pt>
                <c:pt idx="689">
                  <c:v>-14221.150679181581</c:v>
                </c:pt>
                <c:pt idx="690">
                  <c:v>-13932.372542187892</c:v>
                </c:pt>
                <c:pt idx="691">
                  <c:v>-13667.540558734885</c:v>
                </c:pt>
                <c:pt idx="692">
                  <c:v>-13427.699899671024</c:v>
                </c:pt>
                <c:pt idx="693">
                  <c:v>-13213.797106504851</c:v>
                </c:pt>
                <c:pt idx="694">
                  <c:v>-13026.676355838114</c:v>
                </c:pt>
                <c:pt idx="695">
                  <c:v>-12867.076127786346</c:v>
                </c:pt>
                <c:pt idx="696">
                  <c:v>-12735.626291535267</c:v>
                </c:pt>
                <c:pt idx="697">
                  <c:v>-12632.845619534834</c:v>
                </c:pt>
                <c:pt idx="698">
                  <c:v>-12559.139740141416</c:v>
                </c:pt>
                <c:pt idx="699">
                  <c:v>-12514.799536787963</c:v>
                </c:pt>
                <c:pt idx="700">
                  <c:v>-12500</c:v>
                </c:pt>
                <c:pt idx="701">
                  <c:v>-12514.799536787963</c:v>
                </c:pt>
                <c:pt idx="702">
                  <c:v>-12559.139740141416</c:v>
                </c:pt>
                <c:pt idx="703">
                  <c:v>-12632.845619534834</c:v>
                </c:pt>
                <c:pt idx="704">
                  <c:v>-12735.626291535267</c:v>
                </c:pt>
                <c:pt idx="705">
                  <c:v>-12867.076127786349</c:v>
                </c:pt>
                <c:pt idx="706">
                  <c:v>-13026.676355838115</c:v>
                </c:pt>
                <c:pt idx="707">
                  <c:v>-13213.797106504855</c:v>
                </c:pt>
                <c:pt idx="708">
                  <c:v>-13427.699899671024</c:v>
                </c:pt>
                <c:pt idx="709">
                  <c:v>-13667.540558734887</c:v>
                </c:pt>
                <c:pt idx="710">
                  <c:v>-13932.372542187895</c:v>
                </c:pt>
                <c:pt idx="711">
                  <c:v>-14221.150679181581</c:v>
                </c:pt>
                <c:pt idx="712">
                  <c:v>-14532.735294339414</c:v>
                </c:pt>
                <c:pt idx="713">
                  <c:v>-14865.896705534837</c:v>
                </c:pt>
                <c:pt idx="714">
                  <c:v>-15219.320076884827</c:v>
                </c:pt>
                <c:pt idx="715">
                  <c:v>-15591.610607806451</c:v>
                </c:pt>
                <c:pt idx="716">
                  <c:v>-15981.299037657525</c:v>
                </c:pt>
                <c:pt idx="717">
                  <c:v>-16386.847444237137</c:v>
                </c:pt>
                <c:pt idx="718">
                  <c:v>-16806.655313261956</c:v>
                </c:pt>
                <c:pt idx="719">
                  <c:v>-17239.065854864915</c:v>
                </c:pt>
                <c:pt idx="720">
                  <c:v>-17682.372542187895</c:v>
                </c:pt>
                <c:pt idx="721">
                  <c:v>-18134.825846263589</c:v>
                </c:pt>
                <c:pt idx="722">
                  <c:v>-18594.640140607065</c:v>
                </c:pt>
                <c:pt idx="723">
                  <c:v>-19060.000748267717</c:v>
                </c:pt>
                <c:pt idx="724">
                  <c:v>-19529.07110353015</c:v>
                </c:pt>
                <c:pt idx="725">
                  <c:v>-20000</c:v>
                </c:pt>
                <c:pt idx="726">
                  <c:v>-20470.92889646985</c:v>
                </c:pt>
                <c:pt idx="727">
                  <c:v>-20939.999251732283</c:v>
                </c:pt>
                <c:pt idx="728">
                  <c:v>-21405.359859392935</c:v>
                </c:pt>
                <c:pt idx="729">
                  <c:v>-21865.174153736411</c:v>
                </c:pt>
                <c:pt idx="730">
                  <c:v>-22317.627457812108</c:v>
                </c:pt>
                <c:pt idx="731">
                  <c:v>-22760.934145135085</c:v>
                </c:pt>
                <c:pt idx="732">
                  <c:v>-23193.344686738044</c:v>
                </c:pt>
                <c:pt idx="733">
                  <c:v>-23613.152555762867</c:v>
                </c:pt>
                <c:pt idx="734">
                  <c:v>-24018.700962342475</c:v>
                </c:pt>
                <c:pt idx="735">
                  <c:v>-24408.389392193549</c:v>
                </c:pt>
                <c:pt idx="736">
                  <c:v>-24780.679923115174</c:v>
                </c:pt>
                <c:pt idx="737">
                  <c:v>-25134.103294465167</c:v>
                </c:pt>
                <c:pt idx="738">
                  <c:v>-25467.264705660586</c:v>
                </c:pt>
                <c:pt idx="739">
                  <c:v>-25778.849320818419</c:v>
                </c:pt>
                <c:pt idx="740">
                  <c:v>-26067.627457812105</c:v>
                </c:pt>
                <c:pt idx="741">
                  <c:v>-26332.459441265113</c:v>
                </c:pt>
                <c:pt idx="742">
                  <c:v>-26572.300100328976</c:v>
                </c:pt>
                <c:pt idx="743">
                  <c:v>-26786.202893495145</c:v>
                </c:pt>
                <c:pt idx="744">
                  <c:v>-26973.323644161886</c:v>
                </c:pt>
                <c:pt idx="745">
                  <c:v>-27132.923872213651</c:v>
                </c:pt>
                <c:pt idx="746">
                  <c:v>-27264.373708464733</c:v>
                </c:pt>
                <c:pt idx="747">
                  <c:v>-27367.154380465166</c:v>
                </c:pt>
                <c:pt idx="748">
                  <c:v>-27440.860259858586</c:v>
                </c:pt>
                <c:pt idx="749">
                  <c:v>-27485.200463212037</c:v>
                </c:pt>
                <c:pt idx="750">
                  <c:v>-27500</c:v>
                </c:pt>
                <c:pt idx="751">
                  <c:v>-27485.200463212037</c:v>
                </c:pt>
                <c:pt idx="752">
                  <c:v>-27440.860259858586</c:v>
                </c:pt>
                <c:pt idx="753">
                  <c:v>-27367.154380465166</c:v>
                </c:pt>
                <c:pt idx="754">
                  <c:v>-27264.373708464733</c:v>
                </c:pt>
                <c:pt idx="755">
                  <c:v>-27132.923872213651</c:v>
                </c:pt>
                <c:pt idx="756">
                  <c:v>-26973.323644161886</c:v>
                </c:pt>
                <c:pt idx="757">
                  <c:v>-26786.202893495145</c:v>
                </c:pt>
                <c:pt idx="758">
                  <c:v>-26572.300100328976</c:v>
                </c:pt>
                <c:pt idx="759">
                  <c:v>-26332.459441265113</c:v>
                </c:pt>
                <c:pt idx="760">
                  <c:v>-26067.627457812105</c:v>
                </c:pt>
                <c:pt idx="761">
                  <c:v>-25778.849320818419</c:v>
                </c:pt>
                <c:pt idx="762">
                  <c:v>-25467.264705660586</c:v>
                </c:pt>
                <c:pt idx="763">
                  <c:v>-25134.103294465163</c:v>
                </c:pt>
                <c:pt idx="764">
                  <c:v>-24780.679923115171</c:v>
                </c:pt>
                <c:pt idx="765">
                  <c:v>-24408.389392193549</c:v>
                </c:pt>
                <c:pt idx="766">
                  <c:v>-24018.700962342471</c:v>
                </c:pt>
                <c:pt idx="767">
                  <c:v>-23613.152555762863</c:v>
                </c:pt>
                <c:pt idx="768">
                  <c:v>-23193.344686738041</c:v>
                </c:pt>
                <c:pt idx="769">
                  <c:v>-22760.934145135085</c:v>
                </c:pt>
                <c:pt idx="770">
                  <c:v>-22317.627457812108</c:v>
                </c:pt>
                <c:pt idx="771">
                  <c:v>-21865.174153736407</c:v>
                </c:pt>
                <c:pt idx="772">
                  <c:v>-21405.359859392935</c:v>
                </c:pt>
                <c:pt idx="773">
                  <c:v>-20939.999251732279</c:v>
                </c:pt>
                <c:pt idx="774">
                  <c:v>-20470.92889646985</c:v>
                </c:pt>
                <c:pt idx="775">
                  <c:v>-20000</c:v>
                </c:pt>
                <c:pt idx="776">
                  <c:v>-19529.071103530147</c:v>
                </c:pt>
                <c:pt idx="777">
                  <c:v>-19060.000748267717</c:v>
                </c:pt>
                <c:pt idx="778">
                  <c:v>-18594.640140607062</c:v>
                </c:pt>
                <c:pt idx="779">
                  <c:v>-18134.825846263589</c:v>
                </c:pt>
                <c:pt idx="780">
                  <c:v>-17682.372542187895</c:v>
                </c:pt>
                <c:pt idx="781">
                  <c:v>-17239.065854864912</c:v>
                </c:pt>
                <c:pt idx="782">
                  <c:v>-16806.655313261956</c:v>
                </c:pt>
                <c:pt idx="783">
                  <c:v>-16386.847444237133</c:v>
                </c:pt>
                <c:pt idx="784">
                  <c:v>-15981.299037657525</c:v>
                </c:pt>
                <c:pt idx="785">
                  <c:v>-15591.610607806448</c:v>
                </c:pt>
                <c:pt idx="786">
                  <c:v>-15219.320076884826</c:v>
                </c:pt>
                <c:pt idx="787">
                  <c:v>-14865.896705534837</c:v>
                </c:pt>
                <c:pt idx="788">
                  <c:v>-14532.735294339411</c:v>
                </c:pt>
                <c:pt idx="789">
                  <c:v>-14221.150679181581</c:v>
                </c:pt>
                <c:pt idx="790">
                  <c:v>-13932.372542187892</c:v>
                </c:pt>
                <c:pt idx="791">
                  <c:v>-13667.540558734885</c:v>
                </c:pt>
                <c:pt idx="792">
                  <c:v>-13427.699899671024</c:v>
                </c:pt>
                <c:pt idx="793">
                  <c:v>-13213.797106504851</c:v>
                </c:pt>
                <c:pt idx="794">
                  <c:v>-13026.676355838114</c:v>
                </c:pt>
                <c:pt idx="795">
                  <c:v>-12867.076127786346</c:v>
                </c:pt>
                <c:pt idx="796">
                  <c:v>-12735.626291535267</c:v>
                </c:pt>
                <c:pt idx="797">
                  <c:v>-12632.845619534834</c:v>
                </c:pt>
                <c:pt idx="798">
                  <c:v>-12559.139740141416</c:v>
                </c:pt>
                <c:pt idx="799">
                  <c:v>-12514.799536787963</c:v>
                </c:pt>
                <c:pt idx="800">
                  <c:v>-12500</c:v>
                </c:pt>
                <c:pt idx="801">
                  <c:v>-12514.799536787963</c:v>
                </c:pt>
                <c:pt idx="802">
                  <c:v>-12559.139740141416</c:v>
                </c:pt>
                <c:pt idx="803">
                  <c:v>-12632.845619534834</c:v>
                </c:pt>
                <c:pt idx="804">
                  <c:v>-12735.626291535267</c:v>
                </c:pt>
                <c:pt idx="805">
                  <c:v>-12867.076127786349</c:v>
                </c:pt>
                <c:pt idx="806">
                  <c:v>-13026.676355838115</c:v>
                </c:pt>
                <c:pt idx="807">
                  <c:v>-13213.797106504855</c:v>
                </c:pt>
                <c:pt idx="808">
                  <c:v>-13427.699899671024</c:v>
                </c:pt>
                <c:pt idx="809">
                  <c:v>-13667.540558734887</c:v>
                </c:pt>
                <c:pt idx="810">
                  <c:v>-13932.372542187895</c:v>
                </c:pt>
                <c:pt idx="811">
                  <c:v>-14221.150679181581</c:v>
                </c:pt>
                <c:pt idx="812">
                  <c:v>-14532.735294339414</c:v>
                </c:pt>
                <c:pt idx="813">
                  <c:v>-14865.896705534837</c:v>
                </c:pt>
                <c:pt idx="814">
                  <c:v>-15219.320076884827</c:v>
                </c:pt>
                <c:pt idx="815">
                  <c:v>-15591.610607806451</c:v>
                </c:pt>
                <c:pt idx="816">
                  <c:v>-15981.299037657525</c:v>
                </c:pt>
                <c:pt idx="817">
                  <c:v>-16386.847444237137</c:v>
                </c:pt>
                <c:pt idx="818">
                  <c:v>-16806.655313261956</c:v>
                </c:pt>
                <c:pt idx="819">
                  <c:v>-17239.065854864915</c:v>
                </c:pt>
                <c:pt idx="820">
                  <c:v>-17682.372542187895</c:v>
                </c:pt>
                <c:pt idx="821">
                  <c:v>-18134.825846263589</c:v>
                </c:pt>
                <c:pt idx="822">
                  <c:v>-18594.640140607065</c:v>
                </c:pt>
                <c:pt idx="823">
                  <c:v>-19060.000748267717</c:v>
                </c:pt>
                <c:pt idx="824">
                  <c:v>-19529.07110353015</c:v>
                </c:pt>
                <c:pt idx="825">
                  <c:v>-20000</c:v>
                </c:pt>
                <c:pt idx="826">
                  <c:v>-20470.92889646985</c:v>
                </c:pt>
                <c:pt idx="827">
                  <c:v>-20939.999251732283</c:v>
                </c:pt>
                <c:pt idx="828">
                  <c:v>-21405.359859392935</c:v>
                </c:pt>
                <c:pt idx="829">
                  <c:v>-21865.174153736411</c:v>
                </c:pt>
                <c:pt idx="830">
                  <c:v>-22317.627457812108</c:v>
                </c:pt>
                <c:pt idx="831">
                  <c:v>-22760.934145135085</c:v>
                </c:pt>
                <c:pt idx="832">
                  <c:v>-23193.344686738044</c:v>
                </c:pt>
                <c:pt idx="833">
                  <c:v>-23613.152555762867</c:v>
                </c:pt>
                <c:pt idx="834">
                  <c:v>-24018.700962342475</c:v>
                </c:pt>
                <c:pt idx="835">
                  <c:v>-24408.389392193549</c:v>
                </c:pt>
                <c:pt idx="836">
                  <c:v>-24780.679923115174</c:v>
                </c:pt>
                <c:pt idx="837">
                  <c:v>-25134.103294465167</c:v>
                </c:pt>
                <c:pt idx="838">
                  <c:v>-25467.264705660586</c:v>
                </c:pt>
                <c:pt idx="839">
                  <c:v>-25778.849320818419</c:v>
                </c:pt>
                <c:pt idx="840">
                  <c:v>-26067.627457812105</c:v>
                </c:pt>
                <c:pt idx="841">
                  <c:v>-26332.459441265113</c:v>
                </c:pt>
                <c:pt idx="842">
                  <c:v>-26572.300100328976</c:v>
                </c:pt>
                <c:pt idx="843">
                  <c:v>-26786.202893495145</c:v>
                </c:pt>
                <c:pt idx="844">
                  <c:v>-26973.323644161886</c:v>
                </c:pt>
                <c:pt idx="845">
                  <c:v>-27132.923872213651</c:v>
                </c:pt>
                <c:pt idx="846">
                  <c:v>-27264.373708464733</c:v>
                </c:pt>
                <c:pt idx="847">
                  <c:v>-27367.154380465166</c:v>
                </c:pt>
                <c:pt idx="848">
                  <c:v>-27440.860259858586</c:v>
                </c:pt>
                <c:pt idx="849">
                  <c:v>-27485.200463212037</c:v>
                </c:pt>
                <c:pt idx="850">
                  <c:v>-27500</c:v>
                </c:pt>
                <c:pt idx="851">
                  <c:v>-27485.200463212037</c:v>
                </c:pt>
                <c:pt idx="852">
                  <c:v>-27440.860259858586</c:v>
                </c:pt>
                <c:pt idx="853">
                  <c:v>-27367.154380465166</c:v>
                </c:pt>
                <c:pt idx="854">
                  <c:v>-27264.373708464733</c:v>
                </c:pt>
                <c:pt idx="855">
                  <c:v>-27132.923872213651</c:v>
                </c:pt>
                <c:pt idx="856">
                  <c:v>-26973.323644161886</c:v>
                </c:pt>
                <c:pt idx="857">
                  <c:v>-26786.202893495145</c:v>
                </c:pt>
                <c:pt idx="858">
                  <c:v>-26572.300100328976</c:v>
                </c:pt>
                <c:pt idx="859">
                  <c:v>-26332.459441265113</c:v>
                </c:pt>
                <c:pt idx="860">
                  <c:v>-26067.627457812105</c:v>
                </c:pt>
                <c:pt idx="861">
                  <c:v>-25778.849320818419</c:v>
                </c:pt>
                <c:pt idx="862">
                  <c:v>-25467.264705660586</c:v>
                </c:pt>
                <c:pt idx="863">
                  <c:v>-25134.103294465163</c:v>
                </c:pt>
                <c:pt idx="864">
                  <c:v>-24780.679923115171</c:v>
                </c:pt>
                <c:pt idx="865">
                  <c:v>-24408.389392193549</c:v>
                </c:pt>
                <c:pt idx="866">
                  <c:v>-24018.700962342471</c:v>
                </c:pt>
                <c:pt idx="867">
                  <c:v>-23613.152555762863</c:v>
                </c:pt>
                <c:pt idx="868">
                  <c:v>-23193.344686738041</c:v>
                </c:pt>
                <c:pt idx="869">
                  <c:v>-22760.934145135085</c:v>
                </c:pt>
                <c:pt idx="870">
                  <c:v>-22317.627457812108</c:v>
                </c:pt>
                <c:pt idx="871">
                  <c:v>-21865.174153736407</c:v>
                </c:pt>
                <c:pt idx="872">
                  <c:v>-21405.359859392935</c:v>
                </c:pt>
                <c:pt idx="873">
                  <c:v>-20939.999251732279</c:v>
                </c:pt>
                <c:pt idx="874">
                  <c:v>-20470.92889646985</c:v>
                </c:pt>
                <c:pt idx="875">
                  <c:v>-20000</c:v>
                </c:pt>
                <c:pt idx="876">
                  <c:v>-19529.071103530147</c:v>
                </c:pt>
                <c:pt idx="877">
                  <c:v>-19060.000748267717</c:v>
                </c:pt>
                <c:pt idx="878">
                  <c:v>-18594.640140607062</c:v>
                </c:pt>
                <c:pt idx="879">
                  <c:v>-18134.825846263589</c:v>
                </c:pt>
                <c:pt idx="880">
                  <c:v>-17682.372542187895</c:v>
                </c:pt>
                <c:pt idx="881">
                  <c:v>-17239.065854864912</c:v>
                </c:pt>
                <c:pt idx="882">
                  <c:v>-16806.655313261956</c:v>
                </c:pt>
                <c:pt idx="883">
                  <c:v>-16386.847444237133</c:v>
                </c:pt>
                <c:pt idx="884">
                  <c:v>-15981.299037657525</c:v>
                </c:pt>
                <c:pt idx="885">
                  <c:v>-15591.610607806448</c:v>
                </c:pt>
                <c:pt idx="886">
                  <c:v>-15219.320076884826</c:v>
                </c:pt>
                <c:pt idx="887">
                  <c:v>-14865.896705534837</c:v>
                </c:pt>
                <c:pt idx="888">
                  <c:v>-14532.735294339411</c:v>
                </c:pt>
                <c:pt idx="889">
                  <c:v>-14221.150679181581</c:v>
                </c:pt>
                <c:pt idx="890">
                  <c:v>-13932.372542187892</c:v>
                </c:pt>
                <c:pt idx="891">
                  <c:v>-13667.540558734885</c:v>
                </c:pt>
                <c:pt idx="892">
                  <c:v>-13427.699899671024</c:v>
                </c:pt>
                <c:pt idx="893">
                  <c:v>-13213.797106504851</c:v>
                </c:pt>
                <c:pt idx="894">
                  <c:v>-13026.676355838114</c:v>
                </c:pt>
                <c:pt idx="895">
                  <c:v>-12867.076127786346</c:v>
                </c:pt>
                <c:pt idx="896">
                  <c:v>-12735.626291535267</c:v>
                </c:pt>
                <c:pt idx="897">
                  <c:v>-12632.845619534834</c:v>
                </c:pt>
                <c:pt idx="898">
                  <c:v>-12559.139740141416</c:v>
                </c:pt>
                <c:pt idx="899">
                  <c:v>-12514.799536787963</c:v>
                </c:pt>
                <c:pt idx="900">
                  <c:v>-12500</c:v>
                </c:pt>
                <c:pt idx="901">
                  <c:v>-12514.799536787963</c:v>
                </c:pt>
                <c:pt idx="902">
                  <c:v>-12559.139740141416</c:v>
                </c:pt>
                <c:pt idx="903">
                  <c:v>-12632.845619534834</c:v>
                </c:pt>
                <c:pt idx="904">
                  <c:v>-12735.626291535267</c:v>
                </c:pt>
                <c:pt idx="905">
                  <c:v>-12867.076127786349</c:v>
                </c:pt>
                <c:pt idx="906">
                  <c:v>-13026.676355838115</c:v>
                </c:pt>
                <c:pt idx="907">
                  <c:v>-13213.797106504855</c:v>
                </c:pt>
                <c:pt idx="908">
                  <c:v>-13427.699899671024</c:v>
                </c:pt>
                <c:pt idx="909">
                  <c:v>-13667.540558734887</c:v>
                </c:pt>
                <c:pt idx="910">
                  <c:v>-13932.372542187895</c:v>
                </c:pt>
                <c:pt idx="911">
                  <c:v>-14221.150679181581</c:v>
                </c:pt>
                <c:pt idx="912">
                  <c:v>-14532.735294339414</c:v>
                </c:pt>
                <c:pt idx="913">
                  <c:v>-14865.896705534837</c:v>
                </c:pt>
                <c:pt idx="914">
                  <c:v>-15219.320076884827</c:v>
                </c:pt>
                <c:pt idx="915">
                  <c:v>-15591.610607806451</c:v>
                </c:pt>
                <c:pt idx="916">
                  <c:v>-15981.299037657525</c:v>
                </c:pt>
                <c:pt idx="917">
                  <c:v>-16386.847444237137</c:v>
                </c:pt>
                <c:pt idx="918">
                  <c:v>-16806.655313261956</c:v>
                </c:pt>
                <c:pt idx="919">
                  <c:v>-17239.065854864915</c:v>
                </c:pt>
                <c:pt idx="920">
                  <c:v>-17682.372542187895</c:v>
                </c:pt>
                <c:pt idx="921">
                  <c:v>-18134.825846263589</c:v>
                </c:pt>
                <c:pt idx="922">
                  <c:v>-18594.640140607065</c:v>
                </c:pt>
                <c:pt idx="923">
                  <c:v>-19060.000748267717</c:v>
                </c:pt>
                <c:pt idx="924">
                  <c:v>-19529.07110353015</c:v>
                </c:pt>
                <c:pt idx="925">
                  <c:v>-20000</c:v>
                </c:pt>
                <c:pt idx="926">
                  <c:v>-20470.92889646985</c:v>
                </c:pt>
                <c:pt idx="927">
                  <c:v>-20939.999251732283</c:v>
                </c:pt>
                <c:pt idx="928">
                  <c:v>-21405.359859392935</c:v>
                </c:pt>
                <c:pt idx="929">
                  <c:v>-21865.174153736411</c:v>
                </c:pt>
                <c:pt idx="930">
                  <c:v>-22317.627457812108</c:v>
                </c:pt>
                <c:pt idx="931">
                  <c:v>-22760.934145135085</c:v>
                </c:pt>
                <c:pt idx="932">
                  <c:v>-23193.344686738044</c:v>
                </c:pt>
                <c:pt idx="933">
                  <c:v>-23613.152555762867</c:v>
                </c:pt>
                <c:pt idx="934">
                  <c:v>-24018.700962342475</c:v>
                </c:pt>
                <c:pt idx="935">
                  <c:v>-24408.389392193549</c:v>
                </c:pt>
                <c:pt idx="936">
                  <c:v>-24780.679923115174</c:v>
                </c:pt>
                <c:pt idx="937">
                  <c:v>-25134.103294465167</c:v>
                </c:pt>
                <c:pt idx="938">
                  <c:v>-25467.264705660586</c:v>
                </c:pt>
                <c:pt idx="939">
                  <c:v>-25778.849320818419</c:v>
                </c:pt>
                <c:pt idx="940">
                  <c:v>-26067.627457812105</c:v>
                </c:pt>
                <c:pt idx="941">
                  <c:v>-26332.459441265113</c:v>
                </c:pt>
                <c:pt idx="942">
                  <c:v>-26572.300100328976</c:v>
                </c:pt>
                <c:pt idx="943">
                  <c:v>-26786.202893495145</c:v>
                </c:pt>
                <c:pt idx="944">
                  <c:v>-26973.323644161886</c:v>
                </c:pt>
                <c:pt idx="945">
                  <c:v>-27132.923872213651</c:v>
                </c:pt>
                <c:pt idx="946">
                  <c:v>-27264.373708464733</c:v>
                </c:pt>
                <c:pt idx="947">
                  <c:v>-27367.154380465166</c:v>
                </c:pt>
                <c:pt idx="948">
                  <c:v>-27440.860259858586</c:v>
                </c:pt>
                <c:pt idx="949">
                  <c:v>-27485.200463212037</c:v>
                </c:pt>
                <c:pt idx="950">
                  <c:v>-27500</c:v>
                </c:pt>
                <c:pt idx="951">
                  <c:v>-27485.200463212037</c:v>
                </c:pt>
                <c:pt idx="952">
                  <c:v>-27440.860259858586</c:v>
                </c:pt>
                <c:pt idx="953">
                  <c:v>-27367.154380465166</c:v>
                </c:pt>
                <c:pt idx="954">
                  <c:v>-27264.373708464733</c:v>
                </c:pt>
                <c:pt idx="955">
                  <c:v>-27132.923872213651</c:v>
                </c:pt>
                <c:pt idx="956">
                  <c:v>-26973.323644161886</c:v>
                </c:pt>
                <c:pt idx="957">
                  <c:v>-26786.202893495145</c:v>
                </c:pt>
                <c:pt idx="958">
                  <c:v>-26572.300100328976</c:v>
                </c:pt>
                <c:pt idx="959">
                  <c:v>-26332.459441265113</c:v>
                </c:pt>
                <c:pt idx="960">
                  <c:v>-26067.627457812105</c:v>
                </c:pt>
                <c:pt idx="961">
                  <c:v>-25778.849320818419</c:v>
                </c:pt>
                <c:pt idx="962">
                  <c:v>-25467.264705660586</c:v>
                </c:pt>
                <c:pt idx="963">
                  <c:v>-25134.103294465163</c:v>
                </c:pt>
                <c:pt idx="964">
                  <c:v>-24780.679923115171</c:v>
                </c:pt>
                <c:pt idx="965">
                  <c:v>-24408.389392193549</c:v>
                </c:pt>
                <c:pt idx="966">
                  <c:v>-24018.700962342471</c:v>
                </c:pt>
                <c:pt idx="967">
                  <c:v>-23613.152555762863</c:v>
                </c:pt>
                <c:pt idx="968">
                  <c:v>-23193.344686738041</c:v>
                </c:pt>
                <c:pt idx="969">
                  <c:v>-22760.934145135085</c:v>
                </c:pt>
                <c:pt idx="970">
                  <c:v>-22317.627457812108</c:v>
                </c:pt>
                <c:pt idx="971">
                  <c:v>-21865.174153736407</c:v>
                </c:pt>
                <c:pt idx="972">
                  <c:v>-21405.359859392935</c:v>
                </c:pt>
                <c:pt idx="973">
                  <c:v>-20939.999251732279</c:v>
                </c:pt>
                <c:pt idx="974">
                  <c:v>-20470.92889646985</c:v>
                </c:pt>
                <c:pt idx="975">
                  <c:v>-20000</c:v>
                </c:pt>
                <c:pt idx="976">
                  <c:v>-19529.071103530147</c:v>
                </c:pt>
                <c:pt idx="977">
                  <c:v>-19060.000748267717</c:v>
                </c:pt>
                <c:pt idx="978">
                  <c:v>-18594.640140607062</c:v>
                </c:pt>
                <c:pt idx="979">
                  <c:v>-18134.825846263589</c:v>
                </c:pt>
                <c:pt idx="980">
                  <c:v>-17682.372542187895</c:v>
                </c:pt>
                <c:pt idx="981">
                  <c:v>-17239.065854864912</c:v>
                </c:pt>
                <c:pt idx="982">
                  <c:v>-16806.655313261956</c:v>
                </c:pt>
                <c:pt idx="983">
                  <c:v>-16386.847444237133</c:v>
                </c:pt>
                <c:pt idx="984">
                  <c:v>-15981.299037657525</c:v>
                </c:pt>
                <c:pt idx="985">
                  <c:v>-15591.610607806448</c:v>
                </c:pt>
                <c:pt idx="986">
                  <c:v>-15219.320076884826</c:v>
                </c:pt>
                <c:pt idx="987">
                  <c:v>-14865.896705534837</c:v>
                </c:pt>
                <c:pt idx="988">
                  <c:v>-14532.735294339411</c:v>
                </c:pt>
                <c:pt idx="989">
                  <c:v>-14221.150679181581</c:v>
                </c:pt>
                <c:pt idx="990">
                  <c:v>-13932.372542187892</c:v>
                </c:pt>
                <c:pt idx="991">
                  <c:v>-13667.540558734885</c:v>
                </c:pt>
                <c:pt idx="992">
                  <c:v>-13427.699899671024</c:v>
                </c:pt>
                <c:pt idx="993">
                  <c:v>-13213.797106504851</c:v>
                </c:pt>
                <c:pt idx="994">
                  <c:v>-13026.676355838114</c:v>
                </c:pt>
                <c:pt idx="995">
                  <c:v>-12867.076127786346</c:v>
                </c:pt>
                <c:pt idx="996">
                  <c:v>-12735.626291535267</c:v>
                </c:pt>
                <c:pt idx="997">
                  <c:v>-12632.845619534834</c:v>
                </c:pt>
                <c:pt idx="998">
                  <c:v>-12559.139740141416</c:v>
                </c:pt>
                <c:pt idx="999">
                  <c:v>-12514.799536787963</c:v>
                </c:pt>
                <c:pt idx="1000">
                  <c:v>-12500</c:v>
                </c:pt>
              </c:numCache>
            </c:numRef>
          </c:xVal>
          <c:yVal>
            <c:numRef>
              <c:f>Tableau!$AH$62:$AH$1062</c:f>
              <c:numCache>
                <c:formatCode>General</c:formatCode>
                <c:ptCount val="1001"/>
                <c:pt idx="0">
                  <c:v>10000</c:v>
                </c:pt>
                <c:pt idx="1">
                  <c:v>10470.92889646985</c:v>
                </c:pt>
                <c:pt idx="2">
                  <c:v>10939.999251732283</c:v>
                </c:pt>
                <c:pt idx="3">
                  <c:v>11405.359859392935</c:v>
                </c:pt>
                <c:pt idx="4">
                  <c:v>11865.174153736411</c:v>
                </c:pt>
                <c:pt idx="5">
                  <c:v>12317.627457812105</c:v>
                </c:pt>
                <c:pt idx="6">
                  <c:v>12760.934145135085</c:v>
                </c:pt>
                <c:pt idx="7">
                  <c:v>13193.344686738044</c:v>
                </c:pt>
                <c:pt idx="8">
                  <c:v>13613.152555762865</c:v>
                </c:pt>
                <c:pt idx="9">
                  <c:v>14018.700962342475</c:v>
                </c:pt>
                <c:pt idx="10">
                  <c:v>14408.389392193549</c:v>
                </c:pt>
                <c:pt idx="11">
                  <c:v>14780.679923115173</c:v>
                </c:pt>
                <c:pt idx="12">
                  <c:v>15134.103294465165</c:v>
                </c:pt>
                <c:pt idx="13">
                  <c:v>15467.264705660586</c:v>
                </c:pt>
                <c:pt idx="14">
                  <c:v>15778.849320818419</c:v>
                </c:pt>
                <c:pt idx="15">
                  <c:v>16067.627457812105</c:v>
                </c:pt>
                <c:pt idx="16">
                  <c:v>16332.459441265113</c:v>
                </c:pt>
                <c:pt idx="17">
                  <c:v>16572.300100328976</c:v>
                </c:pt>
                <c:pt idx="18">
                  <c:v>16786.202893495145</c:v>
                </c:pt>
                <c:pt idx="19">
                  <c:v>16973.323644161886</c:v>
                </c:pt>
                <c:pt idx="20">
                  <c:v>17132.923872213651</c:v>
                </c:pt>
                <c:pt idx="21">
                  <c:v>17264.373708464733</c:v>
                </c:pt>
                <c:pt idx="22">
                  <c:v>17367.154380465166</c:v>
                </c:pt>
                <c:pt idx="23">
                  <c:v>17440.860259858586</c:v>
                </c:pt>
                <c:pt idx="24">
                  <c:v>17485.200463212037</c:v>
                </c:pt>
                <c:pt idx="25">
                  <c:v>17500</c:v>
                </c:pt>
                <c:pt idx="26">
                  <c:v>17485.200463212037</c:v>
                </c:pt>
                <c:pt idx="27">
                  <c:v>17440.860259858582</c:v>
                </c:pt>
                <c:pt idx="28">
                  <c:v>17367.154380465166</c:v>
                </c:pt>
                <c:pt idx="29">
                  <c:v>17264.373708464733</c:v>
                </c:pt>
                <c:pt idx="30">
                  <c:v>17132.923872213651</c:v>
                </c:pt>
                <c:pt idx="31">
                  <c:v>16973.323644161886</c:v>
                </c:pt>
                <c:pt idx="32">
                  <c:v>16786.202893495145</c:v>
                </c:pt>
                <c:pt idx="33">
                  <c:v>16572.300100328976</c:v>
                </c:pt>
                <c:pt idx="34">
                  <c:v>16332.459441265113</c:v>
                </c:pt>
                <c:pt idx="35">
                  <c:v>16067.627457812105</c:v>
                </c:pt>
                <c:pt idx="36">
                  <c:v>15778.849320818419</c:v>
                </c:pt>
                <c:pt idx="37">
                  <c:v>15467.264705660586</c:v>
                </c:pt>
                <c:pt idx="38">
                  <c:v>15134.103294465163</c:v>
                </c:pt>
                <c:pt idx="39">
                  <c:v>14780.679923115171</c:v>
                </c:pt>
                <c:pt idx="40">
                  <c:v>14408.389392193549</c:v>
                </c:pt>
                <c:pt idx="41">
                  <c:v>14018.700962342475</c:v>
                </c:pt>
                <c:pt idx="42">
                  <c:v>13613.152555762865</c:v>
                </c:pt>
                <c:pt idx="43">
                  <c:v>13193.344686738044</c:v>
                </c:pt>
                <c:pt idx="44">
                  <c:v>12760.934145135083</c:v>
                </c:pt>
                <c:pt idx="45">
                  <c:v>12317.627457812103</c:v>
                </c:pt>
                <c:pt idx="46">
                  <c:v>11865.174153736411</c:v>
                </c:pt>
                <c:pt idx="47">
                  <c:v>11405.359859392935</c:v>
                </c:pt>
                <c:pt idx="48">
                  <c:v>10939.999251732281</c:v>
                </c:pt>
                <c:pt idx="49">
                  <c:v>10470.928896469848</c:v>
                </c:pt>
                <c:pt idx="50">
                  <c:v>9999.9999999999982</c:v>
                </c:pt>
                <c:pt idx="51">
                  <c:v>9529.0711035301501</c:v>
                </c:pt>
                <c:pt idx="52">
                  <c:v>9060.0007482677174</c:v>
                </c:pt>
                <c:pt idx="53">
                  <c:v>8594.6401406070636</c:v>
                </c:pt>
                <c:pt idx="54">
                  <c:v>8134.8258462635877</c:v>
                </c:pt>
                <c:pt idx="55">
                  <c:v>7682.3725421878917</c:v>
                </c:pt>
                <c:pt idx="56">
                  <c:v>7239.0658548649126</c:v>
                </c:pt>
                <c:pt idx="57">
                  <c:v>6806.6553132619556</c:v>
                </c:pt>
                <c:pt idx="58">
                  <c:v>6386.8474442371353</c:v>
                </c:pt>
                <c:pt idx="59">
                  <c:v>5981.2990376575244</c:v>
                </c:pt>
                <c:pt idx="60">
                  <c:v>5591.6106078064495</c:v>
                </c:pt>
                <c:pt idx="61">
                  <c:v>5219.3200768848255</c:v>
                </c:pt>
                <c:pt idx="62">
                  <c:v>4865.8967055348348</c:v>
                </c:pt>
                <c:pt idx="63">
                  <c:v>4532.7352943394135</c:v>
                </c:pt>
                <c:pt idx="64">
                  <c:v>4221.15067918158</c:v>
                </c:pt>
                <c:pt idx="65">
                  <c:v>3932.3725421878953</c:v>
                </c:pt>
                <c:pt idx="66">
                  <c:v>3667.5405587348851</c:v>
                </c:pt>
                <c:pt idx="67">
                  <c:v>3427.6998996710236</c:v>
                </c:pt>
                <c:pt idx="68">
                  <c:v>3213.7971065048514</c:v>
                </c:pt>
                <c:pt idx="69">
                  <c:v>3026.6763558381144</c:v>
                </c:pt>
                <c:pt idx="70">
                  <c:v>2867.0761277863485</c:v>
                </c:pt>
                <c:pt idx="71">
                  <c:v>2735.6262915352663</c:v>
                </c:pt>
                <c:pt idx="72">
                  <c:v>2632.8456195348344</c:v>
                </c:pt>
                <c:pt idx="73">
                  <c:v>2559.139740141416</c:v>
                </c:pt>
                <c:pt idx="74">
                  <c:v>2514.799536787963</c:v>
                </c:pt>
                <c:pt idx="75">
                  <c:v>2500</c:v>
                </c:pt>
                <c:pt idx="76">
                  <c:v>2514.799536787963</c:v>
                </c:pt>
                <c:pt idx="77">
                  <c:v>2559.139740141416</c:v>
                </c:pt>
                <c:pt idx="78">
                  <c:v>2632.8456195348354</c:v>
                </c:pt>
                <c:pt idx="79">
                  <c:v>2735.6262915352672</c:v>
                </c:pt>
                <c:pt idx="80">
                  <c:v>2867.0761277863476</c:v>
                </c:pt>
                <c:pt idx="81">
                  <c:v>3026.6763558381153</c:v>
                </c:pt>
                <c:pt idx="82">
                  <c:v>3213.7971065048532</c:v>
                </c:pt>
                <c:pt idx="83">
                  <c:v>3427.6998996710245</c:v>
                </c:pt>
                <c:pt idx="84">
                  <c:v>3667.5405587348878</c:v>
                </c:pt>
                <c:pt idx="85">
                  <c:v>3932.3725421878971</c:v>
                </c:pt>
                <c:pt idx="86">
                  <c:v>4221.1506791815818</c:v>
                </c:pt>
                <c:pt idx="87">
                  <c:v>4532.7352943394135</c:v>
                </c:pt>
                <c:pt idx="88">
                  <c:v>4865.8967055348376</c:v>
                </c:pt>
                <c:pt idx="89">
                  <c:v>5219.3200768848274</c:v>
                </c:pt>
                <c:pt idx="90">
                  <c:v>5591.6106078064558</c:v>
                </c:pt>
                <c:pt idx="91">
                  <c:v>5981.2990376575272</c:v>
                </c:pt>
                <c:pt idx="92">
                  <c:v>6386.8474442371353</c:v>
                </c:pt>
                <c:pt idx="93">
                  <c:v>6806.6553132619583</c:v>
                </c:pt>
                <c:pt idx="94">
                  <c:v>7239.0658548649162</c:v>
                </c:pt>
                <c:pt idx="95">
                  <c:v>7682.3725421878989</c:v>
                </c:pt>
                <c:pt idx="96">
                  <c:v>8134.8258462635913</c:v>
                </c:pt>
                <c:pt idx="97">
                  <c:v>8594.6401406070654</c:v>
                </c:pt>
                <c:pt idx="98">
                  <c:v>9060.0007482677211</c:v>
                </c:pt>
                <c:pt idx="99">
                  <c:v>9529.0711035301501</c:v>
                </c:pt>
                <c:pt idx="100">
                  <c:v>10000.000000000005</c:v>
                </c:pt>
                <c:pt idx="101">
                  <c:v>10470.92889646985</c:v>
                </c:pt>
                <c:pt idx="102">
                  <c:v>10939.999251732283</c:v>
                </c:pt>
                <c:pt idx="103">
                  <c:v>11405.359859392935</c:v>
                </c:pt>
                <c:pt idx="104">
                  <c:v>11865.174153736411</c:v>
                </c:pt>
                <c:pt idx="105">
                  <c:v>12317.627457812105</c:v>
                </c:pt>
                <c:pt idx="106">
                  <c:v>12760.934145135085</c:v>
                </c:pt>
                <c:pt idx="107">
                  <c:v>13193.344686738044</c:v>
                </c:pt>
                <c:pt idx="108">
                  <c:v>13613.152555762865</c:v>
                </c:pt>
                <c:pt idx="109">
                  <c:v>14018.700962342475</c:v>
                </c:pt>
                <c:pt idx="110">
                  <c:v>14408.389392193549</c:v>
                </c:pt>
                <c:pt idx="111">
                  <c:v>14780.679923115173</c:v>
                </c:pt>
                <c:pt idx="112">
                  <c:v>15134.103294465165</c:v>
                </c:pt>
                <c:pt idx="113">
                  <c:v>15467.264705660586</c:v>
                </c:pt>
                <c:pt idx="114">
                  <c:v>15778.849320818419</c:v>
                </c:pt>
                <c:pt idx="115">
                  <c:v>16067.627457812105</c:v>
                </c:pt>
                <c:pt idx="116">
                  <c:v>16332.459441265113</c:v>
                </c:pt>
                <c:pt idx="117">
                  <c:v>16572.300100328976</c:v>
                </c:pt>
                <c:pt idx="118">
                  <c:v>16786.202893495145</c:v>
                </c:pt>
                <c:pt idx="119">
                  <c:v>16973.323644161886</c:v>
                </c:pt>
                <c:pt idx="120">
                  <c:v>17132.923872213651</c:v>
                </c:pt>
                <c:pt idx="121">
                  <c:v>17264.373708464733</c:v>
                </c:pt>
                <c:pt idx="122">
                  <c:v>17367.154380465166</c:v>
                </c:pt>
                <c:pt idx="123">
                  <c:v>17440.860259858586</c:v>
                </c:pt>
                <c:pt idx="124">
                  <c:v>17485.200463212037</c:v>
                </c:pt>
                <c:pt idx="125">
                  <c:v>17500</c:v>
                </c:pt>
                <c:pt idx="126">
                  <c:v>17485.200463212037</c:v>
                </c:pt>
                <c:pt idx="127">
                  <c:v>17440.860259858582</c:v>
                </c:pt>
                <c:pt idx="128">
                  <c:v>17367.154380465166</c:v>
                </c:pt>
                <c:pt idx="129">
                  <c:v>17264.373708464733</c:v>
                </c:pt>
                <c:pt idx="130">
                  <c:v>17132.923872213651</c:v>
                </c:pt>
                <c:pt idx="131">
                  <c:v>16973.323644161886</c:v>
                </c:pt>
                <c:pt idx="132">
                  <c:v>16786.202893495145</c:v>
                </c:pt>
                <c:pt idx="133">
                  <c:v>16572.300100328976</c:v>
                </c:pt>
                <c:pt idx="134">
                  <c:v>16332.459441265113</c:v>
                </c:pt>
                <c:pt idx="135">
                  <c:v>16067.627457812105</c:v>
                </c:pt>
                <c:pt idx="136">
                  <c:v>15778.849320818419</c:v>
                </c:pt>
                <c:pt idx="137">
                  <c:v>15467.264705660586</c:v>
                </c:pt>
                <c:pt idx="138">
                  <c:v>15134.103294465163</c:v>
                </c:pt>
                <c:pt idx="139">
                  <c:v>14780.679923115171</c:v>
                </c:pt>
                <c:pt idx="140">
                  <c:v>14408.389392193549</c:v>
                </c:pt>
                <c:pt idx="141">
                  <c:v>14018.700962342475</c:v>
                </c:pt>
                <c:pt idx="142">
                  <c:v>13613.152555762865</c:v>
                </c:pt>
                <c:pt idx="143">
                  <c:v>13193.344686738044</c:v>
                </c:pt>
                <c:pt idx="144">
                  <c:v>12760.934145135083</c:v>
                </c:pt>
                <c:pt idx="145">
                  <c:v>12317.627457812103</c:v>
                </c:pt>
                <c:pt idx="146">
                  <c:v>11865.174153736411</c:v>
                </c:pt>
                <c:pt idx="147">
                  <c:v>11405.359859392935</c:v>
                </c:pt>
                <c:pt idx="148">
                  <c:v>10939.999251732281</c:v>
                </c:pt>
                <c:pt idx="149">
                  <c:v>10470.928896469848</c:v>
                </c:pt>
                <c:pt idx="150">
                  <c:v>9999.9999999999982</c:v>
                </c:pt>
                <c:pt idx="151">
                  <c:v>9529.0711035301501</c:v>
                </c:pt>
                <c:pt idx="152">
                  <c:v>9060.0007482677174</c:v>
                </c:pt>
                <c:pt idx="153">
                  <c:v>8594.6401406070636</c:v>
                </c:pt>
                <c:pt idx="154">
                  <c:v>8134.8258462635877</c:v>
                </c:pt>
                <c:pt idx="155">
                  <c:v>7682.3725421878917</c:v>
                </c:pt>
                <c:pt idx="156">
                  <c:v>7239.0658548649126</c:v>
                </c:pt>
                <c:pt idx="157">
                  <c:v>6806.6553132619556</c:v>
                </c:pt>
                <c:pt idx="158">
                  <c:v>6386.8474442371353</c:v>
                </c:pt>
                <c:pt idx="159">
                  <c:v>5981.2990376575244</c:v>
                </c:pt>
                <c:pt idx="160">
                  <c:v>5591.6106078064495</c:v>
                </c:pt>
                <c:pt idx="161">
                  <c:v>5219.3200768848255</c:v>
                </c:pt>
                <c:pt idx="162">
                  <c:v>4865.8967055348348</c:v>
                </c:pt>
                <c:pt idx="163">
                  <c:v>4532.7352943394135</c:v>
                </c:pt>
                <c:pt idx="164">
                  <c:v>4221.15067918158</c:v>
                </c:pt>
                <c:pt idx="165">
                  <c:v>3932.3725421878953</c:v>
                </c:pt>
                <c:pt idx="166">
                  <c:v>3667.5405587348851</c:v>
                </c:pt>
                <c:pt idx="167">
                  <c:v>3427.6998996710236</c:v>
                </c:pt>
                <c:pt idx="168">
                  <c:v>3213.7971065048514</c:v>
                </c:pt>
                <c:pt idx="169">
                  <c:v>3026.6763558381144</c:v>
                </c:pt>
                <c:pt idx="170">
                  <c:v>2867.0761277863485</c:v>
                </c:pt>
                <c:pt idx="171">
                  <c:v>2735.6262915352663</c:v>
                </c:pt>
                <c:pt idx="172">
                  <c:v>2632.8456195348344</c:v>
                </c:pt>
                <c:pt idx="173">
                  <c:v>2559.139740141416</c:v>
                </c:pt>
                <c:pt idx="174">
                  <c:v>2514.799536787963</c:v>
                </c:pt>
                <c:pt idx="175">
                  <c:v>2500</c:v>
                </c:pt>
                <c:pt idx="176">
                  <c:v>2514.799536787963</c:v>
                </c:pt>
                <c:pt idx="177">
                  <c:v>2559.139740141416</c:v>
                </c:pt>
                <c:pt idx="178">
                  <c:v>2632.8456195348354</c:v>
                </c:pt>
                <c:pt idx="179">
                  <c:v>2735.6262915352672</c:v>
                </c:pt>
                <c:pt idx="180">
                  <c:v>2867.0761277863476</c:v>
                </c:pt>
                <c:pt idx="181">
                  <c:v>3026.6763558381153</c:v>
                </c:pt>
                <c:pt idx="182">
                  <c:v>3213.7971065048532</c:v>
                </c:pt>
                <c:pt idx="183">
                  <c:v>3427.6998996710245</c:v>
                </c:pt>
                <c:pt idx="184">
                  <c:v>3667.5405587348878</c:v>
                </c:pt>
                <c:pt idx="185">
                  <c:v>3932.3725421878971</c:v>
                </c:pt>
                <c:pt idx="186">
                  <c:v>4221.1506791815818</c:v>
                </c:pt>
                <c:pt idx="187">
                  <c:v>4532.7352943394135</c:v>
                </c:pt>
                <c:pt idx="188">
                  <c:v>4865.8967055348376</c:v>
                </c:pt>
                <c:pt idx="189">
                  <c:v>5219.3200768848274</c:v>
                </c:pt>
                <c:pt idx="190">
                  <c:v>5591.6106078064558</c:v>
                </c:pt>
                <c:pt idx="191">
                  <c:v>5981.2990376575272</c:v>
                </c:pt>
                <c:pt idx="192">
                  <c:v>6386.8474442371353</c:v>
                </c:pt>
                <c:pt idx="193">
                  <c:v>6806.6553132619583</c:v>
                </c:pt>
                <c:pt idx="194">
                  <c:v>7239.0658548649162</c:v>
                </c:pt>
                <c:pt idx="195">
                  <c:v>7682.3725421878989</c:v>
                </c:pt>
                <c:pt idx="196">
                  <c:v>8134.8258462635913</c:v>
                </c:pt>
                <c:pt idx="197">
                  <c:v>8594.6401406070654</c:v>
                </c:pt>
                <c:pt idx="198">
                  <c:v>9060.0007482677211</c:v>
                </c:pt>
                <c:pt idx="199">
                  <c:v>9529.0711035301501</c:v>
                </c:pt>
                <c:pt idx="200">
                  <c:v>10000.000000000005</c:v>
                </c:pt>
                <c:pt idx="201">
                  <c:v>10470.92889646985</c:v>
                </c:pt>
                <c:pt idx="202">
                  <c:v>10939.999251732283</c:v>
                </c:pt>
                <c:pt idx="203">
                  <c:v>11405.359859392935</c:v>
                </c:pt>
                <c:pt idx="204">
                  <c:v>11865.174153736411</c:v>
                </c:pt>
                <c:pt idx="205">
                  <c:v>12317.627457812105</c:v>
                </c:pt>
                <c:pt idx="206">
                  <c:v>12760.934145135085</c:v>
                </c:pt>
                <c:pt idx="207">
                  <c:v>13193.344686738044</c:v>
                </c:pt>
                <c:pt idx="208">
                  <c:v>13613.152555762865</c:v>
                </c:pt>
                <c:pt idx="209">
                  <c:v>14018.700962342475</c:v>
                </c:pt>
                <c:pt idx="210">
                  <c:v>14408.389392193549</c:v>
                </c:pt>
                <c:pt idx="211">
                  <c:v>14780.679923115173</c:v>
                </c:pt>
                <c:pt idx="212">
                  <c:v>15134.103294465165</c:v>
                </c:pt>
                <c:pt idx="213">
                  <c:v>15467.264705660586</c:v>
                </c:pt>
                <c:pt idx="214">
                  <c:v>15778.849320818419</c:v>
                </c:pt>
                <c:pt idx="215">
                  <c:v>16067.627457812105</c:v>
                </c:pt>
                <c:pt idx="216">
                  <c:v>16332.459441265113</c:v>
                </c:pt>
                <c:pt idx="217">
                  <c:v>16572.300100328976</c:v>
                </c:pt>
                <c:pt idx="218">
                  <c:v>16786.202893495145</c:v>
                </c:pt>
                <c:pt idx="219">
                  <c:v>16973.323644161886</c:v>
                </c:pt>
                <c:pt idx="220">
                  <c:v>17132.923872213651</c:v>
                </c:pt>
                <c:pt idx="221">
                  <c:v>17264.373708464733</c:v>
                </c:pt>
                <c:pt idx="222">
                  <c:v>17367.154380465166</c:v>
                </c:pt>
                <c:pt idx="223">
                  <c:v>17440.860259858586</c:v>
                </c:pt>
                <c:pt idx="224">
                  <c:v>17485.200463212037</c:v>
                </c:pt>
                <c:pt idx="225">
                  <c:v>17500</c:v>
                </c:pt>
                <c:pt idx="226">
                  <c:v>17485.200463212037</c:v>
                </c:pt>
                <c:pt idx="227">
                  <c:v>17440.860259858582</c:v>
                </c:pt>
                <c:pt idx="228">
                  <c:v>17367.154380465166</c:v>
                </c:pt>
                <c:pt idx="229">
                  <c:v>17264.373708464733</c:v>
                </c:pt>
                <c:pt idx="230">
                  <c:v>17132.923872213651</c:v>
                </c:pt>
                <c:pt idx="231">
                  <c:v>16973.323644161886</c:v>
                </c:pt>
                <c:pt idx="232">
                  <c:v>16786.202893495145</c:v>
                </c:pt>
                <c:pt idx="233">
                  <c:v>16572.300100328976</c:v>
                </c:pt>
                <c:pt idx="234">
                  <c:v>16332.459441265113</c:v>
                </c:pt>
                <c:pt idx="235">
                  <c:v>16067.627457812105</c:v>
                </c:pt>
                <c:pt idx="236">
                  <c:v>15778.849320818419</c:v>
                </c:pt>
                <c:pt idx="237">
                  <c:v>15467.264705660586</c:v>
                </c:pt>
                <c:pt idx="238">
                  <c:v>15134.103294465163</c:v>
                </c:pt>
                <c:pt idx="239">
                  <c:v>14780.679923115171</c:v>
                </c:pt>
                <c:pt idx="240">
                  <c:v>14408.389392193549</c:v>
                </c:pt>
                <c:pt idx="241">
                  <c:v>14018.700962342475</c:v>
                </c:pt>
                <c:pt idx="242">
                  <c:v>13613.152555762865</c:v>
                </c:pt>
                <c:pt idx="243">
                  <c:v>13193.344686738044</c:v>
                </c:pt>
                <c:pt idx="244">
                  <c:v>12760.934145135083</c:v>
                </c:pt>
                <c:pt idx="245">
                  <c:v>12317.627457812103</c:v>
                </c:pt>
                <c:pt idx="246">
                  <c:v>11865.174153736411</c:v>
                </c:pt>
                <c:pt idx="247">
                  <c:v>11405.359859392935</c:v>
                </c:pt>
                <c:pt idx="248">
                  <c:v>10939.999251732281</c:v>
                </c:pt>
                <c:pt idx="249">
                  <c:v>10470.928896469848</c:v>
                </c:pt>
                <c:pt idx="250">
                  <c:v>9999.9999999999982</c:v>
                </c:pt>
                <c:pt idx="251">
                  <c:v>9529.0711035301501</c:v>
                </c:pt>
                <c:pt idx="252">
                  <c:v>9060.0007482677174</c:v>
                </c:pt>
                <c:pt idx="253">
                  <c:v>8594.6401406070636</c:v>
                </c:pt>
                <c:pt idx="254">
                  <c:v>8134.8258462635877</c:v>
                </c:pt>
                <c:pt idx="255">
                  <c:v>7682.3725421878917</c:v>
                </c:pt>
                <c:pt idx="256">
                  <c:v>7239.0658548649126</c:v>
                </c:pt>
                <c:pt idx="257">
                  <c:v>6806.6553132619556</c:v>
                </c:pt>
                <c:pt idx="258">
                  <c:v>6386.8474442371353</c:v>
                </c:pt>
                <c:pt idx="259">
                  <c:v>5981.2990376575244</c:v>
                </c:pt>
                <c:pt idx="260">
                  <c:v>5591.6106078064495</c:v>
                </c:pt>
                <c:pt idx="261">
                  <c:v>5219.3200768848255</c:v>
                </c:pt>
                <c:pt idx="262">
                  <c:v>4865.8967055348348</c:v>
                </c:pt>
                <c:pt idx="263">
                  <c:v>4532.7352943394135</c:v>
                </c:pt>
                <c:pt idx="264">
                  <c:v>4221.15067918158</c:v>
                </c:pt>
                <c:pt idx="265">
                  <c:v>3932.3725421878953</c:v>
                </c:pt>
                <c:pt idx="266">
                  <c:v>3667.5405587348851</c:v>
                </c:pt>
                <c:pt idx="267">
                  <c:v>3427.6998996710236</c:v>
                </c:pt>
                <c:pt idx="268">
                  <c:v>3213.7971065048514</c:v>
                </c:pt>
                <c:pt idx="269">
                  <c:v>3026.6763558381144</c:v>
                </c:pt>
                <c:pt idx="270">
                  <c:v>2867.0761277863485</c:v>
                </c:pt>
                <c:pt idx="271">
                  <c:v>2735.6262915352663</c:v>
                </c:pt>
                <c:pt idx="272">
                  <c:v>2632.8456195348344</c:v>
                </c:pt>
                <c:pt idx="273">
                  <c:v>2559.139740141416</c:v>
                </c:pt>
                <c:pt idx="274">
                  <c:v>2514.799536787963</c:v>
                </c:pt>
                <c:pt idx="275">
                  <c:v>2500</c:v>
                </c:pt>
                <c:pt idx="276">
                  <c:v>2514.799536787963</c:v>
                </c:pt>
                <c:pt idx="277">
                  <c:v>2559.139740141416</c:v>
                </c:pt>
                <c:pt idx="278">
                  <c:v>2632.8456195348354</c:v>
                </c:pt>
                <c:pt idx="279">
                  <c:v>2735.6262915352672</c:v>
                </c:pt>
                <c:pt idx="280">
                  <c:v>2867.0761277863476</c:v>
                </c:pt>
                <c:pt idx="281">
                  <c:v>3026.6763558381153</c:v>
                </c:pt>
                <c:pt idx="282">
                  <c:v>3213.7971065048532</c:v>
                </c:pt>
                <c:pt idx="283">
                  <c:v>3427.6998996710245</c:v>
                </c:pt>
                <c:pt idx="284">
                  <c:v>3667.5405587348878</c:v>
                </c:pt>
                <c:pt idx="285">
                  <c:v>3932.3725421878971</c:v>
                </c:pt>
                <c:pt idx="286">
                  <c:v>4221.1506791815818</c:v>
                </c:pt>
                <c:pt idx="287">
                  <c:v>4532.7352943394135</c:v>
                </c:pt>
                <c:pt idx="288">
                  <c:v>4865.8967055348376</c:v>
                </c:pt>
                <c:pt idx="289">
                  <c:v>5219.3200768848274</c:v>
                </c:pt>
                <c:pt idx="290">
                  <c:v>5591.6106078064558</c:v>
                </c:pt>
                <c:pt idx="291">
                  <c:v>5981.2990376575272</c:v>
                </c:pt>
                <c:pt idx="292">
                  <c:v>6386.8474442371353</c:v>
                </c:pt>
                <c:pt idx="293">
                  <c:v>6806.6553132619583</c:v>
                </c:pt>
                <c:pt idx="294">
                  <c:v>7239.0658548649162</c:v>
                </c:pt>
                <c:pt idx="295">
                  <c:v>7682.3725421878989</c:v>
                </c:pt>
                <c:pt idx="296">
                  <c:v>8134.8258462635913</c:v>
                </c:pt>
                <c:pt idx="297">
                  <c:v>8594.6401406070654</c:v>
                </c:pt>
                <c:pt idx="298">
                  <c:v>9060.0007482677211</c:v>
                </c:pt>
                <c:pt idx="299">
                  <c:v>9529.0711035301501</c:v>
                </c:pt>
                <c:pt idx="300">
                  <c:v>10000.000000000005</c:v>
                </c:pt>
                <c:pt idx="301">
                  <c:v>10470.92889646985</c:v>
                </c:pt>
                <c:pt idx="302">
                  <c:v>10939.999251732283</c:v>
                </c:pt>
                <c:pt idx="303">
                  <c:v>11405.359859392935</c:v>
                </c:pt>
                <c:pt idx="304">
                  <c:v>11865.174153736411</c:v>
                </c:pt>
                <c:pt idx="305">
                  <c:v>12317.627457812105</c:v>
                </c:pt>
                <c:pt idx="306">
                  <c:v>12760.934145135085</c:v>
                </c:pt>
                <c:pt idx="307">
                  <c:v>13193.344686738044</c:v>
                </c:pt>
                <c:pt idx="308">
                  <c:v>13613.152555762865</c:v>
                </c:pt>
                <c:pt idx="309">
                  <c:v>14018.700962342475</c:v>
                </c:pt>
                <c:pt idx="310">
                  <c:v>14408.389392193549</c:v>
                </c:pt>
                <c:pt idx="311">
                  <c:v>14780.679923115173</c:v>
                </c:pt>
                <c:pt idx="312">
                  <c:v>15134.103294465165</c:v>
                </c:pt>
                <c:pt idx="313">
                  <c:v>15467.264705660586</c:v>
                </c:pt>
                <c:pt idx="314">
                  <c:v>15778.849320818419</c:v>
                </c:pt>
                <c:pt idx="315">
                  <c:v>16067.627457812105</c:v>
                </c:pt>
                <c:pt idx="316">
                  <c:v>16332.459441265113</c:v>
                </c:pt>
                <c:pt idx="317">
                  <c:v>16572.300100328976</c:v>
                </c:pt>
                <c:pt idx="318">
                  <c:v>16786.202893495145</c:v>
                </c:pt>
                <c:pt idx="319">
                  <c:v>16973.323644161886</c:v>
                </c:pt>
                <c:pt idx="320">
                  <c:v>17132.923872213651</c:v>
                </c:pt>
                <c:pt idx="321">
                  <c:v>17264.373708464733</c:v>
                </c:pt>
                <c:pt idx="322">
                  <c:v>17367.154380465166</c:v>
                </c:pt>
                <c:pt idx="323">
                  <c:v>17440.860259858586</c:v>
                </c:pt>
                <c:pt idx="324">
                  <c:v>17485.200463212037</c:v>
                </c:pt>
                <c:pt idx="325">
                  <c:v>17500</c:v>
                </c:pt>
                <c:pt idx="326">
                  <c:v>17485.200463212037</c:v>
                </c:pt>
                <c:pt idx="327">
                  <c:v>17440.860259858582</c:v>
                </c:pt>
                <c:pt idx="328">
                  <c:v>17367.154380465166</c:v>
                </c:pt>
                <c:pt idx="329">
                  <c:v>17264.373708464733</c:v>
                </c:pt>
                <c:pt idx="330">
                  <c:v>17132.923872213651</c:v>
                </c:pt>
                <c:pt idx="331">
                  <c:v>16973.323644161886</c:v>
                </c:pt>
                <c:pt idx="332">
                  <c:v>16786.202893495145</c:v>
                </c:pt>
                <c:pt idx="333">
                  <c:v>16572.300100328976</c:v>
                </c:pt>
                <c:pt idx="334">
                  <c:v>16332.459441265113</c:v>
                </c:pt>
                <c:pt idx="335">
                  <c:v>16067.627457812105</c:v>
                </c:pt>
                <c:pt idx="336">
                  <c:v>15778.849320818419</c:v>
                </c:pt>
                <c:pt idx="337">
                  <c:v>15467.264705660586</c:v>
                </c:pt>
                <c:pt idx="338">
                  <c:v>15134.103294465163</c:v>
                </c:pt>
                <c:pt idx="339">
                  <c:v>14780.679923115171</c:v>
                </c:pt>
                <c:pt idx="340">
                  <c:v>14408.389392193549</c:v>
                </c:pt>
                <c:pt idx="341">
                  <c:v>14018.700962342475</c:v>
                </c:pt>
                <c:pt idx="342">
                  <c:v>13613.152555762865</c:v>
                </c:pt>
                <c:pt idx="343">
                  <c:v>13193.344686738044</c:v>
                </c:pt>
                <c:pt idx="344">
                  <c:v>12760.934145135083</c:v>
                </c:pt>
                <c:pt idx="345">
                  <c:v>12317.627457812103</c:v>
                </c:pt>
                <c:pt idx="346">
                  <c:v>11865.174153736411</c:v>
                </c:pt>
                <c:pt idx="347">
                  <c:v>11405.359859392935</c:v>
                </c:pt>
                <c:pt idx="348">
                  <c:v>10939.999251732281</c:v>
                </c:pt>
                <c:pt idx="349">
                  <c:v>10470.928896469848</c:v>
                </c:pt>
                <c:pt idx="350">
                  <c:v>9999.9999999999982</c:v>
                </c:pt>
                <c:pt idx="351">
                  <c:v>9529.0711035301501</c:v>
                </c:pt>
                <c:pt idx="352">
                  <c:v>9060.0007482677174</c:v>
                </c:pt>
                <c:pt idx="353">
                  <c:v>8594.6401406070636</c:v>
                </c:pt>
                <c:pt idx="354">
                  <c:v>8134.8258462635877</c:v>
                </c:pt>
                <c:pt idx="355">
                  <c:v>7682.3725421878917</c:v>
                </c:pt>
                <c:pt idx="356">
                  <c:v>7239.0658548649126</c:v>
                </c:pt>
                <c:pt idx="357">
                  <c:v>6806.6553132619556</c:v>
                </c:pt>
                <c:pt idx="358">
                  <c:v>6386.8474442371353</c:v>
                </c:pt>
                <c:pt idx="359">
                  <c:v>5981.2990376575244</c:v>
                </c:pt>
                <c:pt idx="360">
                  <c:v>5591.6106078064495</c:v>
                </c:pt>
                <c:pt idx="361">
                  <c:v>5219.3200768848255</c:v>
                </c:pt>
                <c:pt idx="362">
                  <c:v>4865.8967055348348</c:v>
                </c:pt>
                <c:pt idx="363">
                  <c:v>4532.7352943394135</c:v>
                </c:pt>
                <c:pt idx="364">
                  <c:v>4221.15067918158</c:v>
                </c:pt>
                <c:pt idx="365">
                  <c:v>3932.3725421878953</c:v>
                </c:pt>
                <c:pt idx="366">
                  <c:v>3667.5405587348851</c:v>
                </c:pt>
                <c:pt idx="367">
                  <c:v>3427.6998996710236</c:v>
                </c:pt>
                <c:pt idx="368">
                  <c:v>3213.7971065048514</c:v>
                </c:pt>
                <c:pt idx="369">
                  <c:v>3026.6763558381144</c:v>
                </c:pt>
                <c:pt idx="370">
                  <c:v>2867.0761277863485</c:v>
                </c:pt>
                <c:pt idx="371">
                  <c:v>2735.6262915352663</c:v>
                </c:pt>
                <c:pt idx="372">
                  <c:v>2632.8456195348344</c:v>
                </c:pt>
                <c:pt idx="373">
                  <c:v>2559.139740141416</c:v>
                </c:pt>
                <c:pt idx="374">
                  <c:v>2514.799536787963</c:v>
                </c:pt>
                <c:pt idx="375">
                  <c:v>2500</c:v>
                </c:pt>
                <c:pt idx="376">
                  <c:v>2514.799536787963</c:v>
                </c:pt>
                <c:pt idx="377">
                  <c:v>2559.139740141416</c:v>
                </c:pt>
                <c:pt idx="378">
                  <c:v>2632.8456195348354</c:v>
                </c:pt>
                <c:pt idx="379">
                  <c:v>2735.6262915352672</c:v>
                </c:pt>
                <c:pt idx="380">
                  <c:v>2867.0761277863476</c:v>
                </c:pt>
                <c:pt idx="381">
                  <c:v>3026.6763558381153</c:v>
                </c:pt>
                <c:pt idx="382">
                  <c:v>3213.7971065048532</c:v>
                </c:pt>
                <c:pt idx="383">
                  <c:v>3427.6998996710245</c:v>
                </c:pt>
                <c:pt idx="384">
                  <c:v>3667.5405587348878</c:v>
                </c:pt>
                <c:pt idx="385">
                  <c:v>3932.3725421878971</c:v>
                </c:pt>
                <c:pt idx="386">
                  <c:v>4221.1506791815818</c:v>
                </c:pt>
                <c:pt idx="387">
                  <c:v>4532.7352943394135</c:v>
                </c:pt>
                <c:pt idx="388">
                  <c:v>4865.8967055348376</c:v>
                </c:pt>
                <c:pt idx="389">
                  <c:v>5219.3200768848274</c:v>
                </c:pt>
                <c:pt idx="390">
                  <c:v>5591.6106078064558</c:v>
                </c:pt>
                <c:pt idx="391">
                  <c:v>5981.2990376575272</c:v>
                </c:pt>
                <c:pt idx="392">
                  <c:v>6386.8474442371353</c:v>
                </c:pt>
                <c:pt idx="393">
                  <c:v>6806.6553132619583</c:v>
                </c:pt>
                <c:pt idx="394">
                  <c:v>7239.0658548649162</c:v>
                </c:pt>
                <c:pt idx="395">
                  <c:v>7682.3725421878989</c:v>
                </c:pt>
                <c:pt idx="396">
                  <c:v>8134.8258462635913</c:v>
                </c:pt>
                <c:pt idx="397">
                  <c:v>8594.6401406070654</c:v>
                </c:pt>
                <c:pt idx="398">
                  <c:v>9060.0007482677211</c:v>
                </c:pt>
                <c:pt idx="399">
                  <c:v>9529.0711035301501</c:v>
                </c:pt>
                <c:pt idx="400">
                  <c:v>10000.000000000005</c:v>
                </c:pt>
                <c:pt idx="401">
                  <c:v>10470.92889646985</c:v>
                </c:pt>
                <c:pt idx="402">
                  <c:v>10939.999251732283</c:v>
                </c:pt>
                <c:pt idx="403">
                  <c:v>11405.359859392935</c:v>
                </c:pt>
                <c:pt idx="404">
                  <c:v>11865.174153736411</c:v>
                </c:pt>
                <c:pt idx="405">
                  <c:v>12317.627457812105</c:v>
                </c:pt>
                <c:pt idx="406">
                  <c:v>12760.934145135085</c:v>
                </c:pt>
                <c:pt idx="407">
                  <c:v>13193.344686738044</c:v>
                </c:pt>
                <c:pt idx="408">
                  <c:v>13613.152555762865</c:v>
                </c:pt>
                <c:pt idx="409">
                  <c:v>14018.700962342475</c:v>
                </c:pt>
                <c:pt idx="410">
                  <c:v>14408.389392193549</c:v>
                </c:pt>
                <c:pt idx="411">
                  <c:v>14780.679923115173</c:v>
                </c:pt>
                <c:pt idx="412">
                  <c:v>15134.103294465165</c:v>
                </c:pt>
                <c:pt idx="413">
                  <c:v>15467.264705660586</c:v>
                </c:pt>
                <c:pt idx="414">
                  <c:v>15778.849320818419</c:v>
                </c:pt>
                <c:pt idx="415">
                  <c:v>16067.627457812105</c:v>
                </c:pt>
                <c:pt idx="416">
                  <c:v>16332.459441265113</c:v>
                </c:pt>
                <c:pt idx="417">
                  <c:v>16572.300100328976</c:v>
                </c:pt>
                <c:pt idx="418">
                  <c:v>16786.202893495145</c:v>
                </c:pt>
                <c:pt idx="419">
                  <c:v>16973.323644161886</c:v>
                </c:pt>
                <c:pt idx="420">
                  <c:v>17132.923872213651</c:v>
                </c:pt>
                <c:pt idx="421">
                  <c:v>17264.373708464733</c:v>
                </c:pt>
                <c:pt idx="422">
                  <c:v>17367.154380465166</c:v>
                </c:pt>
                <c:pt idx="423">
                  <c:v>17440.860259858586</c:v>
                </c:pt>
                <c:pt idx="424">
                  <c:v>17485.200463212037</c:v>
                </c:pt>
                <c:pt idx="425">
                  <c:v>17500</c:v>
                </c:pt>
                <c:pt idx="426">
                  <c:v>17485.200463212037</c:v>
                </c:pt>
                <c:pt idx="427">
                  <c:v>17440.860259858582</c:v>
                </c:pt>
                <c:pt idx="428">
                  <c:v>17367.154380465166</c:v>
                </c:pt>
                <c:pt idx="429">
                  <c:v>17264.373708464733</c:v>
                </c:pt>
                <c:pt idx="430">
                  <c:v>17132.923872213651</c:v>
                </c:pt>
                <c:pt idx="431">
                  <c:v>16973.323644161886</c:v>
                </c:pt>
                <c:pt idx="432">
                  <c:v>16786.202893495145</c:v>
                </c:pt>
                <c:pt idx="433">
                  <c:v>16572.300100328976</c:v>
                </c:pt>
                <c:pt idx="434">
                  <c:v>16332.459441265113</c:v>
                </c:pt>
                <c:pt idx="435">
                  <c:v>16067.627457812105</c:v>
                </c:pt>
                <c:pt idx="436">
                  <c:v>15778.849320818419</c:v>
                </c:pt>
                <c:pt idx="437">
                  <c:v>15467.264705660586</c:v>
                </c:pt>
                <c:pt idx="438">
                  <c:v>15134.103294465163</c:v>
                </c:pt>
                <c:pt idx="439">
                  <c:v>14780.679923115171</c:v>
                </c:pt>
                <c:pt idx="440">
                  <c:v>14408.389392193549</c:v>
                </c:pt>
                <c:pt idx="441">
                  <c:v>14018.700962342475</c:v>
                </c:pt>
                <c:pt idx="442">
                  <c:v>13613.152555762865</c:v>
                </c:pt>
                <c:pt idx="443">
                  <c:v>13193.344686738044</c:v>
                </c:pt>
                <c:pt idx="444">
                  <c:v>12760.934145135083</c:v>
                </c:pt>
                <c:pt idx="445">
                  <c:v>12317.627457812103</c:v>
                </c:pt>
                <c:pt idx="446">
                  <c:v>11865.174153736411</c:v>
                </c:pt>
                <c:pt idx="447">
                  <c:v>11405.359859392935</c:v>
                </c:pt>
                <c:pt idx="448">
                  <c:v>10939.999251732281</c:v>
                </c:pt>
                <c:pt idx="449">
                  <c:v>10470.928896469848</c:v>
                </c:pt>
                <c:pt idx="450">
                  <c:v>9999.9999999999982</c:v>
                </c:pt>
                <c:pt idx="451">
                  <c:v>9529.0711035301501</c:v>
                </c:pt>
                <c:pt idx="452">
                  <c:v>9060.0007482677174</c:v>
                </c:pt>
                <c:pt idx="453">
                  <c:v>8594.6401406070636</c:v>
                </c:pt>
                <c:pt idx="454">
                  <c:v>8134.8258462635877</c:v>
                </c:pt>
                <c:pt idx="455">
                  <c:v>7682.3725421878917</c:v>
                </c:pt>
                <c:pt idx="456">
                  <c:v>7239.0658548649126</c:v>
                </c:pt>
                <c:pt idx="457">
                  <c:v>6806.6553132619556</c:v>
                </c:pt>
                <c:pt idx="458">
                  <c:v>6386.8474442371353</c:v>
                </c:pt>
                <c:pt idx="459">
                  <c:v>5981.2990376575244</c:v>
                </c:pt>
                <c:pt idx="460">
                  <c:v>5591.6106078064495</c:v>
                </c:pt>
                <c:pt idx="461">
                  <c:v>5219.3200768848255</c:v>
                </c:pt>
                <c:pt idx="462">
                  <c:v>4865.8967055348348</c:v>
                </c:pt>
                <c:pt idx="463">
                  <c:v>4532.7352943394135</c:v>
                </c:pt>
                <c:pt idx="464">
                  <c:v>4221.15067918158</c:v>
                </c:pt>
                <c:pt idx="465">
                  <c:v>3932.3725421878953</c:v>
                </c:pt>
                <c:pt idx="466">
                  <c:v>3667.5405587348851</c:v>
                </c:pt>
                <c:pt idx="467">
                  <c:v>3427.6998996710236</c:v>
                </c:pt>
                <c:pt idx="468">
                  <c:v>3213.7971065048514</c:v>
                </c:pt>
                <c:pt idx="469">
                  <c:v>3026.6763558381144</c:v>
                </c:pt>
                <c:pt idx="470">
                  <c:v>2867.0761277863485</c:v>
                </c:pt>
                <c:pt idx="471">
                  <c:v>2735.6262915352663</c:v>
                </c:pt>
                <c:pt idx="472">
                  <c:v>2632.8456195348344</c:v>
                </c:pt>
                <c:pt idx="473">
                  <c:v>2559.139740141416</c:v>
                </c:pt>
                <c:pt idx="474">
                  <c:v>2514.799536787963</c:v>
                </c:pt>
                <c:pt idx="475">
                  <c:v>2500</c:v>
                </c:pt>
                <c:pt idx="476">
                  <c:v>2514.799536787963</c:v>
                </c:pt>
                <c:pt idx="477">
                  <c:v>2559.139740141416</c:v>
                </c:pt>
                <c:pt idx="478">
                  <c:v>2632.8456195348354</c:v>
                </c:pt>
                <c:pt idx="479">
                  <c:v>2735.6262915352672</c:v>
                </c:pt>
                <c:pt idx="480">
                  <c:v>2867.0761277863476</c:v>
                </c:pt>
                <c:pt idx="481">
                  <c:v>3026.6763558381153</c:v>
                </c:pt>
                <c:pt idx="482">
                  <c:v>3213.7971065048532</c:v>
                </c:pt>
                <c:pt idx="483">
                  <c:v>3427.6998996710245</c:v>
                </c:pt>
                <c:pt idx="484">
                  <c:v>3667.5405587348878</c:v>
                </c:pt>
                <c:pt idx="485">
                  <c:v>3932.3725421878971</c:v>
                </c:pt>
                <c:pt idx="486">
                  <c:v>4221.1506791815818</c:v>
                </c:pt>
                <c:pt idx="487">
                  <c:v>4532.7352943394135</c:v>
                </c:pt>
                <c:pt idx="488">
                  <c:v>4865.8967055348376</c:v>
                </c:pt>
                <c:pt idx="489">
                  <c:v>5219.3200768848274</c:v>
                </c:pt>
                <c:pt idx="490">
                  <c:v>5591.6106078064558</c:v>
                </c:pt>
                <c:pt idx="491">
                  <c:v>5981.2990376575272</c:v>
                </c:pt>
                <c:pt idx="492">
                  <c:v>6386.8474442371353</c:v>
                </c:pt>
                <c:pt idx="493">
                  <c:v>6806.6553132619583</c:v>
                </c:pt>
                <c:pt idx="494">
                  <c:v>7239.0658548649162</c:v>
                </c:pt>
                <c:pt idx="495">
                  <c:v>7682.3725421878989</c:v>
                </c:pt>
                <c:pt idx="496">
                  <c:v>8134.8258462635913</c:v>
                </c:pt>
                <c:pt idx="497">
                  <c:v>8594.6401406070654</c:v>
                </c:pt>
                <c:pt idx="498">
                  <c:v>9060.0007482677211</c:v>
                </c:pt>
                <c:pt idx="499">
                  <c:v>9529.0711035301501</c:v>
                </c:pt>
                <c:pt idx="500">
                  <c:v>10000.000000000005</c:v>
                </c:pt>
                <c:pt idx="501">
                  <c:v>10470.92889646985</c:v>
                </c:pt>
                <c:pt idx="502">
                  <c:v>10939.999251732283</c:v>
                </c:pt>
                <c:pt idx="503">
                  <c:v>11405.359859392935</c:v>
                </c:pt>
                <c:pt idx="504">
                  <c:v>11865.174153736411</c:v>
                </c:pt>
                <c:pt idx="505">
                  <c:v>12317.627457812105</c:v>
                </c:pt>
                <c:pt idx="506">
                  <c:v>12760.934145135085</c:v>
                </c:pt>
                <c:pt idx="507">
                  <c:v>13193.344686738044</c:v>
                </c:pt>
                <c:pt idx="508">
                  <c:v>13613.152555762865</c:v>
                </c:pt>
                <c:pt idx="509">
                  <c:v>14018.700962342475</c:v>
                </c:pt>
                <c:pt idx="510">
                  <c:v>14408.389392193549</c:v>
                </c:pt>
                <c:pt idx="511">
                  <c:v>14780.679923115173</c:v>
                </c:pt>
                <c:pt idx="512">
                  <c:v>15134.103294465165</c:v>
                </c:pt>
                <c:pt idx="513">
                  <c:v>15467.264705660586</c:v>
                </c:pt>
                <c:pt idx="514">
                  <c:v>15778.849320818419</c:v>
                </c:pt>
                <c:pt idx="515">
                  <c:v>16067.627457812105</c:v>
                </c:pt>
                <c:pt idx="516">
                  <c:v>16332.459441265113</c:v>
                </c:pt>
                <c:pt idx="517">
                  <c:v>16572.300100328976</c:v>
                </c:pt>
                <c:pt idx="518">
                  <c:v>16786.202893495145</c:v>
                </c:pt>
                <c:pt idx="519">
                  <c:v>16973.323644161886</c:v>
                </c:pt>
                <c:pt idx="520">
                  <c:v>17132.923872213651</c:v>
                </c:pt>
                <c:pt idx="521">
                  <c:v>17264.373708464733</c:v>
                </c:pt>
                <c:pt idx="522">
                  <c:v>17367.154380465166</c:v>
                </c:pt>
                <c:pt idx="523">
                  <c:v>17440.860259858586</c:v>
                </c:pt>
                <c:pt idx="524">
                  <c:v>17485.200463212037</c:v>
                </c:pt>
                <c:pt idx="525">
                  <c:v>17500</c:v>
                </c:pt>
                <c:pt idx="526">
                  <c:v>17485.200463212037</c:v>
                </c:pt>
                <c:pt idx="527">
                  <c:v>17440.860259858582</c:v>
                </c:pt>
                <c:pt idx="528">
                  <c:v>17367.154380465166</c:v>
                </c:pt>
                <c:pt idx="529">
                  <c:v>17264.373708464733</c:v>
                </c:pt>
                <c:pt idx="530">
                  <c:v>17132.923872213651</c:v>
                </c:pt>
                <c:pt idx="531">
                  <c:v>16973.323644161886</c:v>
                </c:pt>
                <c:pt idx="532">
                  <c:v>16786.202893495145</c:v>
                </c:pt>
                <c:pt idx="533">
                  <c:v>16572.300100328976</c:v>
                </c:pt>
                <c:pt idx="534">
                  <c:v>16332.459441265113</c:v>
                </c:pt>
                <c:pt idx="535">
                  <c:v>16067.627457812105</c:v>
                </c:pt>
                <c:pt idx="536">
                  <c:v>15778.849320818419</c:v>
                </c:pt>
                <c:pt idx="537">
                  <c:v>15467.264705660586</c:v>
                </c:pt>
                <c:pt idx="538">
                  <c:v>15134.103294465163</c:v>
                </c:pt>
                <c:pt idx="539">
                  <c:v>14780.679923115171</c:v>
                </c:pt>
                <c:pt idx="540">
                  <c:v>14408.389392193549</c:v>
                </c:pt>
                <c:pt idx="541">
                  <c:v>14018.700962342475</c:v>
                </c:pt>
                <c:pt idx="542">
                  <c:v>13613.152555762865</c:v>
                </c:pt>
                <c:pt idx="543">
                  <c:v>13193.344686738044</c:v>
                </c:pt>
                <c:pt idx="544">
                  <c:v>12760.934145135083</c:v>
                </c:pt>
                <c:pt idx="545">
                  <c:v>12317.627457812103</c:v>
                </c:pt>
                <c:pt idx="546">
                  <c:v>11865.174153736411</c:v>
                </c:pt>
                <c:pt idx="547">
                  <c:v>11405.359859392935</c:v>
                </c:pt>
                <c:pt idx="548">
                  <c:v>10939.999251732281</c:v>
                </c:pt>
                <c:pt idx="549">
                  <c:v>10470.928896469848</c:v>
                </c:pt>
                <c:pt idx="550">
                  <c:v>9999.9999999999982</c:v>
                </c:pt>
                <c:pt idx="551">
                  <c:v>9529.0711035301501</c:v>
                </c:pt>
                <c:pt idx="552">
                  <c:v>9060.0007482677174</c:v>
                </c:pt>
                <c:pt idx="553">
                  <c:v>8594.6401406070636</c:v>
                </c:pt>
                <c:pt idx="554">
                  <c:v>8134.8258462635877</c:v>
                </c:pt>
                <c:pt idx="555">
                  <c:v>7682.3725421878917</c:v>
                </c:pt>
                <c:pt idx="556">
                  <c:v>7239.0658548649126</c:v>
                </c:pt>
                <c:pt idx="557">
                  <c:v>6806.6553132619556</c:v>
                </c:pt>
                <c:pt idx="558">
                  <c:v>6386.8474442371353</c:v>
                </c:pt>
                <c:pt idx="559">
                  <c:v>5981.2990376575244</c:v>
                </c:pt>
                <c:pt idx="560">
                  <c:v>5591.6106078064495</c:v>
                </c:pt>
                <c:pt idx="561">
                  <c:v>5219.3200768848255</c:v>
                </c:pt>
                <c:pt idx="562">
                  <c:v>4865.8967055348348</c:v>
                </c:pt>
                <c:pt idx="563">
                  <c:v>4532.7352943394135</c:v>
                </c:pt>
                <c:pt idx="564">
                  <c:v>4221.15067918158</c:v>
                </c:pt>
                <c:pt idx="565">
                  <c:v>3932.3725421878953</c:v>
                </c:pt>
                <c:pt idx="566">
                  <c:v>3667.5405587348851</c:v>
                </c:pt>
                <c:pt idx="567">
                  <c:v>3427.6998996710236</c:v>
                </c:pt>
                <c:pt idx="568">
                  <c:v>3213.7971065048514</c:v>
                </c:pt>
                <c:pt idx="569">
                  <c:v>3026.6763558381144</c:v>
                </c:pt>
                <c:pt idx="570">
                  <c:v>2867.0761277863485</c:v>
                </c:pt>
                <c:pt idx="571">
                  <c:v>2735.6262915352663</c:v>
                </c:pt>
                <c:pt idx="572">
                  <c:v>2632.8456195348344</c:v>
                </c:pt>
                <c:pt idx="573">
                  <c:v>2559.139740141416</c:v>
                </c:pt>
                <c:pt idx="574">
                  <c:v>2514.799536787963</c:v>
                </c:pt>
                <c:pt idx="575">
                  <c:v>2500</c:v>
                </c:pt>
                <c:pt idx="576">
                  <c:v>2514.799536787963</c:v>
                </c:pt>
                <c:pt idx="577">
                  <c:v>2559.139740141416</c:v>
                </c:pt>
                <c:pt idx="578">
                  <c:v>2632.8456195348354</c:v>
                </c:pt>
                <c:pt idx="579">
                  <c:v>2735.6262915352672</c:v>
                </c:pt>
                <c:pt idx="580">
                  <c:v>2867.0761277863476</c:v>
                </c:pt>
                <c:pt idx="581">
                  <c:v>3026.6763558381153</c:v>
                </c:pt>
                <c:pt idx="582">
                  <c:v>3213.7971065048532</c:v>
                </c:pt>
                <c:pt idx="583">
                  <c:v>3427.6998996710245</c:v>
                </c:pt>
                <c:pt idx="584">
                  <c:v>3667.5405587348878</c:v>
                </c:pt>
                <c:pt idx="585">
                  <c:v>3932.3725421878971</c:v>
                </c:pt>
                <c:pt idx="586">
                  <c:v>4221.1506791815818</c:v>
                </c:pt>
                <c:pt idx="587">
                  <c:v>4532.7352943394135</c:v>
                </c:pt>
                <c:pt idx="588">
                  <c:v>4865.8967055348376</c:v>
                </c:pt>
                <c:pt idx="589">
                  <c:v>5219.3200768848274</c:v>
                </c:pt>
                <c:pt idx="590">
                  <c:v>5591.6106078064558</c:v>
                </c:pt>
                <c:pt idx="591">
                  <c:v>5981.2990376575272</c:v>
                </c:pt>
                <c:pt idx="592">
                  <c:v>6386.8474442371353</c:v>
                </c:pt>
                <c:pt idx="593">
                  <c:v>6806.6553132619583</c:v>
                </c:pt>
                <c:pt idx="594">
                  <c:v>7239.0658548649162</c:v>
                </c:pt>
                <c:pt idx="595">
                  <c:v>7682.3725421878989</c:v>
                </c:pt>
                <c:pt idx="596">
                  <c:v>8134.8258462635913</c:v>
                </c:pt>
                <c:pt idx="597">
                  <c:v>8594.6401406070654</c:v>
                </c:pt>
                <c:pt idx="598">
                  <c:v>9060.0007482677211</c:v>
                </c:pt>
                <c:pt idx="599">
                  <c:v>9529.0711035301501</c:v>
                </c:pt>
                <c:pt idx="600">
                  <c:v>10000.000000000005</c:v>
                </c:pt>
                <c:pt idx="601">
                  <c:v>10470.92889646985</c:v>
                </c:pt>
                <c:pt idx="602">
                  <c:v>10939.999251732283</c:v>
                </c:pt>
                <c:pt idx="603">
                  <c:v>11405.359859392935</c:v>
                </c:pt>
                <c:pt idx="604">
                  <c:v>11865.174153736411</c:v>
                </c:pt>
                <c:pt idx="605">
                  <c:v>12317.627457812105</c:v>
                </c:pt>
                <c:pt idx="606">
                  <c:v>12760.934145135085</c:v>
                </c:pt>
                <c:pt idx="607">
                  <c:v>13193.344686738044</c:v>
                </c:pt>
                <c:pt idx="608">
                  <c:v>13613.152555762865</c:v>
                </c:pt>
                <c:pt idx="609">
                  <c:v>14018.700962342475</c:v>
                </c:pt>
                <c:pt idx="610">
                  <c:v>14408.389392193549</c:v>
                </c:pt>
                <c:pt idx="611">
                  <c:v>14780.679923115173</c:v>
                </c:pt>
                <c:pt idx="612">
                  <c:v>15134.103294465165</c:v>
                </c:pt>
                <c:pt idx="613">
                  <c:v>15467.264705660586</c:v>
                </c:pt>
                <c:pt idx="614">
                  <c:v>15778.849320818419</c:v>
                </c:pt>
                <c:pt idx="615">
                  <c:v>16067.627457812105</c:v>
                </c:pt>
                <c:pt idx="616">
                  <c:v>16332.459441265113</c:v>
                </c:pt>
                <c:pt idx="617">
                  <c:v>16572.300100328976</c:v>
                </c:pt>
                <c:pt idx="618">
                  <c:v>16786.202893495145</c:v>
                </c:pt>
                <c:pt idx="619">
                  <c:v>16973.323644161886</c:v>
                </c:pt>
                <c:pt idx="620">
                  <c:v>17132.923872213651</c:v>
                </c:pt>
                <c:pt idx="621">
                  <c:v>17264.373708464733</c:v>
                </c:pt>
                <c:pt idx="622">
                  <c:v>17367.154380465166</c:v>
                </c:pt>
                <c:pt idx="623">
                  <c:v>17440.860259858586</c:v>
                </c:pt>
                <c:pt idx="624">
                  <c:v>17485.200463212037</c:v>
                </c:pt>
                <c:pt idx="625">
                  <c:v>17500</c:v>
                </c:pt>
                <c:pt idx="626">
                  <c:v>17485.200463212037</c:v>
                </c:pt>
                <c:pt idx="627">
                  <c:v>17440.860259858582</c:v>
                </c:pt>
                <c:pt idx="628">
                  <c:v>17367.154380465166</c:v>
                </c:pt>
                <c:pt idx="629">
                  <c:v>17264.373708464733</c:v>
                </c:pt>
                <c:pt idx="630">
                  <c:v>17132.923872213651</c:v>
                </c:pt>
                <c:pt idx="631">
                  <c:v>16973.323644161886</c:v>
                </c:pt>
                <c:pt idx="632">
                  <c:v>16786.202893495145</c:v>
                </c:pt>
                <c:pt idx="633">
                  <c:v>16572.300100328976</c:v>
                </c:pt>
                <c:pt idx="634">
                  <c:v>16332.459441265113</c:v>
                </c:pt>
                <c:pt idx="635">
                  <c:v>16067.627457812105</c:v>
                </c:pt>
                <c:pt idx="636">
                  <c:v>15778.849320818419</c:v>
                </c:pt>
                <c:pt idx="637">
                  <c:v>15467.264705660586</c:v>
                </c:pt>
                <c:pt idx="638">
                  <c:v>15134.103294465163</c:v>
                </c:pt>
                <c:pt idx="639">
                  <c:v>14780.679923115171</c:v>
                </c:pt>
                <c:pt idx="640">
                  <c:v>14408.389392193549</c:v>
                </c:pt>
                <c:pt idx="641">
                  <c:v>14018.700962342475</c:v>
                </c:pt>
                <c:pt idx="642">
                  <c:v>13613.152555762865</c:v>
                </c:pt>
                <c:pt idx="643">
                  <c:v>13193.344686738044</c:v>
                </c:pt>
                <c:pt idx="644">
                  <c:v>12760.934145135083</c:v>
                </c:pt>
                <c:pt idx="645">
                  <c:v>12317.627457812103</c:v>
                </c:pt>
                <c:pt idx="646">
                  <c:v>11865.174153736411</c:v>
                </c:pt>
                <c:pt idx="647">
                  <c:v>11405.359859392935</c:v>
                </c:pt>
                <c:pt idx="648">
                  <c:v>10939.999251732281</c:v>
                </c:pt>
                <c:pt idx="649">
                  <c:v>10470.928896469848</c:v>
                </c:pt>
                <c:pt idx="650">
                  <c:v>9999.9999999999982</c:v>
                </c:pt>
                <c:pt idx="651">
                  <c:v>9529.0711035301501</c:v>
                </c:pt>
                <c:pt idx="652">
                  <c:v>9060.0007482677174</c:v>
                </c:pt>
                <c:pt idx="653">
                  <c:v>8594.6401406070636</c:v>
                </c:pt>
                <c:pt idx="654">
                  <c:v>8134.8258462635877</c:v>
                </c:pt>
                <c:pt idx="655">
                  <c:v>7682.3725421878917</c:v>
                </c:pt>
                <c:pt idx="656">
                  <c:v>7239.0658548649126</c:v>
                </c:pt>
                <c:pt idx="657">
                  <c:v>6806.6553132619556</c:v>
                </c:pt>
                <c:pt idx="658">
                  <c:v>6386.8474442371353</c:v>
                </c:pt>
                <c:pt idx="659">
                  <c:v>5981.2990376575244</c:v>
                </c:pt>
                <c:pt idx="660">
                  <c:v>5591.6106078064495</c:v>
                </c:pt>
                <c:pt idx="661">
                  <c:v>5219.3200768848255</c:v>
                </c:pt>
                <c:pt idx="662">
                  <c:v>4865.8967055348348</c:v>
                </c:pt>
                <c:pt idx="663">
                  <c:v>4532.7352943394135</c:v>
                </c:pt>
                <c:pt idx="664">
                  <c:v>4221.15067918158</c:v>
                </c:pt>
                <c:pt idx="665">
                  <c:v>3932.3725421878953</c:v>
                </c:pt>
                <c:pt idx="666">
                  <c:v>3667.5405587348851</c:v>
                </c:pt>
                <c:pt idx="667">
                  <c:v>3427.6998996710236</c:v>
                </c:pt>
                <c:pt idx="668">
                  <c:v>3213.7971065048514</c:v>
                </c:pt>
                <c:pt idx="669">
                  <c:v>3026.6763558381144</c:v>
                </c:pt>
                <c:pt idx="670">
                  <c:v>2867.0761277863485</c:v>
                </c:pt>
                <c:pt idx="671">
                  <c:v>2735.6262915352663</c:v>
                </c:pt>
                <c:pt idx="672">
                  <c:v>2632.8456195348344</c:v>
                </c:pt>
                <c:pt idx="673">
                  <c:v>2559.139740141416</c:v>
                </c:pt>
                <c:pt idx="674">
                  <c:v>2514.799536787963</c:v>
                </c:pt>
                <c:pt idx="675">
                  <c:v>2500</c:v>
                </c:pt>
                <c:pt idx="676">
                  <c:v>2514.799536787963</c:v>
                </c:pt>
                <c:pt idx="677">
                  <c:v>2559.139740141416</c:v>
                </c:pt>
                <c:pt idx="678">
                  <c:v>2632.8456195348354</c:v>
                </c:pt>
                <c:pt idx="679">
                  <c:v>2735.6262915352672</c:v>
                </c:pt>
                <c:pt idx="680">
                  <c:v>2867.0761277863476</c:v>
                </c:pt>
                <c:pt idx="681">
                  <c:v>3026.6763558381153</c:v>
                </c:pt>
                <c:pt idx="682">
                  <c:v>3213.7971065048532</c:v>
                </c:pt>
                <c:pt idx="683">
                  <c:v>3427.6998996710245</c:v>
                </c:pt>
                <c:pt idx="684">
                  <c:v>3667.5405587348878</c:v>
                </c:pt>
                <c:pt idx="685">
                  <c:v>3932.3725421878971</c:v>
                </c:pt>
                <c:pt idx="686">
                  <c:v>4221.1506791815818</c:v>
                </c:pt>
                <c:pt idx="687">
                  <c:v>4532.7352943394135</c:v>
                </c:pt>
                <c:pt idx="688">
                  <c:v>4865.8967055348376</c:v>
                </c:pt>
                <c:pt idx="689">
                  <c:v>5219.3200768848274</c:v>
                </c:pt>
                <c:pt idx="690">
                  <c:v>5591.6106078064558</c:v>
                </c:pt>
                <c:pt idx="691">
                  <c:v>5981.2990376575272</c:v>
                </c:pt>
                <c:pt idx="692">
                  <c:v>6386.8474442371353</c:v>
                </c:pt>
                <c:pt idx="693">
                  <c:v>6806.6553132619583</c:v>
                </c:pt>
                <c:pt idx="694">
                  <c:v>7239.0658548649162</c:v>
                </c:pt>
                <c:pt idx="695">
                  <c:v>7682.3725421878989</c:v>
                </c:pt>
                <c:pt idx="696">
                  <c:v>8134.8258462635913</c:v>
                </c:pt>
                <c:pt idx="697">
                  <c:v>8594.6401406070654</c:v>
                </c:pt>
                <c:pt idx="698">
                  <c:v>9060.0007482677211</c:v>
                </c:pt>
                <c:pt idx="699">
                  <c:v>9529.0711035301501</c:v>
                </c:pt>
                <c:pt idx="700">
                  <c:v>10000.000000000005</c:v>
                </c:pt>
                <c:pt idx="701">
                  <c:v>10470.92889646985</c:v>
                </c:pt>
                <c:pt idx="702">
                  <c:v>10939.999251732283</c:v>
                </c:pt>
                <c:pt idx="703">
                  <c:v>11405.359859392935</c:v>
                </c:pt>
                <c:pt idx="704">
                  <c:v>11865.174153736411</c:v>
                </c:pt>
                <c:pt idx="705">
                  <c:v>12317.627457812105</c:v>
                </c:pt>
                <c:pt idx="706">
                  <c:v>12760.934145135085</c:v>
                </c:pt>
                <c:pt idx="707">
                  <c:v>13193.344686738044</c:v>
                </c:pt>
                <c:pt idx="708">
                  <c:v>13613.152555762865</c:v>
                </c:pt>
                <c:pt idx="709">
                  <c:v>14018.700962342475</c:v>
                </c:pt>
                <c:pt idx="710">
                  <c:v>14408.389392193549</c:v>
                </c:pt>
                <c:pt idx="711">
                  <c:v>14780.679923115173</c:v>
                </c:pt>
                <c:pt idx="712">
                  <c:v>15134.103294465165</c:v>
                </c:pt>
                <c:pt idx="713">
                  <c:v>15467.264705660586</c:v>
                </c:pt>
                <c:pt idx="714">
                  <c:v>15778.849320818419</c:v>
                </c:pt>
                <c:pt idx="715">
                  <c:v>16067.627457812105</c:v>
                </c:pt>
                <c:pt idx="716">
                  <c:v>16332.459441265113</c:v>
                </c:pt>
                <c:pt idx="717">
                  <c:v>16572.300100328976</c:v>
                </c:pt>
                <c:pt idx="718">
                  <c:v>16786.202893495145</c:v>
                </c:pt>
                <c:pt idx="719">
                  <c:v>16973.323644161886</c:v>
                </c:pt>
                <c:pt idx="720">
                  <c:v>17132.923872213651</c:v>
                </c:pt>
                <c:pt idx="721">
                  <c:v>17264.373708464733</c:v>
                </c:pt>
                <c:pt idx="722">
                  <c:v>17367.154380465166</c:v>
                </c:pt>
                <c:pt idx="723">
                  <c:v>17440.860259858586</c:v>
                </c:pt>
                <c:pt idx="724">
                  <c:v>17485.200463212037</c:v>
                </c:pt>
                <c:pt idx="725">
                  <c:v>17500</c:v>
                </c:pt>
                <c:pt idx="726">
                  <c:v>17485.200463212037</c:v>
                </c:pt>
                <c:pt idx="727">
                  <c:v>17440.860259858582</c:v>
                </c:pt>
                <c:pt idx="728">
                  <c:v>17367.154380465166</c:v>
                </c:pt>
                <c:pt idx="729">
                  <c:v>17264.373708464733</c:v>
                </c:pt>
                <c:pt idx="730">
                  <c:v>17132.923872213651</c:v>
                </c:pt>
                <c:pt idx="731">
                  <c:v>16973.323644161886</c:v>
                </c:pt>
                <c:pt idx="732">
                  <c:v>16786.202893495145</c:v>
                </c:pt>
                <c:pt idx="733">
                  <c:v>16572.300100328976</c:v>
                </c:pt>
                <c:pt idx="734">
                  <c:v>16332.459441265113</c:v>
                </c:pt>
                <c:pt idx="735">
                  <c:v>16067.627457812105</c:v>
                </c:pt>
                <c:pt idx="736">
                  <c:v>15778.849320818419</c:v>
                </c:pt>
                <c:pt idx="737">
                  <c:v>15467.264705660586</c:v>
                </c:pt>
                <c:pt idx="738">
                  <c:v>15134.103294465163</c:v>
                </c:pt>
                <c:pt idx="739">
                  <c:v>14780.679923115171</c:v>
                </c:pt>
                <c:pt idx="740">
                  <c:v>14408.389392193549</c:v>
                </c:pt>
                <c:pt idx="741">
                  <c:v>14018.700962342475</c:v>
                </c:pt>
                <c:pt idx="742">
                  <c:v>13613.152555762865</c:v>
                </c:pt>
                <c:pt idx="743">
                  <c:v>13193.344686738044</c:v>
                </c:pt>
                <c:pt idx="744">
                  <c:v>12760.934145135083</c:v>
                </c:pt>
                <c:pt idx="745">
                  <c:v>12317.627457812103</c:v>
                </c:pt>
                <c:pt idx="746">
                  <c:v>11865.174153736411</c:v>
                </c:pt>
                <c:pt idx="747">
                  <c:v>11405.359859392935</c:v>
                </c:pt>
                <c:pt idx="748">
                  <c:v>10939.999251732281</c:v>
                </c:pt>
                <c:pt idx="749">
                  <c:v>10470.928896469848</c:v>
                </c:pt>
                <c:pt idx="750">
                  <c:v>9999.9999999999982</c:v>
                </c:pt>
                <c:pt idx="751">
                  <c:v>9529.0711035301501</c:v>
                </c:pt>
                <c:pt idx="752">
                  <c:v>9060.0007482677174</c:v>
                </c:pt>
                <c:pt idx="753">
                  <c:v>8594.6401406070636</c:v>
                </c:pt>
                <c:pt idx="754">
                  <c:v>8134.8258462635877</c:v>
                </c:pt>
                <c:pt idx="755">
                  <c:v>7682.3725421878917</c:v>
                </c:pt>
                <c:pt idx="756">
                  <c:v>7239.0658548649126</c:v>
                </c:pt>
                <c:pt idx="757">
                  <c:v>6806.6553132619556</c:v>
                </c:pt>
                <c:pt idx="758">
                  <c:v>6386.8474442371353</c:v>
                </c:pt>
                <c:pt idx="759">
                  <c:v>5981.2990376575244</c:v>
                </c:pt>
                <c:pt idx="760">
                  <c:v>5591.6106078064495</c:v>
                </c:pt>
                <c:pt idx="761">
                  <c:v>5219.3200768848255</c:v>
                </c:pt>
                <c:pt idx="762">
                  <c:v>4865.8967055348348</c:v>
                </c:pt>
                <c:pt idx="763">
                  <c:v>4532.7352943394135</c:v>
                </c:pt>
                <c:pt idx="764">
                  <c:v>4221.15067918158</c:v>
                </c:pt>
                <c:pt idx="765">
                  <c:v>3932.3725421878953</c:v>
                </c:pt>
                <c:pt idx="766">
                  <c:v>3667.5405587348851</c:v>
                </c:pt>
                <c:pt idx="767">
                  <c:v>3427.6998996710236</c:v>
                </c:pt>
                <c:pt idx="768">
                  <c:v>3213.7971065048514</c:v>
                </c:pt>
                <c:pt idx="769">
                  <c:v>3026.6763558381144</c:v>
                </c:pt>
                <c:pt idx="770">
                  <c:v>2867.0761277863485</c:v>
                </c:pt>
                <c:pt idx="771">
                  <c:v>2735.6262915352663</c:v>
                </c:pt>
                <c:pt idx="772">
                  <c:v>2632.8456195348344</c:v>
                </c:pt>
                <c:pt idx="773">
                  <c:v>2559.139740141416</c:v>
                </c:pt>
                <c:pt idx="774">
                  <c:v>2514.799536787963</c:v>
                </c:pt>
                <c:pt idx="775">
                  <c:v>2500</c:v>
                </c:pt>
                <c:pt idx="776">
                  <c:v>2514.799536787963</c:v>
                </c:pt>
                <c:pt idx="777">
                  <c:v>2559.139740141416</c:v>
                </c:pt>
                <c:pt idx="778">
                  <c:v>2632.8456195348354</c:v>
                </c:pt>
                <c:pt idx="779">
                  <c:v>2735.6262915352672</c:v>
                </c:pt>
                <c:pt idx="780">
                  <c:v>2867.0761277863476</c:v>
                </c:pt>
                <c:pt idx="781">
                  <c:v>3026.6763558381153</c:v>
                </c:pt>
                <c:pt idx="782">
                  <c:v>3213.7971065048532</c:v>
                </c:pt>
                <c:pt idx="783">
                  <c:v>3427.6998996710245</c:v>
                </c:pt>
                <c:pt idx="784">
                  <c:v>3667.5405587348878</c:v>
                </c:pt>
                <c:pt idx="785">
                  <c:v>3932.3725421878971</c:v>
                </c:pt>
                <c:pt idx="786">
                  <c:v>4221.1506791815818</c:v>
                </c:pt>
                <c:pt idx="787">
                  <c:v>4532.7352943394135</c:v>
                </c:pt>
                <c:pt idx="788">
                  <c:v>4865.8967055348376</c:v>
                </c:pt>
                <c:pt idx="789">
                  <c:v>5219.3200768848274</c:v>
                </c:pt>
                <c:pt idx="790">
                  <c:v>5591.6106078064558</c:v>
                </c:pt>
                <c:pt idx="791">
                  <c:v>5981.2990376575272</c:v>
                </c:pt>
                <c:pt idx="792">
                  <c:v>6386.8474442371353</c:v>
                </c:pt>
                <c:pt idx="793">
                  <c:v>6806.6553132619583</c:v>
                </c:pt>
                <c:pt idx="794">
                  <c:v>7239.0658548649162</c:v>
                </c:pt>
                <c:pt idx="795">
                  <c:v>7682.3725421878989</c:v>
                </c:pt>
                <c:pt idx="796">
                  <c:v>8134.8258462635913</c:v>
                </c:pt>
                <c:pt idx="797">
                  <c:v>8594.6401406070654</c:v>
                </c:pt>
                <c:pt idx="798">
                  <c:v>9060.0007482677211</c:v>
                </c:pt>
                <c:pt idx="799">
                  <c:v>9529.0711035301501</c:v>
                </c:pt>
                <c:pt idx="800">
                  <c:v>10000.000000000005</c:v>
                </c:pt>
                <c:pt idx="801">
                  <c:v>10470.92889646985</c:v>
                </c:pt>
                <c:pt idx="802">
                  <c:v>10939.999251732283</c:v>
                </c:pt>
                <c:pt idx="803">
                  <c:v>11405.359859392935</c:v>
                </c:pt>
                <c:pt idx="804">
                  <c:v>11865.174153736411</c:v>
                </c:pt>
                <c:pt idx="805">
                  <c:v>12317.627457812105</c:v>
                </c:pt>
                <c:pt idx="806">
                  <c:v>12760.934145135085</c:v>
                </c:pt>
                <c:pt idx="807">
                  <c:v>13193.344686738044</c:v>
                </c:pt>
                <c:pt idx="808">
                  <c:v>13613.152555762865</c:v>
                </c:pt>
                <c:pt idx="809">
                  <c:v>14018.700962342475</c:v>
                </c:pt>
                <c:pt idx="810">
                  <c:v>14408.389392193549</c:v>
                </c:pt>
                <c:pt idx="811">
                  <c:v>14780.679923115173</c:v>
                </c:pt>
                <c:pt idx="812">
                  <c:v>15134.103294465165</c:v>
                </c:pt>
                <c:pt idx="813">
                  <c:v>15467.264705660586</c:v>
                </c:pt>
                <c:pt idx="814">
                  <c:v>15778.849320818419</c:v>
                </c:pt>
                <c:pt idx="815">
                  <c:v>16067.627457812105</c:v>
                </c:pt>
                <c:pt idx="816">
                  <c:v>16332.459441265113</c:v>
                </c:pt>
                <c:pt idx="817">
                  <c:v>16572.300100328976</c:v>
                </c:pt>
                <c:pt idx="818">
                  <c:v>16786.202893495145</c:v>
                </c:pt>
                <c:pt idx="819">
                  <c:v>16973.323644161886</c:v>
                </c:pt>
                <c:pt idx="820">
                  <c:v>17132.923872213651</c:v>
                </c:pt>
                <c:pt idx="821">
                  <c:v>17264.373708464733</c:v>
                </c:pt>
                <c:pt idx="822">
                  <c:v>17367.154380465166</c:v>
                </c:pt>
                <c:pt idx="823">
                  <c:v>17440.860259858586</c:v>
                </c:pt>
                <c:pt idx="824">
                  <c:v>17485.200463212037</c:v>
                </c:pt>
                <c:pt idx="825">
                  <c:v>17500</c:v>
                </c:pt>
                <c:pt idx="826">
                  <c:v>17485.200463212037</c:v>
                </c:pt>
                <c:pt idx="827">
                  <c:v>17440.860259858582</c:v>
                </c:pt>
                <c:pt idx="828">
                  <c:v>17367.154380465166</c:v>
                </c:pt>
                <c:pt idx="829">
                  <c:v>17264.373708464733</c:v>
                </c:pt>
                <c:pt idx="830">
                  <c:v>17132.923872213651</c:v>
                </c:pt>
                <c:pt idx="831">
                  <c:v>16973.323644161886</c:v>
                </c:pt>
                <c:pt idx="832">
                  <c:v>16786.202893495145</c:v>
                </c:pt>
                <c:pt idx="833">
                  <c:v>16572.300100328976</c:v>
                </c:pt>
                <c:pt idx="834">
                  <c:v>16332.459441265113</c:v>
                </c:pt>
                <c:pt idx="835">
                  <c:v>16067.627457812105</c:v>
                </c:pt>
                <c:pt idx="836">
                  <c:v>15778.849320818419</c:v>
                </c:pt>
                <c:pt idx="837">
                  <c:v>15467.264705660586</c:v>
                </c:pt>
                <c:pt idx="838">
                  <c:v>15134.103294465163</c:v>
                </c:pt>
                <c:pt idx="839">
                  <c:v>14780.679923115171</c:v>
                </c:pt>
                <c:pt idx="840">
                  <c:v>14408.389392193549</c:v>
                </c:pt>
                <c:pt idx="841">
                  <c:v>14018.700962342475</c:v>
                </c:pt>
                <c:pt idx="842">
                  <c:v>13613.152555762865</c:v>
                </c:pt>
                <c:pt idx="843">
                  <c:v>13193.344686738044</c:v>
                </c:pt>
                <c:pt idx="844">
                  <c:v>12760.934145135083</c:v>
                </c:pt>
                <c:pt idx="845">
                  <c:v>12317.627457812103</c:v>
                </c:pt>
                <c:pt idx="846">
                  <c:v>11865.174153736411</c:v>
                </c:pt>
                <c:pt idx="847">
                  <c:v>11405.359859392935</c:v>
                </c:pt>
                <c:pt idx="848">
                  <c:v>10939.999251732281</c:v>
                </c:pt>
                <c:pt idx="849">
                  <c:v>10470.928896469848</c:v>
                </c:pt>
                <c:pt idx="850">
                  <c:v>9999.9999999999982</c:v>
                </c:pt>
                <c:pt idx="851">
                  <c:v>9529.0711035301501</c:v>
                </c:pt>
                <c:pt idx="852">
                  <c:v>9060.0007482677174</c:v>
                </c:pt>
                <c:pt idx="853">
                  <c:v>8594.6401406070636</c:v>
                </c:pt>
                <c:pt idx="854">
                  <c:v>8134.8258462635877</c:v>
                </c:pt>
                <c:pt idx="855">
                  <c:v>7682.3725421878917</c:v>
                </c:pt>
                <c:pt idx="856">
                  <c:v>7239.0658548649126</c:v>
                </c:pt>
                <c:pt idx="857">
                  <c:v>6806.6553132619556</c:v>
                </c:pt>
                <c:pt idx="858">
                  <c:v>6386.8474442371353</c:v>
                </c:pt>
                <c:pt idx="859">
                  <c:v>5981.2990376575244</c:v>
                </c:pt>
                <c:pt idx="860">
                  <c:v>5591.6106078064495</c:v>
                </c:pt>
                <c:pt idx="861">
                  <c:v>5219.3200768848255</c:v>
                </c:pt>
                <c:pt idx="862">
                  <c:v>4865.8967055348348</c:v>
                </c:pt>
                <c:pt idx="863">
                  <c:v>4532.7352943394135</c:v>
                </c:pt>
                <c:pt idx="864">
                  <c:v>4221.15067918158</c:v>
                </c:pt>
                <c:pt idx="865">
                  <c:v>3932.3725421878953</c:v>
                </c:pt>
                <c:pt idx="866">
                  <c:v>3667.5405587348851</c:v>
                </c:pt>
                <c:pt idx="867">
                  <c:v>3427.6998996710236</c:v>
                </c:pt>
                <c:pt idx="868">
                  <c:v>3213.7971065048514</c:v>
                </c:pt>
                <c:pt idx="869">
                  <c:v>3026.6763558381144</c:v>
                </c:pt>
                <c:pt idx="870">
                  <c:v>2867.0761277863485</c:v>
                </c:pt>
                <c:pt idx="871">
                  <c:v>2735.6262915352663</c:v>
                </c:pt>
                <c:pt idx="872">
                  <c:v>2632.8456195348344</c:v>
                </c:pt>
                <c:pt idx="873">
                  <c:v>2559.139740141416</c:v>
                </c:pt>
                <c:pt idx="874">
                  <c:v>2514.799536787963</c:v>
                </c:pt>
                <c:pt idx="875">
                  <c:v>2500</c:v>
                </c:pt>
                <c:pt idx="876">
                  <c:v>2514.799536787963</c:v>
                </c:pt>
                <c:pt idx="877">
                  <c:v>2559.139740141416</c:v>
                </c:pt>
                <c:pt idx="878">
                  <c:v>2632.8456195348354</c:v>
                </c:pt>
                <c:pt idx="879">
                  <c:v>2735.6262915352672</c:v>
                </c:pt>
                <c:pt idx="880">
                  <c:v>2867.0761277863476</c:v>
                </c:pt>
                <c:pt idx="881">
                  <c:v>3026.6763558381153</c:v>
                </c:pt>
                <c:pt idx="882">
                  <c:v>3213.7971065048532</c:v>
                </c:pt>
                <c:pt idx="883">
                  <c:v>3427.6998996710245</c:v>
                </c:pt>
                <c:pt idx="884">
                  <c:v>3667.5405587348878</c:v>
                </c:pt>
                <c:pt idx="885">
                  <c:v>3932.3725421878971</c:v>
                </c:pt>
                <c:pt idx="886">
                  <c:v>4221.1506791815818</c:v>
                </c:pt>
                <c:pt idx="887">
                  <c:v>4532.7352943394135</c:v>
                </c:pt>
                <c:pt idx="888">
                  <c:v>4865.8967055348376</c:v>
                </c:pt>
                <c:pt idx="889">
                  <c:v>5219.3200768848274</c:v>
                </c:pt>
                <c:pt idx="890">
                  <c:v>5591.6106078064558</c:v>
                </c:pt>
                <c:pt idx="891">
                  <c:v>5981.2990376575272</c:v>
                </c:pt>
                <c:pt idx="892">
                  <c:v>6386.8474442371353</c:v>
                </c:pt>
                <c:pt idx="893">
                  <c:v>6806.6553132619583</c:v>
                </c:pt>
                <c:pt idx="894">
                  <c:v>7239.0658548649162</c:v>
                </c:pt>
                <c:pt idx="895">
                  <c:v>7682.3725421878989</c:v>
                </c:pt>
                <c:pt idx="896">
                  <c:v>8134.8258462635913</c:v>
                </c:pt>
                <c:pt idx="897">
                  <c:v>8594.6401406070654</c:v>
                </c:pt>
                <c:pt idx="898">
                  <c:v>9060.0007482677211</c:v>
                </c:pt>
                <c:pt idx="899">
                  <c:v>9529.0711035301501</c:v>
                </c:pt>
                <c:pt idx="900">
                  <c:v>10000.000000000005</c:v>
                </c:pt>
                <c:pt idx="901">
                  <c:v>10470.92889646985</c:v>
                </c:pt>
                <c:pt idx="902">
                  <c:v>10939.999251732283</c:v>
                </c:pt>
                <c:pt idx="903">
                  <c:v>11405.359859392935</c:v>
                </c:pt>
                <c:pt idx="904">
                  <c:v>11865.174153736411</c:v>
                </c:pt>
                <c:pt idx="905">
                  <c:v>12317.627457812105</c:v>
                </c:pt>
                <c:pt idx="906">
                  <c:v>12760.934145135085</c:v>
                </c:pt>
                <c:pt idx="907">
                  <c:v>13193.344686738044</c:v>
                </c:pt>
                <c:pt idx="908">
                  <c:v>13613.152555762865</c:v>
                </c:pt>
                <c:pt idx="909">
                  <c:v>14018.700962342475</c:v>
                </c:pt>
                <c:pt idx="910">
                  <c:v>14408.389392193549</c:v>
                </c:pt>
                <c:pt idx="911">
                  <c:v>14780.679923115173</c:v>
                </c:pt>
                <c:pt idx="912">
                  <c:v>15134.103294465165</c:v>
                </c:pt>
                <c:pt idx="913">
                  <c:v>15467.264705660586</c:v>
                </c:pt>
                <c:pt idx="914">
                  <c:v>15778.849320818419</c:v>
                </c:pt>
                <c:pt idx="915">
                  <c:v>16067.627457812105</c:v>
                </c:pt>
                <c:pt idx="916">
                  <c:v>16332.459441265113</c:v>
                </c:pt>
                <c:pt idx="917">
                  <c:v>16572.300100328976</c:v>
                </c:pt>
                <c:pt idx="918">
                  <c:v>16786.202893495145</c:v>
                </c:pt>
                <c:pt idx="919">
                  <c:v>16973.323644161886</c:v>
                </c:pt>
                <c:pt idx="920">
                  <c:v>17132.923872213651</c:v>
                </c:pt>
                <c:pt idx="921">
                  <c:v>17264.373708464733</c:v>
                </c:pt>
                <c:pt idx="922">
                  <c:v>17367.154380465166</c:v>
                </c:pt>
                <c:pt idx="923">
                  <c:v>17440.860259858586</c:v>
                </c:pt>
                <c:pt idx="924">
                  <c:v>17485.200463212037</c:v>
                </c:pt>
                <c:pt idx="925">
                  <c:v>17500</c:v>
                </c:pt>
                <c:pt idx="926">
                  <c:v>17485.200463212037</c:v>
                </c:pt>
                <c:pt idx="927">
                  <c:v>17440.860259858582</c:v>
                </c:pt>
                <c:pt idx="928">
                  <c:v>17367.154380465166</c:v>
                </c:pt>
                <c:pt idx="929">
                  <c:v>17264.373708464733</c:v>
                </c:pt>
                <c:pt idx="930">
                  <c:v>17132.923872213651</c:v>
                </c:pt>
                <c:pt idx="931">
                  <c:v>16973.323644161886</c:v>
                </c:pt>
                <c:pt idx="932">
                  <c:v>16786.202893495145</c:v>
                </c:pt>
                <c:pt idx="933">
                  <c:v>16572.300100328976</c:v>
                </c:pt>
                <c:pt idx="934">
                  <c:v>16332.459441265113</c:v>
                </c:pt>
                <c:pt idx="935">
                  <c:v>16067.627457812105</c:v>
                </c:pt>
                <c:pt idx="936">
                  <c:v>15778.849320818419</c:v>
                </c:pt>
                <c:pt idx="937">
                  <c:v>15467.264705660586</c:v>
                </c:pt>
                <c:pt idx="938">
                  <c:v>15134.103294465163</c:v>
                </c:pt>
                <c:pt idx="939">
                  <c:v>14780.679923115171</c:v>
                </c:pt>
                <c:pt idx="940">
                  <c:v>14408.389392193549</c:v>
                </c:pt>
                <c:pt idx="941">
                  <c:v>14018.700962342475</c:v>
                </c:pt>
                <c:pt idx="942">
                  <c:v>13613.152555762865</c:v>
                </c:pt>
                <c:pt idx="943">
                  <c:v>13193.344686738044</c:v>
                </c:pt>
                <c:pt idx="944">
                  <c:v>12760.934145135083</c:v>
                </c:pt>
                <c:pt idx="945">
                  <c:v>12317.627457812103</c:v>
                </c:pt>
                <c:pt idx="946">
                  <c:v>11865.174153736411</c:v>
                </c:pt>
                <c:pt idx="947">
                  <c:v>11405.359859392935</c:v>
                </c:pt>
                <c:pt idx="948">
                  <c:v>10939.999251732281</c:v>
                </c:pt>
                <c:pt idx="949">
                  <c:v>10470.928896469848</c:v>
                </c:pt>
                <c:pt idx="950">
                  <c:v>9999.9999999999982</c:v>
                </c:pt>
                <c:pt idx="951">
                  <c:v>9529.0711035301501</c:v>
                </c:pt>
                <c:pt idx="952">
                  <c:v>9060.0007482677174</c:v>
                </c:pt>
                <c:pt idx="953">
                  <c:v>8594.6401406070636</c:v>
                </c:pt>
                <c:pt idx="954">
                  <c:v>8134.8258462635877</c:v>
                </c:pt>
                <c:pt idx="955">
                  <c:v>7682.3725421878917</c:v>
                </c:pt>
                <c:pt idx="956">
                  <c:v>7239.0658548649126</c:v>
                </c:pt>
                <c:pt idx="957">
                  <c:v>6806.6553132619556</c:v>
                </c:pt>
                <c:pt idx="958">
                  <c:v>6386.8474442371353</c:v>
                </c:pt>
                <c:pt idx="959">
                  <c:v>5981.2990376575244</c:v>
                </c:pt>
                <c:pt idx="960">
                  <c:v>5591.6106078064495</c:v>
                </c:pt>
                <c:pt idx="961">
                  <c:v>5219.3200768848255</c:v>
                </c:pt>
                <c:pt idx="962">
                  <c:v>4865.8967055348348</c:v>
                </c:pt>
                <c:pt idx="963">
                  <c:v>4532.7352943394135</c:v>
                </c:pt>
                <c:pt idx="964">
                  <c:v>4221.15067918158</c:v>
                </c:pt>
                <c:pt idx="965">
                  <c:v>3932.3725421878953</c:v>
                </c:pt>
                <c:pt idx="966">
                  <c:v>3667.5405587348851</c:v>
                </c:pt>
                <c:pt idx="967">
                  <c:v>3427.6998996710236</c:v>
                </c:pt>
                <c:pt idx="968">
                  <c:v>3213.7971065048514</c:v>
                </c:pt>
                <c:pt idx="969">
                  <c:v>3026.6763558381144</c:v>
                </c:pt>
                <c:pt idx="970">
                  <c:v>2867.0761277863485</c:v>
                </c:pt>
                <c:pt idx="971">
                  <c:v>2735.6262915352663</c:v>
                </c:pt>
                <c:pt idx="972">
                  <c:v>2632.8456195348344</c:v>
                </c:pt>
                <c:pt idx="973">
                  <c:v>2559.139740141416</c:v>
                </c:pt>
                <c:pt idx="974">
                  <c:v>2514.799536787963</c:v>
                </c:pt>
                <c:pt idx="975">
                  <c:v>2500</c:v>
                </c:pt>
                <c:pt idx="976">
                  <c:v>2514.799536787963</c:v>
                </c:pt>
                <c:pt idx="977">
                  <c:v>2559.139740141416</c:v>
                </c:pt>
                <c:pt idx="978">
                  <c:v>2632.8456195348354</c:v>
                </c:pt>
                <c:pt idx="979">
                  <c:v>2735.6262915352672</c:v>
                </c:pt>
                <c:pt idx="980">
                  <c:v>2867.0761277863476</c:v>
                </c:pt>
                <c:pt idx="981">
                  <c:v>3026.6763558381153</c:v>
                </c:pt>
                <c:pt idx="982">
                  <c:v>3213.7971065048532</c:v>
                </c:pt>
                <c:pt idx="983">
                  <c:v>3427.6998996710245</c:v>
                </c:pt>
                <c:pt idx="984">
                  <c:v>3667.5405587348878</c:v>
                </c:pt>
                <c:pt idx="985">
                  <c:v>3932.3725421878971</c:v>
                </c:pt>
                <c:pt idx="986">
                  <c:v>4221.1506791815818</c:v>
                </c:pt>
                <c:pt idx="987">
                  <c:v>4532.7352943394135</c:v>
                </c:pt>
                <c:pt idx="988">
                  <c:v>4865.8967055348376</c:v>
                </c:pt>
                <c:pt idx="989">
                  <c:v>5219.3200768848274</c:v>
                </c:pt>
                <c:pt idx="990">
                  <c:v>5591.6106078064558</c:v>
                </c:pt>
                <c:pt idx="991">
                  <c:v>5981.2990376575272</c:v>
                </c:pt>
                <c:pt idx="992">
                  <c:v>6386.8474442371353</c:v>
                </c:pt>
                <c:pt idx="993">
                  <c:v>6806.6553132619583</c:v>
                </c:pt>
                <c:pt idx="994">
                  <c:v>7239.0658548649162</c:v>
                </c:pt>
                <c:pt idx="995">
                  <c:v>7682.3725421878989</c:v>
                </c:pt>
                <c:pt idx="996">
                  <c:v>8134.8258462635913</c:v>
                </c:pt>
                <c:pt idx="997">
                  <c:v>8594.6401406070654</c:v>
                </c:pt>
                <c:pt idx="998">
                  <c:v>9060.0007482677211</c:v>
                </c:pt>
                <c:pt idx="999">
                  <c:v>9529.0711035301501</c:v>
                </c:pt>
                <c:pt idx="1000">
                  <c:v>10000.000000000005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6-464D-8937-6ED90B2C8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995727"/>
        <c:axId val="386009871"/>
      </c:scatterChart>
      <c:valAx>
        <c:axId val="385995727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09871"/>
        <c:crosses val="autoZero"/>
        <c:crossBetween val="midCat"/>
      </c:valAx>
      <c:valAx>
        <c:axId val="386009871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95727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64</xdr:col>
      <xdr:colOff>530679</xdr:colOff>
      <xdr:row>2</xdr:row>
      <xdr:rowOff>163285</xdr:rowOff>
    </xdr:from>
    <xdr:to>
      <xdr:col>74</xdr:col>
      <xdr:colOff>178714</xdr:colOff>
      <xdr:row>40</xdr:row>
      <xdr:rowOff>67135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263525</xdr:colOff>
          <xdr:row>41</xdr:row>
          <xdr:rowOff>137583</xdr:rowOff>
        </xdr:from>
        <xdr:to>
          <xdr:col>70</xdr:col>
          <xdr:colOff>473075</xdr:colOff>
          <xdr:row>43</xdr:row>
          <xdr:rowOff>42333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359833</xdr:colOff>
      <xdr:row>2</xdr:row>
      <xdr:rowOff>184150</xdr:rowOff>
    </xdr:from>
    <xdr:to>
      <xdr:col>24</xdr:col>
      <xdr:colOff>363166</xdr:colOff>
      <xdr:row>40</xdr:row>
      <xdr:rowOff>81650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30C96AE-3F1A-D849-F51C-AE98D72E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A0B8E-25D9-4C6E-B5E8-413E5B2FAA36}">
  <sheetPr codeName="Feuil2"/>
  <dimension ref="B1:BW1062"/>
  <sheetViews>
    <sheetView showGridLines="0" tabSelected="1" topLeftCell="A14" zoomScale="90" zoomScaleNormal="90" workbookViewId="0">
      <selection activeCell="BL10" sqref="BL10"/>
    </sheetView>
  </sheetViews>
  <sheetFormatPr baseColWidth="10" defaultColWidth="11.42578125" defaultRowHeight="15" x14ac:dyDescent="0.25"/>
  <cols>
    <col min="1" max="1" width="5.7109375" customWidth="1"/>
    <col min="2" max="8" width="2" customWidth="1"/>
    <col min="9" max="9" width="30" style="1" customWidth="1"/>
    <col min="10" max="10" width="9" customWidth="1"/>
    <col min="11" max="12" width="10.7109375" customWidth="1"/>
    <col min="13" max="13" width="20.7109375" customWidth="1"/>
    <col min="14" max="26" width="10.7109375" customWidth="1"/>
    <col min="27" max="27" width="5.7109375" hidden="1" customWidth="1"/>
    <col min="28" max="30" width="11.42578125" hidden="1" customWidth="1"/>
    <col min="31" max="31" width="5.7109375" hidden="1" customWidth="1"/>
    <col min="32" max="34" width="11.42578125" hidden="1" customWidth="1"/>
    <col min="35" max="35" width="5.7109375" hidden="1" customWidth="1"/>
    <col min="36" max="39" width="11.42578125" hidden="1" customWidth="1"/>
    <col min="40" max="40" width="5.7109375" hidden="1" customWidth="1"/>
    <col min="41" max="47" width="11.42578125" hidden="1" customWidth="1"/>
    <col min="48" max="49" width="12" hidden="1" customWidth="1"/>
    <col min="50" max="50" width="12.7109375" hidden="1" customWidth="1"/>
    <col min="51" max="51" width="12" hidden="1" customWidth="1"/>
    <col min="52" max="53" width="12.7109375" hidden="1" customWidth="1"/>
    <col min="54" max="57" width="11.42578125" hidden="1" customWidth="1"/>
    <col min="58" max="58" width="18.140625" hidden="1" customWidth="1"/>
    <col min="59" max="60" width="11.42578125" hidden="1" customWidth="1"/>
    <col min="61" max="61" width="5.7109375" hidden="1" customWidth="1"/>
    <col min="62" max="62" width="13" hidden="1" customWidth="1"/>
    <col min="63" max="63" width="11.42578125" hidden="1" customWidth="1"/>
  </cols>
  <sheetData>
    <row r="1" spans="2:75" ht="15.75" thickBot="1" x14ac:dyDescent="0.3"/>
    <row r="2" spans="2:75" ht="21.75" thickBot="1" x14ac:dyDescent="0.4">
      <c r="B2" s="145" t="s">
        <v>4</v>
      </c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35"/>
      <c r="O2" s="146" t="s">
        <v>5</v>
      </c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35"/>
      <c r="AA2" s="35"/>
      <c r="AB2" s="35"/>
      <c r="BM2" s="145" t="s">
        <v>91</v>
      </c>
      <c r="BN2" s="147"/>
      <c r="BO2" s="147"/>
      <c r="BP2" s="147"/>
      <c r="BQ2" s="147"/>
      <c r="BR2" s="147"/>
      <c r="BS2" s="147"/>
      <c r="BT2" s="147"/>
      <c r="BU2" s="147"/>
      <c r="BV2" s="147"/>
      <c r="BW2" s="147"/>
    </row>
    <row r="3" spans="2:75" x14ac:dyDescent="0.25"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AB3" s="104" t="s">
        <v>6</v>
      </c>
      <c r="AC3" s="104"/>
      <c r="AD3" s="104"/>
      <c r="AF3" s="105" t="s">
        <v>7</v>
      </c>
      <c r="AG3" s="105"/>
      <c r="AH3" s="106"/>
      <c r="AJ3" s="93" t="s">
        <v>8</v>
      </c>
      <c r="AK3" s="93"/>
      <c r="AL3" s="94"/>
      <c r="AO3" s="124" t="s">
        <v>85</v>
      </c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F3" s="25" t="s">
        <v>44</v>
      </c>
      <c r="BG3" s="25" t="s">
        <v>0</v>
      </c>
      <c r="BH3" s="25" t="s">
        <v>1</v>
      </c>
      <c r="BJ3" s="80" t="s">
        <v>36</v>
      </c>
      <c r="BK3" s="130">
        <v>0</v>
      </c>
    </row>
    <row r="4" spans="2:75" x14ac:dyDescent="0.25">
      <c r="B4" s="167" t="s">
        <v>9</v>
      </c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6"/>
      <c r="AB4" s="21" t="s">
        <v>10</v>
      </c>
      <c r="AC4" s="21" t="s">
        <v>0</v>
      </c>
      <c r="AD4" s="21" t="s">
        <v>1</v>
      </c>
      <c r="AF4" s="21" t="s">
        <v>10</v>
      </c>
      <c r="AG4" s="21" t="s">
        <v>0</v>
      </c>
      <c r="AH4" s="22" t="s">
        <v>1</v>
      </c>
      <c r="AJ4" s="21" t="s">
        <v>10</v>
      </c>
      <c r="AK4" s="21" t="s">
        <v>0</v>
      </c>
      <c r="AL4" s="22" t="s">
        <v>1</v>
      </c>
      <c r="AN4" s="2"/>
      <c r="AO4" s="25" t="s">
        <v>11</v>
      </c>
      <c r="AP4" s="25" t="s">
        <v>79</v>
      </c>
      <c r="AQ4" s="25" t="s">
        <v>80</v>
      </c>
      <c r="AR4" s="25" t="s">
        <v>12</v>
      </c>
      <c r="AS4" s="25" t="s">
        <v>13</v>
      </c>
      <c r="AT4" s="25" t="s">
        <v>14</v>
      </c>
      <c r="AU4" s="25" t="s">
        <v>15</v>
      </c>
      <c r="AV4" s="25" t="s">
        <v>16</v>
      </c>
      <c r="AW4" s="25" t="s">
        <v>17</v>
      </c>
      <c r="AX4" s="25" t="s">
        <v>18</v>
      </c>
      <c r="AY4" s="25" t="s">
        <v>19</v>
      </c>
      <c r="AZ4" s="25" t="s">
        <v>20</v>
      </c>
      <c r="BA4" s="25" t="s">
        <v>21</v>
      </c>
      <c r="BB4" s="25" t="s">
        <v>22</v>
      </c>
      <c r="BC4" s="25" t="s">
        <v>23</v>
      </c>
      <c r="BD4" s="25" t="s">
        <v>24</v>
      </c>
      <c r="BF4" s="134">
        <f>K14</f>
        <v>2500</v>
      </c>
      <c r="BG4" s="135">
        <v>1</v>
      </c>
      <c r="BH4" s="123">
        <v>-1</v>
      </c>
      <c r="BJ4" s="81" t="s">
        <v>81</v>
      </c>
      <c r="BK4" s="54">
        <v>1000</v>
      </c>
    </row>
    <row r="5" spans="2:75" x14ac:dyDescent="0.25">
      <c r="B5" s="87" t="s">
        <v>25</v>
      </c>
      <c r="C5" s="88"/>
      <c r="D5" s="88"/>
      <c r="E5" s="88"/>
      <c r="F5" s="88"/>
      <c r="G5" s="88"/>
      <c r="H5" s="88"/>
      <c r="I5" s="88"/>
      <c r="J5" s="5" t="s">
        <v>11</v>
      </c>
      <c r="K5" s="99">
        <v>0.5</v>
      </c>
      <c r="L5" s="100"/>
      <c r="M5" s="169" t="s">
        <v>26</v>
      </c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6"/>
      <c r="AA5" s="15">
        <v>0</v>
      </c>
      <c r="AB5" s="17" cm="1">
        <f t="array" ref="AB5:AB30">$AC$33*AA5:AA30</f>
        <v>0</v>
      </c>
      <c r="AC5" s="18">
        <f>COS(AB5)*$K$19+$K$18</f>
        <v>25000</v>
      </c>
      <c r="AD5" s="20">
        <f>SIN(AB5)*$K$19+$L$18</f>
        <v>7500</v>
      </c>
      <c r="AE5" s="15">
        <v>0</v>
      </c>
      <c r="AF5" s="17" cm="1">
        <f t="array" ref="AF5:AF30">AE5:AE30*$AC$33</f>
        <v>0</v>
      </c>
      <c r="AG5" s="18">
        <f>COS(AF5)*$K$27+$K$26</f>
        <v>-16500</v>
      </c>
      <c r="AH5" s="20">
        <f>SIN(AF5)*$K$27+$L$26</f>
        <v>10000</v>
      </c>
      <c r="AI5" s="15">
        <v>0</v>
      </c>
      <c r="AJ5" s="17" cm="1">
        <f t="array" ref="AJ5:AJ30">AI5:AI30*$AC$33</f>
        <v>0</v>
      </c>
      <c r="AK5" s="18">
        <f>COS(AJ5)*$K$35+$K$34</f>
        <v>0</v>
      </c>
      <c r="AL5" s="20">
        <f>SIN(AJ5)*$K$35+$L$34</f>
        <v>-15000</v>
      </c>
      <c r="AN5" s="23">
        <v>0</v>
      </c>
      <c r="AO5" s="56" cm="1">
        <f t="array" ref="AO5:AO1005">0.5 *AN5:AN1005</f>
        <v>0</v>
      </c>
      <c r="AP5" s="57">
        <f>K11</f>
        <v>0</v>
      </c>
      <c r="AQ5" s="57">
        <f>L11</f>
        <v>0</v>
      </c>
      <c r="AR5" s="57">
        <f>K12</f>
        <v>0</v>
      </c>
      <c r="AS5" s="57">
        <f>L12</f>
        <v>0</v>
      </c>
      <c r="AT5" s="57">
        <f>AV5+AX5+AZ5</f>
        <v>119.16853330342633</v>
      </c>
      <c r="AU5" s="57">
        <f>AW5+AY5+BA5</f>
        <v>-760.51678598645651</v>
      </c>
      <c r="AV5" s="61">
        <f>$K$22*(($K$18-AP5)/((BB5^2+$K$23^2)^(3/2)))</f>
        <v>798.22179539145645</v>
      </c>
      <c r="AW5" s="61">
        <f>$K$22*(($L$18-AQ5)/((BB5^2+$K$23^2)^(3/2)))</f>
        <v>299.33317327179617</v>
      </c>
      <c r="AX5" s="61">
        <f>$K$30*(($K$26-AP5)/((BC5^2+$K$31^2)^(3/2)))</f>
        <v>-279.23137914452502</v>
      </c>
      <c r="AY5" s="61">
        <f>$K$30*(($L$26-AQ5)/((BC5^2+$K$31^2)^(3/2)))</f>
        <v>139.61568957226251</v>
      </c>
      <c r="AZ5" s="61">
        <f>$K$38*(($K$34-AP5)/((BD5^2+$K$39^2)^(3/2)))</f>
        <v>-399.8218829435051</v>
      </c>
      <c r="BA5" s="61">
        <f>$K$38*(($L$34-AQ5)/((BD5^2+$K$39^2)^(3/2)))</f>
        <v>-1199.4656488305152</v>
      </c>
      <c r="BB5" s="62">
        <f>SQRT(($K$18-AP5)^2+($L$18-AQ5)^2)</f>
        <v>21360.00936329383</v>
      </c>
      <c r="BC5" s="62">
        <f>SQRT(($K$26-AP5)^2+($L$26-AQ5)^2)</f>
        <v>22360.679774997898</v>
      </c>
      <c r="BD5" s="63">
        <f>SQRT(($K$34-AP5)^2+($L$34-AQ5)^2)</f>
        <v>15811.388300841896</v>
      </c>
      <c r="BF5" s="136"/>
      <c r="BG5" s="137">
        <v>0</v>
      </c>
      <c r="BH5" s="113">
        <v>1</v>
      </c>
      <c r="BJ5" s="82" t="s">
        <v>82</v>
      </c>
      <c r="BK5" s="113">
        <v>0</v>
      </c>
    </row>
    <row r="6" spans="2:75" x14ac:dyDescent="0.25">
      <c r="B6" s="89" t="s">
        <v>27</v>
      </c>
      <c r="C6" s="90"/>
      <c r="D6" s="90"/>
      <c r="E6" s="90"/>
      <c r="F6" s="90"/>
      <c r="G6" s="90"/>
      <c r="H6" s="90"/>
      <c r="I6" s="90"/>
      <c r="J6" s="6" t="s">
        <v>28</v>
      </c>
      <c r="K6" s="107">
        <v>0</v>
      </c>
      <c r="L6" s="108"/>
      <c r="M6" s="170" t="s">
        <v>29</v>
      </c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6"/>
      <c r="AA6" s="16">
        <v>1</v>
      </c>
      <c r="AB6" s="17">
        <v>0.25132741228718347</v>
      </c>
      <c r="AC6" s="18">
        <f t="shared" ref="AC6:AC30" si="0">COS(AB6)*$K$19+$K$18</f>
        <v>24842.915805643155</v>
      </c>
      <c r="AD6" s="20">
        <f t="shared" ref="AD6:AD30" si="1">SIN(AB6)*$K$19+$L$18</f>
        <v>8743.4494358242737</v>
      </c>
      <c r="AE6" s="16">
        <v>1</v>
      </c>
      <c r="AF6" s="17">
        <v>0.25132741228718347</v>
      </c>
      <c r="AG6" s="18">
        <f t="shared" ref="AG6:AG30" si="2">COS(AF6)*$K$27+$K$26</f>
        <v>-16609.958936049792</v>
      </c>
      <c r="AH6" s="20">
        <f t="shared" ref="AH6:AH30" si="3">SIN(AF6)*$K$27+$L$26</f>
        <v>10870.414605076992</v>
      </c>
      <c r="AI6" s="16">
        <v>1</v>
      </c>
      <c r="AJ6" s="17">
        <v>0.25132741228718347</v>
      </c>
      <c r="AK6" s="18">
        <f t="shared" ref="AK6:AK30" si="4">COS(AJ6)*$K$35+$K$34</f>
        <v>-157.08419435684482</v>
      </c>
      <c r="AL6" s="20">
        <f t="shared" ref="AL6:AL30" si="5">SIN(AJ6)*$K$35+$L$34</f>
        <v>-13756.550564175726</v>
      </c>
      <c r="AN6" s="23">
        <v>1</v>
      </c>
      <c r="AO6" s="58">
        <v>0.5</v>
      </c>
      <c r="AP6" s="45">
        <f>AP5+AR5*$K$5+AT5*$K$5^2</f>
        <v>29.792133325856582</v>
      </c>
      <c r="AQ6" s="45">
        <f>AQ5+AS5*$K$5+AU5*$K$5^2</f>
        <v>-190.12919649661413</v>
      </c>
      <c r="AR6" s="45">
        <f>AR5+AT5*$K$5</f>
        <v>59.584266651713165</v>
      </c>
      <c r="AS6" s="45">
        <f>AS5+AU5*$K$5</f>
        <v>-380.25839299322826</v>
      </c>
      <c r="AT6" s="45">
        <f t="shared" ref="AT6:AT69" si="6">AV6+AX6+AZ6</f>
        <v>105.91252413888941</v>
      </c>
      <c r="AU6" s="45">
        <f t="shared" ref="AU6:AU69" si="7">AW6+AY6+BA6</f>
        <v>-766.18493900261706</v>
      </c>
      <c r="AV6" s="64">
        <f t="shared" ref="AV6:AV69" si="8">$K$22*(($K$18-AP6)/((BB6^2+$K$23^2)^(3/2)))</f>
        <v>793.3986364522475</v>
      </c>
      <c r="AW6" s="64">
        <f t="shared" ref="AW6:AW69" si="9">$K$22*(($L$18-AQ6)/((BB6^2+$K$23^2)^(3/2)))</f>
        <v>305.52200855274089</v>
      </c>
      <c r="AX6" s="64">
        <f t="shared" ref="AX6:AX69" si="10">$K$30*(($K$26-AP6)/((BC6^2+$K$31^2)^(3/2)))</f>
        <v>-275.84665776407547</v>
      </c>
      <c r="AY6" s="64">
        <f t="shared" ref="AY6:AY69" si="11">$K$30*(($L$26-AQ6)/((BC6^2+$K$31^2)^(3/2)))</f>
        <v>140.33660770552268</v>
      </c>
      <c r="AZ6" s="64">
        <f t="shared" ref="AZ6:AZ69" si="12">$K$38*(($K$34-AP6)/((BD6^2+$K$39^2)^(3/2)))</f>
        <v>-411.63945454928268</v>
      </c>
      <c r="BA6" s="64">
        <f t="shared" ref="BA6:BA69" si="13">$K$38*(($L$34-AQ6)/((BD6^2+$K$39^2)^(3/2)))</f>
        <v>-1212.0435552608806</v>
      </c>
      <c r="BB6" s="65">
        <f t="shared" ref="BB6:BB69" si="14">SQRT(($K$18-AP6)^2+($L$18-AQ6)^2)</f>
        <v>21399.703018896864</v>
      </c>
      <c r="BC6" s="65">
        <f t="shared" ref="BC6:BC69" si="15">SQRT(($K$26-AP6)^2+($L$26-AQ6)^2)</f>
        <v>22472.901591595488</v>
      </c>
      <c r="BD6" s="66">
        <f t="shared" ref="BD6:BD69" si="16">SQRT(($K$34-AP6)^2+($L$34-AQ6)^2)</f>
        <v>15640.686753494192</v>
      </c>
      <c r="BF6" s="138"/>
      <c r="BG6" s="139">
        <v>-1</v>
      </c>
      <c r="BH6" s="115">
        <v>-1</v>
      </c>
      <c r="BJ6" s="81" t="s">
        <v>89</v>
      </c>
      <c r="BK6" s="54" cm="1">
        <f t="array" ref="BK6">INDEX(AP5:AP1005,BK5+1)</f>
        <v>0</v>
      </c>
    </row>
    <row r="7" spans="2:75" ht="15.75" thickBot="1" x14ac:dyDescent="0.3">
      <c r="B7" s="161" t="s">
        <v>30</v>
      </c>
      <c r="C7" s="162"/>
      <c r="D7" s="162"/>
      <c r="E7" s="162"/>
      <c r="F7" s="162"/>
      <c r="G7" s="162"/>
      <c r="H7" s="162"/>
      <c r="I7" s="162"/>
      <c r="J7" s="177" t="s">
        <v>31</v>
      </c>
      <c r="K7" s="174">
        <v>2</v>
      </c>
      <c r="L7" s="175"/>
      <c r="M7" s="176" t="s">
        <v>32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6"/>
      <c r="AA7" s="16">
        <v>2</v>
      </c>
      <c r="AB7" s="17">
        <v>0.50265482457436694</v>
      </c>
      <c r="AC7" s="18">
        <f t="shared" si="0"/>
        <v>24381.533400219319</v>
      </c>
      <c r="AD7" s="20">
        <f t="shared" si="1"/>
        <v>9908.7683705085765</v>
      </c>
      <c r="AE7" s="16">
        <v>2</v>
      </c>
      <c r="AF7" s="17">
        <v>0.50265482457436694</v>
      </c>
      <c r="AG7" s="18">
        <f>COS(AF7)*$K$27+$K$26</f>
        <v>-16932.926619846476</v>
      </c>
      <c r="AH7" s="20">
        <f t="shared" si="3"/>
        <v>11686.137859356004</v>
      </c>
      <c r="AI7" s="16">
        <v>2</v>
      </c>
      <c r="AJ7" s="17">
        <v>0.50265482457436694</v>
      </c>
      <c r="AK7" s="18">
        <f t="shared" si="4"/>
        <v>-618.46659978068237</v>
      </c>
      <c r="AL7" s="20">
        <f t="shared" si="5"/>
        <v>-12591.231629491424</v>
      </c>
      <c r="AN7" s="23">
        <v>2</v>
      </c>
      <c r="AO7" s="58">
        <v>1</v>
      </c>
      <c r="AP7" s="45">
        <f t="shared" ref="AP7:AP70" si="17">AP6+AR6*$K$5+AT6*$K$5^2</f>
        <v>86.062397686435517</v>
      </c>
      <c r="AQ7" s="45">
        <f t="shared" ref="AQ7:AQ70" si="18">AQ6+AS6*$K$5+AU6*$K$5^2</f>
        <v>-571.80462774388252</v>
      </c>
      <c r="AR7" s="45">
        <f t="shared" ref="AR7:AR70" si="19">AR6+AT6*$K$5</f>
        <v>112.54052872115787</v>
      </c>
      <c r="AS7" s="45">
        <f t="shared" ref="AS7:AS70" si="20">AS6+AU6*$K$5</f>
        <v>-763.35086249453684</v>
      </c>
      <c r="AT7" s="45">
        <f t="shared" si="6"/>
        <v>77.845120173769089</v>
      </c>
      <c r="AU7" s="45">
        <f t="shared" si="7"/>
        <v>-778.27226860530993</v>
      </c>
      <c r="AV7" s="64">
        <f t="shared" si="8"/>
        <v>783.20808489103752</v>
      </c>
      <c r="AW7" s="64">
        <f t="shared" si="9"/>
        <v>317.46120583281498</v>
      </c>
      <c r="AX7" s="64">
        <f t="shared" si="10"/>
        <v>-269.16771530437904</v>
      </c>
      <c r="AY7" s="64">
        <f t="shared" si="11"/>
        <v>141.66980276939913</v>
      </c>
      <c r="AZ7" s="64">
        <f t="shared" si="12"/>
        <v>-436.19524941288938</v>
      </c>
      <c r="BA7" s="64">
        <f t="shared" si="13"/>
        <v>-1237.4032772075241</v>
      </c>
      <c r="BB7" s="65">
        <f t="shared" si="14"/>
        <v>21487.646236321594</v>
      </c>
      <c r="BC7" s="65">
        <f t="shared" si="15"/>
        <v>22698.302926230852</v>
      </c>
      <c r="BD7" s="66">
        <f t="shared" si="16"/>
        <v>15298.393785399589</v>
      </c>
      <c r="BF7" s="140"/>
      <c r="BG7" s="141">
        <v>1</v>
      </c>
      <c r="BH7" s="142">
        <v>-1</v>
      </c>
      <c r="BJ7" s="79" t="s">
        <v>90</v>
      </c>
      <c r="BK7" s="131" cm="1">
        <f t="array" ref="BK7">INDEX(AQ5:AQ1005,BK5+1)</f>
        <v>0</v>
      </c>
    </row>
    <row r="8" spans="2:75" ht="15.75" thickTop="1" x14ac:dyDescent="0.25">
      <c r="J8" s="26"/>
      <c r="K8" s="26"/>
      <c r="L8" s="26"/>
      <c r="M8" s="26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AA8" s="16">
        <v>3</v>
      </c>
      <c r="AB8" s="17">
        <v>0.75398223686155041</v>
      </c>
      <c r="AC8" s="18">
        <f t="shared" si="0"/>
        <v>23644.843137107058</v>
      </c>
      <c r="AD8" s="20">
        <f t="shared" si="1"/>
        <v>10922.735529643443</v>
      </c>
      <c r="AE8" s="16">
        <v>3</v>
      </c>
      <c r="AF8" s="17">
        <v>0.75398223686155041</v>
      </c>
      <c r="AG8" s="18">
        <f t="shared" si="2"/>
        <v>-17448.609804025058</v>
      </c>
      <c r="AH8" s="20">
        <f t="shared" si="3"/>
        <v>12395.91487075041</v>
      </c>
      <c r="AI8" s="16">
        <v>3</v>
      </c>
      <c r="AJ8" s="17">
        <v>0.75398223686155041</v>
      </c>
      <c r="AK8" s="18">
        <f t="shared" si="4"/>
        <v>-1355.1568628929422</v>
      </c>
      <c r="AL8" s="20">
        <f t="shared" si="5"/>
        <v>-11577.264470356557</v>
      </c>
      <c r="AN8" s="23">
        <v>3</v>
      </c>
      <c r="AO8" s="58">
        <v>1.5</v>
      </c>
      <c r="AP8" s="45">
        <f t="shared" si="17"/>
        <v>161.79394209045671</v>
      </c>
      <c r="AQ8" s="45">
        <f t="shared" si="18"/>
        <v>-1148.0481261424784</v>
      </c>
      <c r="AR8" s="45">
        <f t="shared" si="19"/>
        <v>151.46308880804241</v>
      </c>
      <c r="AS8" s="45">
        <f t="shared" si="20"/>
        <v>-1152.4869967971918</v>
      </c>
      <c r="AT8" s="45">
        <f t="shared" si="6"/>
        <v>31.815412873639218</v>
      </c>
      <c r="AU8" s="45">
        <f t="shared" si="7"/>
        <v>-798.24782835116252</v>
      </c>
      <c r="AV8" s="64">
        <f t="shared" si="8"/>
        <v>766.62868877386165</v>
      </c>
      <c r="AW8" s="64">
        <f t="shared" si="9"/>
        <v>334.19563119995547</v>
      </c>
      <c r="AX8" s="64">
        <f t="shared" si="10"/>
        <v>-259.37644827286778</v>
      </c>
      <c r="AY8" s="64">
        <f t="shared" si="11"/>
        <v>143.41685747007637</v>
      </c>
      <c r="AZ8" s="64">
        <f t="shared" si="12"/>
        <v>-475.43682762735466</v>
      </c>
      <c r="BA8" s="64">
        <f t="shared" si="13"/>
        <v>-1275.8603170211943</v>
      </c>
      <c r="BB8" s="65">
        <f t="shared" si="14"/>
        <v>21641.237395032553</v>
      </c>
      <c r="BC8" s="65">
        <f t="shared" si="15"/>
        <v>23038.596137484248</v>
      </c>
      <c r="BD8" s="66">
        <f t="shared" si="16"/>
        <v>14782.445244825587</v>
      </c>
      <c r="BF8" s="44"/>
      <c r="BG8" s="143" t="s">
        <v>0</v>
      </c>
      <c r="BH8" s="144" t="s">
        <v>1</v>
      </c>
    </row>
    <row r="9" spans="2:75" x14ac:dyDescent="0.25">
      <c r="B9" s="167" t="s">
        <v>78</v>
      </c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6"/>
      <c r="AA9" s="15">
        <v>4</v>
      </c>
      <c r="AB9" s="17">
        <v>1.0053096491487339</v>
      </c>
      <c r="AC9" s="18">
        <f t="shared" si="0"/>
        <v>22679.133974894983</v>
      </c>
      <c r="AD9" s="20">
        <f t="shared" si="1"/>
        <v>11721.639627510074</v>
      </c>
      <c r="AE9" s="15">
        <v>4</v>
      </c>
      <c r="AF9" s="17">
        <v>1.0053096491487339</v>
      </c>
      <c r="AG9" s="18">
        <f t="shared" si="2"/>
        <v>-18124.606217573513</v>
      </c>
      <c r="AH9" s="20">
        <f t="shared" si="3"/>
        <v>12955.147739257052</v>
      </c>
      <c r="AI9" s="15">
        <v>4</v>
      </c>
      <c r="AJ9" s="17">
        <v>1.0053096491487339</v>
      </c>
      <c r="AK9" s="18">
        <f t="shared" si="4"/>
        <v>-2320.8660251050173</v>
      </c>
      <c r="AL9" s="20">
        <f t="shared" si="5"/>
        <v>-10778.360372489926</v>
      </c>
      <c r="AN9" s="23">
        <v>4</v>
      </c>
      <c r="AO9" s="58">
        <v>2</v>
      </c>
      <c r="AP9" s="45">
        <f t="shared" si="17"/>
        <v>245.47933971288774</v>
      </c>
      <c r="AQ9" s="45">
        <f t="shared" si="18"/>
        <v>-1923.853581628865</v>
      </c>
      <c r="AR9" s="45">
        <f t="shared" si="19"/>
        <v>167.37079524486202</v>
      </c>
      <c r="AS9" s="45">
        <f t="shared" si="20"/>
        <v>-1551.6109109727731</v>
      </c>
      <c r="AT9" s="45">
        <f t="shared" si="6"/>
        <v>-36.981117566415492</v>
      </c>
      <c r="AU9" s="45">
        <f t="shared" si="7"/>
        <v>-828.13397592494948</v>
      </c>
      <c r="AV9" s="64">
        <f t="shared" si="8"/>
        <v>742.31955908071097</v>
      </c>
      <c r="AW9" s="64">
        <f t="shared" si="9"/>
        <v>354.12202380689126</v>
      </c>
      <c r="AX9" s="64">
        <f t="shared" si="10"/>
        <v>-246.74396481082428</v>
      </c>
      <c r="AY9" s="64">
        <f t="shared" si="11"/>
        <v>145.32325262280392</v>
      </c>
      <c r="AZ9" s="64">
        <f t="shared" si="12"/>
        <v>-532.55671183630216</v>
      </c>
      <c r="BA9" s="64">
        <f t="shared" si="13"/>
        <v>-1327.5792523546447</v>
      </c>
      <c r="BB9" s="65">
        <f t="shared" si="14"/>
        <v>21887.213227034856</v>
      </c>
      <c r="BC9" s="65">
        <f t="shared" si="15"/>
        <v>23495.908535974191</v>
      </c>
      <c r="BD9" s="66">
        <f t="shared" si="16"/>
        <v>14089.026178484979</v>
      </c>
      <c r="BF9" s="44"/>
      <c r="BG9" s="118" cm="1">
        <f t="array" ref="BG9:BG12">(BF4*BG4:BG7)+BK6</f>
        <v>2500</v>
      </c>
      <c r="BH9" s="119" cm="1">
        <f t="array" ref="BH9:BH12">(BF4*BH4:BH7)+BK7</f>
        <v>-2500</v>
      </c>
      <c r="BJ9" s="46" t="s">
        <v>94</v>
      </c>
      <c r="BK9" s="132" cm="1">
        <f t="array" ref="BK9">INDEX(AG62:AG1062,BK5+1)</f>
        <v>-12500</v>
      </c>
    </row>
    <row r="10" spans="2:75" x14ac:dyDescent="0.25">
      <c r="B10" s="87" t="s">
        <v>33</v>
      </c>
      <c r="C10" s="88"/>
      <c r="D10" s="88"/>
      <c r="E10" s="88"/>
      <c r="F10" s="88"/>
      <c r="G10" s="88"/>
      <c r="H10" s="88"/>
      <c r="I10" s="88"/>
      <c r="J10" s="3" t="s">
        <v>34</v>
      </c>
      <c r="K10" s="99">
        <v>1</v>
      </c>
      <c r="L10" s="100"/>
      <c r="M10" s="169" t="s">
        <v>35</v>
      </c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6"/>
      <c r="AA10" s="16">
        <v>5</v>
      </c>
      <c r="AB10" s="17">
        <v>1.2566370614359172</v>
      </c>
      <c r="AC10" s="18">
        <f t="shared" si="0"/>
        <v>21545.084971874738</v>
      </c>
      <c r="AD10" s="20">
        <f t="shared" si="1"/>
        <v>12255.282581475767</v>
      </c>
      <c r="AE10" s="16">
        <v>5</v>
      </c>
      <c r="AF10" s="17">
        <v>1.2566370614359172</v>
      </c>
      <c r="AG10" s="18">
        <f t="shared" si="2"/>
        <v>-18918.440519687683</v>
      </c>
      <c r="AH10" s="20">
        <f t="shared" si="3"/>
        <v>13328.697807033037</v>
      </c>
      <c r="AI10" s="16">
        <v>5</v>
      </c>
      <c r="AJ10" s="17">
        <v>1.2566370614359172</v>
      </c>
      <c r="AK10" s="18">
        <f t="shared" si="4"/>
        <v>-3454.9150281252628</v>
      </c>
      <c r="AL10" s="20">
        <f t="shared" si="5"/>
        <v>-10244.717418524233</v>
      </c>
      <c r="AN10" s="23">
        <v>5</v>
      </c>
      <c r="AO10" s="58">
        <v>2.5</v>
      </c>
      <c r="AP10" s="45">
        <f t="shared" si="17"/>
        <v>319.91945794371486</v>
      </c>
      <c r="AQ10" s="45">
        <f t="shared" si="18"/>
        <v>-2906.6925310964889</v>
      </c>
      <c r="AR10" s="45">
        <f t="shared" si="19"/>
        <v>148.88023646165428</v>
      </c>
      <c r="AS10" s="45">
        <f t="shared" si="20"/>
        <v>-1965.6778989352479</v>
      </c>
      <c r="AT10" s="45">
        <f t="shared" si="6"/>
        <v>-135.02598776515515</v>
      </c>
      <c r="AU10" s="45">
        <f t="shared" si="7"/>
        <v>-869.93086396222668</v>
      </c>
      <c r="AV10" s="64">
        <f t="shared" si="8"/>
        <v>708.90524361139023</v>
      </c>
      <c r="AW10" s="64">
        <f t="shared" si="9"/>
        <v>374.86426380117666</v>
      </c>
      <c r="AX10" s="64">
        <f t="shared" si="10"/>
        <v>-231.61976990862431</v>
      </c>
      <c r="AY10" s="64">
        <f t="shared" si="11"/>
        <v>147.11894702738391</v>
      </c>
      <c r="AZ10" s="64">
        <f t="shared" si="12"/>
        <v>-612.31146146792105</v>
      </c>
      <c r="BA10" s="64">
        <f t="shared" si="13"/>
        <v>-1391.9140747907873</v>
      </c>
      <c r="BB10" s="65">
        <f t="shared" si="14"/>
        <v>22262.183621078188</v>
      </c>
      <c r="BC10" s="65">
        <f t="shared" si="15"/>
        <v>24072.429018891748</v>
      </c>
      <c r="BD10" s="66">
        <f t="shared" si="16"/>
        <v>13211.723149402033</v>
      </c>
      <c r="BF10" s="44" t="s">
        <v>87</v>
      </c>
      <c r="BG10" s="114">
        <v>0</v>
      </c>
      <c r="BH10" s="115">
        <v>2500</v>
      </c>
      <c r="BJ10" s="46" t="s">
        <v>95</v>
      </c>
      <c r="BK10" s="133" cm="1">
        <f t="array" ref="BK10">INDEX(AH62:AH1062,BK5+1)</f>
        <v>10000</v>
      </c>
    </row>
    <row r="11" spans="2:75" x14ac:dyDescent="0.25">
      <c r="B11" s="85" t="s">
        <v>36</v>
      </c>
      <c r="C11" s="86"/>
      <c r="D11" s="86"/>
      <c r="E11" s="86"/>
      <c r="F11" s="86"/>
      <c r="G11" s="86"/>
      <c r="H11" s="86"/>
      <c r="I11" s="86"/>
      <c r="J11" s="4" t="s">
        <v>37</v>
      </c>
      <c r="K11" s="41">
        <v>0</v>
      </c>
      <c r="L11" s="42">
        <v>0</v>
      </c>
      <c r="M11" s="170" t="s">
        <v>38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6"/>
      <c r="AA11" s="16">
        <v>6</v>
      </c>
      <c r="AB11" s="17">
        <v>1.5079644737231008</v>
      </c>
      <c r="AC11" s="18">
        <f t="shared" si="0"/>
        <v>20313.952597646567</v>
      </c>
      <c r="AD11" s="20">
        <f t="shared" si="1"/>
        <v>12490.133642141358</v>
      </c>
      <c r="AE11" s="16">
        <v>6</v>
      </c>
      <c r="AF11" s="17">
        <v>1.5079644737231008</v>
      </c>
      <c r="AG11" s="18">
        <f t="shared" si="2"/>
        <v>-19780.233181647403</v>
      </c>
      <c r="AH11" s="20">
        <f t="shared" si="3"/>
        <v>13493.09354949895</v>
      </c>
      <c r="AI11" s="16">
        <v>6</v>
      </c>
      <c r="AJ11" s="17">
        <v>1.5079644737231008</v>
      </c>
      <c r="AK11" s="18">
        <f t="shared" si="4"/>
        <v>-4686.0474023534334</v>
      </c>
      <c r="AL11" s="20">
        <f t="shared" si="5"/>
        <v>-10009.866357858642</v>
      </c>
      <c r="AN11" s="23">
        <v>6</v>
      </c>
      <c r="AO11" s="58">
        <v>3</v>
      </c>
      <c r="AP11" s="45">
        <f t="shared" si="17"/>
        <v>360.6030792332532</v>
      </c>
      <c r="AQ11" s="45">
        <f t="shared" si="18"/>
        <v>-4107.0141965546691</v>
      </c>
      <c r="AR11" s="45">
        <f t="shared" si="19"/>
        <v>81.367242579076702</v>
      </c>
      <c r="AS11" s="45">
        <f t="shared" si="20"/>
        <v>-2400.6433309163613</v>
      </c>
      <c r="AT11" s="45">
        <f t="shared" si="6"/>
        <v>-270.32423860794836</v>
      </c>
      <c r="AU11" s="45">
        <f t="shared" si="7"/>
        <v>-923.94684774067059</v>
      </c>
      <c r="AV11" s="64">
        <f t="shared" si="8"/>
        <v>665.40944539221425</v>
      </c>
      <c r="AW11" s="64">
        <f t="shared" si="9"/>
        <v>393.26140768723099</v>
      </c>
      <c r="AX11" s="64">
        <f t="shared" si="10"/>
        <v>-214.40928404575047</v>
      </c>
      <c r="AY11" s="64">
        <f t="shared" si="11"/>
        <v>148.55526637084409</v>
      </c>
      <c r="AZ11" s="64">
        <f t="shared" si="12"/>
        <v>-721.32439995441212</v>
      </c>
      <c r="BA11" s="64">
        <f t="shared" si="13"/>
        <v>-1465.7635217987456</v>
      </c>
      <c r="BB11" s="65">
        <f t="shared" si="14"/>
        <v>22812.906214913608</v>
      </c>
      <c r="BC11" s="65">
        <f t="shared" si="15"/>
        <v>24770.183836457039</v>
      </c>
      <c r="BD11" s="66">
        <f t="shared" si="16"/>
        <v>12140.560328384625</v>
      </c>
      <c r="BF11" s="78" t="s">
        <v>88</v>
      </c>
      <c r="BG11" s="112">
        <v>-2500</v>
      </c>
      <c r="BH11" s="113">
        <v>-2500</v>
      </c>
    </row>
    <row r="12" spans="2:75" x14ac:dyDescent="0.25">
      <c r="B12" s="89" t="s">
        <v>39</v>
      </c>
      <c r="C12" s="90"/>
      <c r="D12" s="90"/>
      <c r="E12" s="90"/>
      <c r="F12" s="90"/>
      <c r="G12" s="90"/>
      <c r="H12" s="90"/>
      <c r="I12" s="90"/>
      <c r="J12" s="4" t="s">
        <v>40</v>
      </c>
      <c r="K12" s="41">
        <v>0</v>
      </c>
      <c r="L12" s="42">
        <v>0</v>
      </c>
      <c r="M12" s="170" t="s">
        <v>29</v>
      </c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6"/>
      <c r="AA12" s="16">
        <v>7</v>
      </c>
      <c r="AB12" s="17">
        <v>1.7592918860102844</v>
      </c>
      <c r="AC12" s="18">
        <f t="shared" si="0"/>
        <v>19063.093427071377</v>
      </c>
      <c r="AD12" s="20">
        <f t="shared" si="1"/>
        <v>12411.436253643442</v>
      </c>
      <c r="AE12" s="16">
        <v>7</v>
      </c>
      <c r="AF12" s="17">
        <v>1.7592918860102844</v>
      </c>
      <c r="AG12" s="18">
        <f t="shared" si="2"/>
        <v>-20655.834601050035</v>
      </c>
      <c r="AH12" s="20">
        <f t="shared" si="3"/>
        <v>13438.005377550409</v>
      </c>
      <c r="AI12" s="16">
        <v>7</v>
      </c>
      <c r="AJ12" s="17">
        <v>1.7592918860102844</v>
      </c>
      <c r="AK12" s="18">
        <f t="shared" si="4"/>
        <v>-5936.906572928624</v>
      </c>
      <c r="AL12" s="20">
        <f t="shared" si="5"/>
        <v>-10088.563746356558</v>
      </c>
      <c r="AN12" s="23">
        <v>7</v>
      </c>
      <c r="AO12" s="58">
        <v>3.5</v>
      </c>
      <c r="AP12" s="45">
        <f t="shared" si="17"/>
        <v>333.70564087080447</v>
      </c>
      <c r="AQ12" s="45">
        <f t="shared" si="18"/>
        <v>-5538.3225739480167</v>
      </c>
      <c r="AR12" s="45">
        <f t="shared" si="19"/>
        <v>-53.794876724897478</v>
      </c>
      <c r="AS12" s="45">
        <f t="shared" si="20"/>
        <v>-2862.6167547866967</v>
      </c>
      <c r="AT12" s="45">
        <f t="shared" si="6"/>
        <v>-451.55807128185268</v>
      </c>
      <c r="AU12" s="45">
        <f t="shared" si="7"/>
        <v>-984.41458434066465</v>
      </c>
      <c r="AV12" s="64">
        <f t="shared" si="8"/>
        <v>611.80093298232623</v>
      </c>
      <c r="AW12" s="64">
        <f t="shared" si="9"/>
        <v>405.61062341482875</v>
      </c>
      <c r="AX12" s="64">
        <f t="shared" si="10"/>
        <v>-195.54364339188908</v>
      </c>
      <c r="AY12" s="64">
        <f t="shared" si="11"/>
        <v>149.42776599465458</v>
      </c>
      <c r="AZ12" s="64">
        <f t="shared" si="12"/>
        <v>-867.81536087228983</v>
      </c>
      <c r="BA12" s="64">
        <f t="shared" si="13"/>
        <v>-1539.452973750148</v>
      </c>
      <c r="BB12" s="65">
        <f t="shared" si="14"/>
        <v>23595.783296221365</v>
      </c>
      <c r="BC12" s="65">
        <f t="shared" si="15"/>
        <v>25590.995555109686</v>
      </c>
      <c r="BD12" s="66">
        <f t="shared" si="16"/>
        <v>10861.480358501723</v>
      </c>
      <c r="BF12" s="44"/>
      <c r="BG12" s="120">
        <v>2500</v>
      </c>
      <c r="BH12" s="121">
        <v>-2500</v>
      </c>
    </row>
    <row r="13" spans="2:75" x14ac:dyDescent="0.25">
      <c r="B13" s="89" t="s">
        <v>41</v>
      </c>
      <c r="C13" s="90"/>
      <c r="D13" s="90"/>
      <c r="E13" s="90"/>
      <c r="F13" s="90"/>
      <c r="G13" s="90"/>
      <c r="H13" s="90"/>
      <c r="I13" s="90"/>
      <c r="J13" s="3" t="s">
        <v>42</v>
      </c>
      <c r="K13" s="39">
        <v>0</v>
      </c>
      <c r="L13" s="40">
        <v>0</v>
      </c>
      <c r="M13" s="170" t="s">
        <v>43</v>
      </c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AA13" s="15">
        <v>8</v>
      </c>
      <c r="AB13" s="17">
        <v>2.0106192982974678</v>
      </c>
      <c r="AC13" s="18">
        <f t="shared" si="0"/>
        <v>17871.103542174635</v>
      </c>
      <c r="AD13" s="20">
        <f t="shared" si="1"/>
        <v>12024.135262330097</v>
      </c>
      <c r="AE13" s="15">
        <v>8</v>
      </c>
      <c r="AF13" s="17">
        <v>2.0106192982974678</v>
      </c>
      <c r="AG13" s="18">
        <f t="shared" si="2"/>
        <v>-21490.227520477754</v>
      </c>
      <c r="AH13" s="20">
        <f t="shared" si="3"/>
        <v>13166.894683631068</v>
      </c>
      <c r="AI13" s="15">
        <v>8</v>
      </c>
      <c r="AJ13" s="17">
        <v>2.0106192982974678</v>
      </c>
      <c r="AK13" s="18">
        <f t="shared" si="4"/>
        <v>-7128.8964578253635</v>
      </c>
      <c r="AL13" s="20">
        <f t="shared" si="5"/>
        <v>-10475.864737669903</v>
      </c>
      <c r="AN13" s="23">
        <v>8</v>
      </c>
      <c r="AO13" s="58">
        <v>4</v>
      </c>
      <c r="AP13" s="45">
        <f t="shared" si="17"/>
        <v>193.91868468789258</v>
      </c>
      <c r="AQ13" s="45">
        <f t="shared" si="18"/>
        <v>-7215.7345974265318</v>
      </c>
      <c r="AR13" s="45">
        <f t="shared" si="19"/>
        <v>-279.57391236582384</v>
      </c>
      <c r="AS13" s="45">
        <f t="shared" si="20"/>
        <v>-3354.8240469570292</v>
      </c>
      <c r="AT13" s="45">
        <f t="shared" si="6"/>
        <v>-684.56744066747547</v>
      </c>
      <c r="AU13" s="45">
        <f t="shared" si="7"/>
        <v>-1028.7279933662858</v>
      </c>
      <c r="AV13" s="64">
        <f t="shared" si="8"/>
        <v>549.51638063571841</v>
      </c>
      <c r="AW13" s="64">
        <f t="shared" si="9"/>
        <v>408.28557076163958</v>
      </c>
      <c r="AX13" s="64">
        <f t="shared" si="10"/>
        <v>-175.45621209604042</v>
      </c>
      <c r="AY13" s="64">
        <f t="shared" si="11"/>
        <v>149.58006061525825</v>
      </c>
      <c r="AZ13" s="64">
        <f t="shared" si="12"/>
        <v>-1058.6276092071535</v>
      </c>
      <c r="BA13" s="64">
        <f t="shared" si="13"/>
        <v>-1586.5936247431835</v>
      </c>
      <c r="BB13" s="65">
        <f t="shared" si="14"/>
        <v>24674.555757108406</v>
      </c>
      <c r="BC13" s="65">
        <f t="shared" si="15"/>
        <v>26536.312282847735</v>
      </c>
      <c r="BD13" s="66">
        <f t="shared" si="16"/>
        <v>9357.9687518634237</v>
      </c>
      <c r="BF13" s="111"/>
      <c r="BG13" s="44" t="s">
        <v>0</v>
      </c>
      <c r="BH13" s="44" t="s">
        <v>1</v>
      </c>
    </row>
    <row r="14" spans="2:75" ht="15.75" thickBot="1" x14ac:dyDescent="0.3">
      <c r="B14" s="171" t="s">
        <v>44</v>
      </c>
      <c r="C14" s="172"/>
      <c r="D14" s="172"/>
      <c r="E14" s="172"/>
      <c r="F14" s="172"/>
      <c r="G14" s="172"/>
      <c r="H14" s="172"/>
      <c r="I14" s="172"/>
      <c r="J14" s="173" t="s">
        <v>45</v>
      </c>
      <c r="K14" s="174">
        <v>2500</v>
      </c>
      <c r="L14" s="175"/>
      <c r="M14" s="176" t="s">
        <v>38</v>
      </c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AA14" s="16">
        <v>9</v>
      </c>
      <c r="AB14" s="17">
        <v>2.2619467105846511</v>
      </c>
      <c r="AC14" s="18">
        <f t="shared" si="0"/>
        <v>16812.88005125655</v>
      </c>
      <c r="AD14" s="20">
        <f t="shared" si="1"/>
        <v>11352.566213878947</v>
      </c>
      <c r="AE14" s="16">
        <v>9</v>
      </c>
      <c r="AF14" s="17">
        <v>2.2619467105846511</v>
      </c>
      <c r="AG14" s="18">
        <f t="shared" si="2"/>
        <v>-22230.983964120413</v>
      </c>
      <c r="AH14" s="20">
        <f t="shared" si="3"/>
        <v>12696.796349715263</v>
      </c>
      <c r="AI14" s="16">
        <v>9</v>
      </c>
      <c r="AJ14" s="17">
        <v>2.2619467105846511</v>
      </c>
      <c r="AK14" s="18">
        <f t="shared" si="4"/>
        <v>-8187.1199487434487</v>
      </c>
      <c r="AL14" s="20">
        <f t="shared" si="5"/>
        <v>-11147.433786121053</v>
      </c>
      <c r="AN14" s="23">
        <v>9</v>
      </c>
      <c r="AO14" s="58">
        <v>4.5</v>
      </c>
      <c r="AP14" s="45">
        <f t="shared" si="17"/>
        <v>-117.01013166188821</v>
      </c>
      <c r="AQ14" s="45">
        <f t="shared" si="18"/>
        <v>-9150.3286192466185</v>
      </c>
      <c r="AR14" s="45">
        <f t="shared" si="19"/>
        <v>-621.85763269956158</v>
      </c>
      <c r="AS14" s="45">
        <f t="shared" si="20"/>
        <v>-3869.1880436401721</v>
      </c>
      <c r="AT14" s="45">
        <f t="shared" si="6"/>
        <v>-959.44897816101775</v>
      </c>
      <c r="AU14" s="45">
        <f t="shared" si="7"/>
        <v>-993.68319856630114</v>
      </c>
      <c r="AV14" s="64">
        <f t="shared" si="8"/>
        <v>481.7395391600611</v>
      </c>
      <c r="AW14" s="64">
        <f t="shared" si="9"/>
        <v>398.72334822136952</v>
      </c>
      <c r="AX14" s="64">
        <f t="shared" si="10"/>
        <v>-154.59243362558627</v>
      </c>
      <c r="AY14" s="64">
        <f t="shared" si="11"/>
        <v>148.89591181119968</v>
      </c>
      <c r="AZ14" s="64">
        <f t="shared" si="12"/>
        <v>-1286.5960836954926</v>
      </c>
      <c r="BA14" s="64">
        <f t="shared" si="13"/>
        <v>-1541.3024585988703</v>
      </c>
      <c r="BB14" s="65">
        <f t="shared" si="14"/>
        <v>26113.742354673912</v>
      </c>
      <c r="BC14" s="65">
        <f t="shared" si="15"/>
        <v>27605.585889989223</v>
      </c>
      <c r="BD14" s="66">
        <f t="shared" si="16"/>
        <v>7619.8586152958123</v>
      </c>
      <c r="BF14" s="111"/>
      <c r="BG14" s="122" cm="1">
        <f t="array" ref="BG14:BG17">BF4*BG4:BG7</f>
        <v>2500</v>
      </c>
      <c r="BH14" s="123" cm="1">
        <f t="array" ref="BH14:BH17">BF4*BH4:BH7</f>
        <v>-2500</v>
      </c>
    </row>
    <row r="15" spans="2:75" ht="15.75" thickTop="1" x14ac:dyDescent="0.25"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AA15" s="16">
        <v>10</v>
      </c>
      <c r="AB15" s="17">
        <v>2.5132741228718345</v>
      </c>
      <c r="AC15" s="18">
        <f t="shared" si="0"/>
        <v>15954.915028125262</v>
      </c>
      <c r="AD15" s="20">
        <f t="shared" si="1"/>
        <v>10438.926261462366</v>
      </c>
      <c r="AE15" s="16">
        <v>10</v>
      </c>
      <c r="AF15" s="17">
        <v>2.5132741228718345</v>
      </c>
      <c r="AG15" s="18">
        <f t="shared" si="2"/>
        <v>-22831.559480312317</v>
      </c>
      <c r="AH15" s="20">
        <f t="shared" si="3"/>
        <v>12057.248383023656</v>
      </c>
      <c r="AI15" s="16">
        <v>10</v>
      </c>
      <c r="AJ15" s="17">
        <v>2.5132741228718345</v>
      </c>
      <c r="AK15" s="18">
        <f t="shared" si="4"/>
        <v>-9045.0849718747377</v>
      </c>
      <c r="AL15" s="20">
        <f t="shared" si="5"/>
        <v>-12061.073738537634</v>
      </c>
      <c r="AN15" s="23">
        <v>10</v>
      </c>
      <c r="AO15" s="58">
        <v>5</v>
      </c>
      <c r="AP15" s="45">
        <f t="shared" si="17"/>
        <v>-667.80119255192346</v>
      </c>
      <c r="AQ15" s="45">
        <f t="shared" si="18"/>
        <v>-11333.34344070828</v>
      </c>
      <c r="AR15" s="45">
        <f t="shared" si="19"/>
        <v>-1101.5821217800703</v>
      </c>
      <c r="AS15" s="45">
        <f t="shared" si="20"/>
        <v>-4366.0296429233222</v>
      </c>
      <c r="AT15" s="45">
        <f t="shared" si="6"/>
        <v>-1212.3569982398124</v>
      </c>
      <c r="AU15" s="45">
        <f t="shared" si="7"/>
        <v>-739.01138950571988</v>
      </c>
      <c r="AV15" s="64">
        <f t="shared" si="8"/>
        <v>413.23655015571961</v>
      </c>
      <c r="AW15" s="64">
        <f t="shared" si="9"/>
        <v>376.55799950992241</v>
      </c>
      <c r="AX15" s="64">
        <f t="shared" si="10"/>
        <v>-133.48943627013216</v>
      </c>
      <c r="AY15" s="64">
        <f t="shared" si="11"/>
        <v>147.30740243371145</v>
      </c>
      <c r="AZ15" s="64">
        <f t="shared" si="12"/>
        <v>-1492.1041121253998</v>
      </c>
      <c r="BA15" s="64">
        <f t="shared" si="13"/>
        <v>-1262.8767914493537</v>
      </c>
      <c r="BB15" s="65">
        <f t="shared" si="14"/>
        <v>27961.631413251274</v>
      </c>
      <c r="BC15" s="65">
        <f t="shared" si="15"/>
        <v>28789.67615465495</v>
      </c>
      <c r="BD15" s="66">
        <f t="shared" si="16"/>
        <v>5675.5895580152319</v>
      </c>
      <c r="BF15" s="78" t="s">
        <v>85</v>
      </c>
      <c r="BG15" s="112">
        <v>0</v>
      </c>
      <c r="BH15" s="113">
        <v>2500</v>
      </c>
    </row>
    <row r="16" spans="2:75" x14ac:dyDescent="0.25">
      <c r="B16" s="151" t="s">
        <v>77</v>
      </c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2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AA16" s="16">
        <v>11</v>
      </c>
      <c r="AB16" s="17">
        <v>2.7646015351590183</v>
      </c>
      <c r="AC16" s="18">
        <f t="shared" si="0"/>
        <v>15351.117570558743</v>
      </c>
      <c r="AD16" s="20">
        <f t="shared" si="1"/>
        <v>9340.6227634233892</v>
      </c>
      <c r="AE16" s="16">
        <v>11</v>
      </c>
      <c r="AF16" s="17">
        <v>2.7646015351590183</v>
      </c>
      <c r="AG16" s="18">
        <f t="shared" si="2"/>
        <v>-23254.217700608879</v>
      </c>
      <c r="AH16" s="20">
        <f t="shared" si="3"/>
        <v>11288.435934396372</v>
      </c>
      <c r="AI16" s="16">
        <v>11</v>
      </c>
      <c r="AJ16" s="17">
        <v>2.7646015351590183</v>
      </c>
      <c r="AK16" s="18">
        <f t="shared" si="4"/>
        <v>-9648.882429441257</v>
      </c>
      <c r="AL16" s="20">
        <f t="shared" si="5"/>
        <v>-13159.377236576611</v>
      </c>
      <c r="AN16" s="23">
        <v>11</v>
      </c>
      <c r="AO16" s="58">
        <v>5.5</v>
      </c>
      <c r="AP16" s="45">
        <f t="shared" si="17"/>
        <v>-1521.6815030019118</v>
      </c>
      <c r="AQ16" s="45">
        <f t="shared" si="18"/>
        <v>-13701.111109546373</v>
      </c>
      <c r="AR16" s="45">
        <f t="shared" si="19"/>
        <v>-1707.7606208999764</v>
      </c>
      <c r="AS16" s="45">
        <f t="shared" si="20"/>
        <v>-4735.5353376761823</v>
      </c>
      <c r="AT16" s="45">
        <f t="shared" si="6"/>
        <v>-1263.7631013861205</v>
      </c>
      <c r="AU16" s="45">
        <f t="shared" si="7"/>
        <v>-70.980861307608507</v>
      </c>
      <c r="AV16" s="64">
        <f t="shared" si="8"/>
        <v>349.68175932540106</v>
      </c>
      <c r="AW16" s="64">
        <f t="shared" si="9"/>
        <v>344.4731691343635</v>
      </c>
      <c r="AX16" s="64">
        <f t="shared" si="10"/>
        <v>-112.94555285336048</v>
      </c>
      <c r="AY16" s="64">
        <f t="shared" si="11"/>
        <v>144.86897700900238</v>
      </c>
      <c r="AZ16" s="64">
        <f t="shared" si="12"/>
        <v>-1500.499307858161</v>
      </c>
      <c r="BA16" s="64">
        <f t="shared" si="13"/>
        <v>-560.32300745097439</v>
      </c>
      <c r="BB16" s="65">
        <f t="shared" si="14"/>
        <v>30210.426792681781</v>
      </c>
      <c r="BC16" s="65">
        <f t="shared" si="15"/>
        <v>30053.134982952513</v>
      </c>
      <c r="BD16" s="66">
        <f t="shared" si="16"/>
        <v>3712.9249812382277</v>
      </c>
      <c r="BF16" s="78" t="s">
        <v>92</v>
      </c>
      <c r="BG16" s="114">
        <v>-2500</v>
      </c>
      <c r="BH16" s="115">
        <v>-2500</v>
      </c>
    </row>
    <row r="17" spans="2:60" ht="15.75" thickBot="1" x14ac:dyDescent="0.3">
      <c r="B17" s="150" t="s">
        <v>6</v>
      </c>
      <c r="C17" s="103"/>
      <c r="D17" s="103"/>
      <c r="E17" s="103"/>
      <c r="F17" s="103"/>
      <c r="G17" s="103"/>
      <c r="H17" s="103"/>
      <c r="I17" s="103"/>
      <c r="J17" s="103"/>
      <c r="K17" s="36" t="s">
        <v>0</v>
      </c>
      <c r="L17" s="36" t="s">
        <v>1</v>
      </c>
      <c r="M17" s="153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AA17" s="15">
        <v>12</v>
      </c>
      <c r="AB17" s="17">
        <v>3.0159289474462017</v>
      </c>
      <c r="AC17" s="18">
        <f t="shared" si="0"/>
        <v>15039.426493427611</v>
      </c>
      <c r="AD17" s="20">
        <f t="shared" si="1"/>
        <v>8126.6661678215205</v>
      </c>
      <c r="AE17" s="15">
        <v>12</v>
      </c>
      <c r="AF17" s="17">
        <v>3.0159289474462017</v>
      </c>
      <c r="AG17" s="18">
        <f t="shared" si="2"/>
        <v>-23472.401454600673</v>
      </c>
      <c r="AH17" s="20">
        <f t="shared" si="3"/>
        <v>10438.666317475065</v>
      </c>
      <c r="AI17" s="15">
        <v>12</v>
      </c>
      <c r="AJ17" s="17">
        <v>3.0159289474462017</v>
      </c>
      <c r="AK17" s="18">
        <f t="shared" si="4"/>
        <v>-9960.5735065723893</v>
      </c>
      <c r="AL17" s="20">
        <f t="shared" si="5"/>
        <v>-14373.333832178479</v>
      </c>
      <c r="AN17" s="23">
        <v>12</v>
      </c>
      <c r="AO17" s="58">
        <v>6</v>
      </c>
      <c r="AP17" s="45">
        <f t="shared" si="17"/>
        <v>-2691.5025887984302</v>
      </c>
      <c r="AQ17" s="45">
        <f t="shared" si="18"/>
        <v>-16086.623993711366</v>
      </c>
      <c r="AR17" s="45">
        <f t="shared" si="19"/>
        <v>-2339.6421715930364</v>
      </c>
      <c r="AS17" s="45">
        <f t="shared" si="20"/>
        <v>-4771.0257683299869</v>
      </c>
      <c r="AT17" s="45">
        <f t="shared" si="6"/>
        <v>-897.3685292610536</v>
      </c>
      <c r="AU17" s="45">
        <f t="shared" si="7"/>
        <v>967.61829201693456</v>
      </c>
      <c r="AV17" s="64">
        <f t="shared" si="8"/>
        <v>296.41273555842884</v>
      </c>
      <c r="AW17" s="64">
        <f t="shared" si="9"/>
        <v>308.10545547632995</v>
      </c>
      <c r="AX17" s="64">
        <f t="shared" si="10"/>
        <v>-94.160390959170158</v>
      </c>
      <c r="AY17" s="64">
        <f t="shared" si="11"/>
        <v>141.91449758446771</v>
      </c>
      <c r="AZ17" s="64">
        <f t="shared" si="12"/>
        <v>-1099.6208738603123</v>
      </c>
      <c r="BA17" s="64">
        <f t="shared" si="13"/>
        <v>517.5983389561369</v>
      </c>
      <c r="BB17" s="65">
        <f t="shared" si="14"/>
        <v>32729.697847034371</v>
      </c>
      <c r="BC17" s="65">
        <f t="shared" si="15"/>
        <v>31306.485494588</v>
      </c>
      <c r="BD17" s="66">
        <f t="shared" si="16"/>
        <v>2551.4529196584422</v>
      </c>
      <c r="BF17" s="111"/>
      <c r="BG17" s="116">
        <v>2500</v>
      </c>
      <c r="BH17" s="117">
        <v>-2500</v>
      </c>
    </row>
    <row r="18" spans="2:60" x14ac:dyDescent="0.25">
      <c r="B18" s="91" t="s">
        <v>46</v>
      </c>
      <c r="C18" s="92"/>
      <c r="D18" s="92"/>
      <c r="E18" s="92"/>
      <c r="F18" s="92"/>
      <c r="G18" s="92"/>
      <c r="H18" s="92"/>
      <c r="I18" s="92"/>
      <c r="J18" s="3" t="s">
        <v>47</v>
      </c>
      <c r="K18" s="7">
        <v>20000</v>
      </c>
      <c r="L18" s="8">
        <v>7500</v>
      </c>
      <c r="M18" s="154" t="s">
        <v>38</v>
      </c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AA18" s="16">
        <v>13</v>
      </c>
      <c r="AB18" s="17">
        <v>3.267256359733385</v>
      </c>
      <c r="AC18" s="18">
        <f t="shared" si="0"/>
        <v>15039.426493427611</v>
      </c>
      <c r="AD18" s="20">
        <f t="shared" si="1"/>
        <v>6873.3338321784786</v>
      </c>
      <c r="AE18" s="16">
        <v>13</v>
      </c>
      <c r="AF18" s="17">
        <v>3.267256359733385</v>
      </c>
      <c r="AG18" s="18">
        <f t="shared" si="2"/>
        <v>-23472.401454600673</v>
      </c>
      <c r="AH18" s="20">
        <f t="shared" si="3"/>
        <v>9561.3336825249353</v>
      </c>
      <c r="AI18" s="16">
        <v>13</v>
      </c>
      <c r="AJ18" s="17">
        <v>3.267256359733385</v>
      </c>
      <c r="AK18" s="18">
        <f t="shared" si="4"/>
        <v>-9960.5735065723893</v>
      </c>
      <c r="AL18" s="20">
        <f t="shared" si="5"/>
        <v>-15626.666167821521</v>
      </c>
      <c r="AN18" s="23">
        <v>13</v>
      </c>
      <c r="AO18" s="58">
        <v>6.5</v>
      </c>
      <c r="AP18" s="45">
        <f t="shared" si="17"/>
        <v>-4085.6658069102118</v>
      </c>
      <c r="AQ18" s="45">
        <f t="shared" si="18"/>
        <v>-18230.232304872126</v>
      </c>
      <c r="AR18" s="45">
        <f t="shared" si="19"/>
        <v>-2788.3264362235632</v>
      </c>
      <c r="AS18" s="45">
        <f t="shared" si="20"/>
        <v>-4287.2166223215199</v>
      </c>
      <c r="AT18" s="45">
        <f t="shared" si="6"/>
        <v>-229.83012320046609</v>
      </c>
      <c r="AU18" s="45">
        <f t="shared" si="7"/>
        <v>1854.1042791789707</v>
      </c>
      <c r="AV18" s="64">
        <f t="shared" si="8"/>
        <v>256.47723675102799</v>
      </c>
      <c r="AW18" s="64">
        <f t="shared" si="9"/>
        <v>273.98947305090951</v>
      </c>
      <c r="AX18" s="64">
        <f t="shared" si="10"/>
        <v>-78.425806928661842</v>
      </c>
      <c r="AY18" s="64">
        <f t="shared" si="11"/>
        <v>139.11852807857412</v>
      </c>
      <c r="AZ18" s="64">
        <f t="shared" si="12"/>
        <v>-407.88155302283224</v>
      </c>
      <c r="BA18" s="64">
        <f t="shared" si="13"/>
        <v>1440.996278049487</v>
      </c>
      <c r="BB18" s="65">
        <f t="shared" si="14"/>
        <v>35244.349218347743</v>
      </c>
      <c r="BC18" s="65">
        <f t="shared" si="15"/>
        <v>32406.97531082456</v>
      </c>
      <c r="BD18" s="66">
        <f t="shared" si="16"/>
        <v>3357.1427970958644</v>
      </c>
      <c r="BF18" s="111"/>
      <c r="BG18" s="44" t="s">
        <v>0</v>
      </c>
      <c r="BH18" s="44" t="s">
        <v>1</v>
      </c>
    </row>
    <row r="19" spans="2:60" x14ac:dyDescent="0.25">
      <c r="B19" s="89" t="s">
        <v>3</v>
      </c>
      <c r="C19" s="90"/>
      <c r="D19" s="90"/>
      <c r="E19" s="90"/>
      <c r="F19" s="90"/>
      <c r="G19" s="90"/>
      <c r="H19" s="90"/>
      <c r="I19" s="90"/>
      <c r="J19" s="4" t="s">
        <v>48</v>
      </c>
      <c r="K19" s="97">
        <v>5000</v>
      </c>
      <c r="L19" s="98"/>
      <c r="M19" s="155" t="s">
        <v>38</v>
      </c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AA19" s="16">
        <v>14</v>
      </c>
      <c r="AB19" s="17">
        <v>3.5185837720205688</v>
      </c>
      <c r="AC19" s="18">
        <f t="shared" si="0"/>
        <v>15351.117570558745</v>
      </c>
      <c r="AD19" s="20">
        <f t="shared" si="1"/>
        <v>5659.377236576609</v>
      </c>
      <c r="AE19" s="16">
        <v>14</v>
      </c>
      <c r="AF19" s="17">
        <v>3.5185837720205688</v>
      </c>
      <c r="AG19" s="18">
        <f t="shared" si="2"/>
        <v>-23254.217700608879</v>
      </c>
      <c r="AH19" s="20">
        <f t="shared" si="3"/>
        <v>8711.5640656036267</v>
      </c>
      <c r="AI19" s="16">
        <v>14</v>
      </c>
      <c r="AJ19" s="17">
        <v>3.5185837720205688</v>
      </c>
      <c r="AK19" s="18">
        <f t="shared" si="4"/>
        <v>-9648.8824294412552</v>
      </c>
      <c r="AL19" s="20">
        <f t="shared" si="5"/>
        <v>-16840.622763423391</v>
      </c>
      <c r="AN19" s="23">
        <v>14</v>
      </c>
      <c r="AO19" s="58">
        <v>7</v>
      </c>
      <c r="AP19" s="45">
        <f t="shared" si="17"/>
        <v>-5537.2865558221101</v>
      </c>
      <c r="AQ19" s="45">
        <f t="shared" si="18"/>
        <v>-19910.314546238144</v>
      </c>
      <c r="AR19" s="45">
        <f t="shared" si="19"/>
        <v>-2903.2414978237962</v>
      </c>
      <c r="AS19" s="45">
        <f t="shared" si="20"/>
        <v>-3360.1644827320347</v>
      </c>
      <c r="AT19" s="45">
        <f t="shared" si="6"/>
        <v>365.76066165214729</v>
      </c>
      <c r="AU19" s="45">
        <f t="shared" si="7"/>
        <v>2236.4404847250503</v>
      </c>
      <c r="AV19" s="64">
        <f t="shared" si="8"/>
        <v>229.36524162445536</v>
      </c>
      <c r="AW19" s="64">
        <f t="shared" si="9"/>
        <v>246.18799672226342</v>
      </c>
      <c r="AX19" s="64">
        <f t="shared" si="10"/>
        <v>-66.361053107372229</v>
      </c>
      <c r="AY19" s="64">
        <f t="shared" si="11"/>
        <v>137.24118781183145</v>
      </c>
      <c r="AZ19" s="64">
        <f t="shared" si="12"/>
        <v>202.75647313506411</v>
      </c>
      <c r="BA19" s="64">
        <f t="shared" si="13"/>
        <v>1853.0113001909554</v>
      </c>
      <c r="BB19" s="65">
        <f t="shared" si="14"/>
        <v>37463.026414825152</v>
      </c>
      <c r="BC19" s="65">
        <f t="shared" si="15"/>
        <v>33223.440466383203</v>
      </c>
      <c r="BD19" s="66">
        <f t="shared" si="16"/>
        <v>4939.6220286642465</v>
      </c>
      <c r="BF19" s="111"/>
      <c r="BG19" s="125" cm="1">
        <f t="array" ref="BG19:BG44">(COS(AF34:AF59)*$AL$32+BK9)</f>
        <v>-11500</v>
      </c>
      <c r="BH19" s="126" cm="1">
        <f t="array" ref="BH19:BH44">(SIN(AF34:AF59)*$AL$32+BK10)</f>
        <v>10000</v>
      </c>
    </row>
    <row r="20" spans="2:60" x14ac:dyDescent="0.25">
      <c r="B20" s="85" t="s">
        <v>49</v>
      </c>
      <c r="C20" s="86"/>
      <c r="D20" s="86"/>
      <c r="E20" s="86"/>
      <c r="F20" s="86"/>
      <c r="G20" s="86"/>
      <c r="H20" s="86"/>
      <c r="I20" s="86"/>
      <c r="J20" s="9" t="s">
        <v>50</v>
      </c>
      <c r="K20" s="97">
        <v>1</v>
      </c>
      <c r="L20" s="98"/>
      <c r="M20" s="155" t="s">
        <v>51</v>
      </c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AA20" s="16">
        <v>15</v>
      </c>
      <c r="AB20" s="17">
        <v>3.7699111843077522</v>
      </c>
      <c r="AC20" s="18">
        <f t="shared" si="0"/>
        <v>15954.915028125264</v>
      </c>
      <c r="AD20" s="20">
        <f t="shared" si="1"/>
        <v>4561.0737385376333</v>
      </c>
      <c r="AE20" s="16">
        <v>15</v>
      </c>
      <c r="AF20" s="17">
        <v>3.7699111843077522</v>
      </c>
      <c r="AG20" s="18">
        <f t="shared" si="2"/>
        <v>-22831.559480312317</v>
      </c>
      <c r="AH20" s="20">
        <f t="shared" si="3"/>
        <v>7942.751616976343</v>
      </c>
      <c r="AI20" s="16">
        <v>15</v>
      </c>
      <c r="AJ20" s="17">
        <v>3.7699111843077522</v>
      </c>
      <c r="AK20" s="18">
        <f t="shared" si="4"/>
        <v>-9045.0849718747359</v>
      </c>
      <c r="AL20" s="20">
        <f t="shared" si="5"/>
        <v>-17938.926261462366</v>
      </c>
      <c r="AN20" s="23">
        <v>15</v>
      </c>
      <c r="AO20" s="58">
        <v>7.5</v>
      </c>
      <c r="AP20" s="45">
        <f t="shared" si="17"/>
        <v>-6897.467139320971</v>
      </c>
      <c r="AQ20" s="45">
        <f t="shared" si="18"/>
        <v>-21031.286666422897</v>
      </c>
      <c r="AR20" s="45">
        <f t="shared" si="19"/>
        <v>-2720.3611669977226</v>
      </c>
      <c r="AS20" s="45">
        <f t="shared" si="20"/>
        <v>-2241.9442403695093</v>
      </c>
      <c r="AT20" s="45">
        <f t="shared" si="6"/>
        <v>754.66372878615414</v>
      </c>
      <c r="AU20" s="45">
        <f t="shared" si="7"/>
        <v>2269.1918979138572</v>
      </c>
      <c r="AV20" s="64">
        <f t="shared" si="8"/>
        <v>212.53714356646336</v>
      </c>
      <c r="AW20" s="64">
        <f t="shared" si="9"/>
        <v>225.44718203197067</v>
      </c>
      <c r="AX20" s="64">
        <f t="shared" si="10"/>
        <v>-57.787132273267289</v>
      </c>
      <c r="AY20" s="64">
        <f t="shared" si="11"/>
        <v>136.85972676196928</v>
      </c>
      <c r="AZ20" s="64">
        <f t="shared" si="12"/>
        <v>599.91371749295809</v>
      </c>
      <c r="BA20" s="64">
        <f t="shared" si="13"/>
        <v>1906.8849891199175</v>
      </c>
      <c r="BB20" s="65">
        <f t="shared" si="14"/>
        <v>39211.07059686655</v>
      </c>
      <c r="BC20" s="65">
        <f t="shared" si="15"/>
        <v>33684.078131053095</v>
      </c>
      <c r="BD20" s="66">
        <f t="shared" si="16"/>
        <v>6322.720964693407</v>
      </c>
      <c r="BF20" s="78" t="s">
        <v>97</v>
      </c>
      <c r="BG20" s="127">
        <v>-11531.41683887137</v>
      </c>
      <c r="BH20" s="54">
        <v>10248.689887164855</v>
      </c>
    </row>
    <row r="21" spans="2:60" x14ac:dyDescent="0.25">
      <c r="B21" s="83" t="s">
        <v>52</v>
      </c>
      <c r="C21" s="84"/>
      <c r="D21" s="84"/>
      <c r="E21" s="84"/>
      <c r="F21" s="84"/>
      <c r="G21" s="84"/>
      <c r="H21" s="84"/>
      <c r="I21" s="84"/>
      <c r="J21" s="10" t="s">
        <v>53</v>
      </c>
      <c r="K21" s="95">
        <f>(4/3)*PI()*K19^3</f>
        <v>523598775598.29883</v>
      </c>
      <c r="L21" s="96"/>
      <c r="M21" s="156" t="s">
        <v>54</v>
      </c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AA21" s="15">
        <v>16</v>
      </c>
      <c r="AB21" s="17">
        <v>4.0212385965949355</v>
      </c>
      <c r="AC21" s="18">
        <f t="shared" si="0"/>
        <v>16812.88005125655</v>
      </c>
      <c r="AD21" s="20">
        <f t="shared" si="1"/>
        <v>3647.4337861210533</v>
      </c>
      <c r="AE21" s="15">
        <v>16</v>
      </c>
      <c r="AF21" s="17">
        <v>4.0212385965949355</v>
      </c>
      <c r="AG21" s="18">
        <f t="shared" si="2"/>
        <v>-22230.983964120413</v>
      </c>
      <c r="AH21" s="20">
        <f t="shared" si="3"/>
        <v>7303.2036502847368</v>
      </c>
      <c r="AI21" s="15">
        <v>16</v>
      </c>
      <c r="AJ21" s="17">
        <v>4.0212385965949355</v>
      </c>
      <c r="AK21" s="18">
        <f t="shared" si="4"/>
        <v>-8187.1199487434478</v>
      </c>
      <c r="AL21" s="20">
        <f t="shared" si="5"/>
        <v>-18852.566213878948</v>
      </c>
      <c r="AN21" s="23">
        <v>16</v>
      </c>
      <c r="AO21" s="58">
        <v>8</v>
      </c>
      <c r="AP21" s="45">
        <f t="shared" si="17"/>
        <v>-8068.9817906232938</v>
      </c>
      <c r="AQ21" s="45">
        <f t="shared" si="18"/>
        <v>-21584.960812129186</v>
      </c>
      <c r="AR21" s="45">
        <f t="shared" si="19"/>
        <v>-2343.0293026046456</v>
      </c>
      <c r="AS21" s="45">
        <f t="shared" si="20"/>
        <v>-1107.3482914125807</v>
      </c>
      <c r="AT21" s="45">
        <f t="shared" si="6"/>
        <v>1002.2352550925099</v>
      </c>
      <c r="AU21" s="45">
        <f t="shared" si="7"/>
        <v>2175.0968755706713</v>
      </c>
      <c r="AV21" s="64">
        <f t="shared" si="8"/>
        <v>203.57562398228481</v>
      </c>
      <c r="AW21" s="64">
        <f t="shared" si="9"/>
        <v>210.94420488766934</v>
      </c>
      <c r="AX21" s="64">
        <f t="shared" si="10"/>
        <v>-52.266084105600527</v>
      </c>
      <c r="AY21" s="64">
        <f t="shared" si="11"/>
        <v>138.3639006586582</v>
      </c>
      <c r="AZ21" s="64">
        <f t="shared" si="12"/>
        <v>850.92571521582556</v>
      </c>
      <c r="BA21" s="64">
        <f t="shared" si="13"/>
        <v>1825.7887700243436</v>
      </c>
      <c r="BB21" s="65">
        <f t="shared" si="14"/>
        <v>40420.325137304775</v>
      </c>
      <c r="BC21" s="65">
        <f t="shared" si="15"/>
        <v>33763.278054955132</v>
      </c>
      <c r="BD21" s="66">
        <f t="shared" si="16"/>
        <v>7265.0091623104254</v>
      </c>
      <c r="BF21" s="78" t="s">
        <v>88</v>
      </c>
      <c r="BG21" s="125">
        <v>-11623.693319956137</v>
      </c>
      <c r="BH21" s="126">
        <v>10481.753674101716</v>
      </c>
    </row>
    <row r="22" spans="2:60" x14ac:dyDescent="0.25">
      <c r="B22" s="83" t="s">
        <v>55</v>
      </c>
      <c r="C22" s="84"/>
      <c r="D22" s="84"/>
      <c r="E22" s="84"/>
      <c r="F22" s="84"/>
      <c r="G22" s="84"/>
      <c r="H22" s="84"/>
      <c r="I22" s="84"/>
      <c r="J22" s="10" t="s">
        <v>56</v>
      </c>
      <c r="K22" s="95">
        <f>K20*K21</f>
        <v>523598775598.29883</v>
      </c>
      <c r="L22" s="96"/>
      <c r="M22" s="156" t="s">
        <v>35</v>
      </c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AA22" s="16">
        <v>17</v>
      </c>
      <c r="AB22" s="17">
        <v>4.2725660088821193</v>
      </c>
      <c r="AC22" s="18">
        <f t="shared" si="0"/>
        <v>17871.103542174638</v>
      </c>
      <c r="AD22" s="20">
        <f t="shared" si="1"/>
        <v>2975.8647376699009</v>
      </c>
      <c r="AE22" s="16">
        <v>17</v>
      </c>
      <c r="AF22" s="17">
        <v>4.2725660088821193</v>
      </c>
      <c r="AG22" s="18">
        <f t="shared" si="2"/>
        <v>-21490.227520477754</v>
      </c>
      <c r="AH22" s="20">
        <f t="shared" si="3"/>
        <v>6833.1053163689303</v>
      </c>
      <c r="AI22" s="16">
        <v>17</v>
      </c>
      <c r="AJ22" s="17">
        <v>4.2725660088821193</v>
      </c>
      <c r="AK22" s="18">
        <f t="shared" si="4"/>
        <v>-7128.8964578253608</v>
      </c>
      <c r="AL22" s="20">
        <f t="shared" si="5"/>
        <v>-19524.135262330099</v>
      </c>
      <c r="AN22" s="23">
        <v>17</v>
      </c>
      <c r="AO22" s="58">
        <v>8.5</v>
      </c>
      <c r="AP22" s="45">
        <f t="shared" si="17"/>
        <v>-8989.9376281524892</v>
      </c>
      <c r="AQ22" s="45">
        <f t="shared" si="18"/>
        <v>-21594.860738942807</v>
      </c>
      <c r="AR22" s="45">
        <f t="shared" si="19"/>
        <v>-1841.9116750583908</v>
      </c>
      <c r="AS22" s="45">
        <f t="shared" si="20"/>
        <v>-19.799853627245056</v>
      </c>
      <c r="AT22" s="45">
        <f t="shared" si="6"/>
        <v>1189.410451885416</v>
      </c>
      <c r="AU22" s="45">
        <f t="shared" si="7"/>
        <v>2059.3720254354575</v>
      </c>
      <c r="AV22" s="64">
        <f t="shared" si="8"/>
        <v>200.94885649024383</v>
      </c>
      <c r="AW22" s="64">
        <f t="shared" si="9"/>
        <v>201.6761495049152</v>
      </c>
      <c r="AX22" s="64">
        <f t="shared" si="10"/>
        <v>-49.506655472044656</v>
      </c>
      <c r="AY22" s="64">
        <f t="shared" si="11"/>
        <v>142.06603309437958</v>
      </c>
      <c r="AZ22" s="64">
        <f t="shared" si="12"/>
        <v>1037.968250867217</v>
      </c>
      <c r="BA22" s="64">
        <f t="shared" si="13"/>
        <v>1715.6298428361629</v>
      </c>
      <c r="BB22" s="65">
        <f t="shared" si="14"/>
        <v>41072.221818434016</v>
      </c>
      <c r="BC22" s="65">
        <f t="shared" si="15"/>
        <v>33458.282958710864</v>
      </c>
      <c r="BD22" s="66">
        <f t="shared" si="16"/>
        <v>7707.9044131719993</v>
      </c>
      <c r="BF22" s="111"/>
      <c r="BG22" s="127">
        <v>-11771.031372578589</v>
      </c>
      <c r="BH22" s="54">
        <v>10684.547105928688</v>
      </c>
    </row>
    <row r="23" spans="2:60" x14ac:dyDescent="0.25">
      <c r="B23" s="83" t="s">
        <v>57</v>
      </c>
      <c r="C23" s="84"/>
      <c r="D23" s="84"/>
      <c r="E23" s="84"/>
      <c r="F23" s="84"/>
      <c r="G23" s="84"/>
      <c r="H23" s="84"/>
      <c r="I23" s="84"/>
      <c r="J23" s="11" t="s">
        <v>58</v>
      </c>
      <c r="K23" s="95">
        <f>K19*K7</f>
        <v>10000</v>
      </c>
      <c r="L23" s="96"/>
      <c r="M23" s="156" t="s">
        <v>38</v>
      </c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AA23" s="16">
        <v>18</v>
      </c>
      <c r="AB23" s="17">
        <v>4.5238934211693023</v>
      </c>
      <c r="AC23" s="18">
        <f t="shared" si="0"/>
        <v>19063.093427071377</v>
      </c>
      <c r="AD23" s="20">
        <f t="shared" si="1"/>
        <v>2588.5637463565563</v>
      </c>
      <c r="AE23" s="16">
        <v>18</v>
      </c>
      <c r="AF23" s="17">
        <v>4.5238934211693023</v>
      </c>
      <c r="AG23" s="18">
        <f t="shared" si="2"/>
        <v>-20655.834601050035</v>
      </c>
      <c r="AH23" s="20">
        <f t="shared" si="3"/>
        <v>6561.9946224495889</v>
      </c>
      <c r="AI23" s="16">
        <v>18</v>
      </c>
      <c r="AJ23" s="17">
        <v>4.5238934211693023</v>
      </c>
      <c r="AK23" s="18">
        <f t="shared" si="4"/>
        <v>-5936.9065729286231</v>
      </c>
      <c r="AL23" s="20">
        <f t="shared" si="5"/>
        <v>-19911.436253643442</v>
      </c>
      <c r="AN23" s="23">
        <v>18</v>
      </c>
      <c r="AO23" s="58">
        <v>9</v>
      </c>
      <c r="AP23" s="45">
        <f t="shared" si="17"/>
        <v>-9613.5408527103318</v>
      </c>
      <c r="AQ23" s="45">
        <f t="shared" si="18"/>
        <v>-21089.917659397564</v>
      </c>
      <c r="AR23" s="45">
        <f t="shared" si="19"/>
        <v>-1247.2064491156827</v>
      </c>
      <c r="AS23" s="45">
        <f t="shared" si="20"/>
        <v>1009.8861590904837</v>
      </c>
      <c r="AT23" s="45">
        <f t="shared" si="6"/>
        <v>1366.5009662212626</v>
      </c>
      <c r="AU23" s="45">
        <f t="shared" si="7"/>
        <v>1945.1265666301169</v>
      </c>
      <c r="AV23" s="64">
        <f t="shared" si="8"/>
        <v>203.99990598206659</v>
      </c>
      <c r="AW23" s="64">
        <f t="shared" si="9"/>
        <v>196.94843462187109</v>
      </c>
      <c r="AX23" s="64">
        <f t="shared" si="10"/>
        <v>-49.536231064895816</v>
      </c>
      <c r="AY23" s="64">
        <f t="shared" si="11"/>
        <v>148.27741804254666</v>
      </c>
      <c r="AZ23" s="64">
        <f t="shared" si="12"/>
        <v>1212.0372913040919</v>
      </c>
      <c r="BA23" s="64">
        <f t="shared" si="13"/>
        <v>1599.9007139656992</v>
      </c>
      <c r="BB23" s="65">
        <f t="shared" si="14"/>
        <v>41162.424535081467</v>
      </c>
      <c r="BC23" s="65">
        <f t="shared" si="15"/>
        <v>32778.979753592663</v>
      </c>
      <c r="BD23" s="66">
        <f t="shared" si="16"/>
        <v>7640.1476620461654</v>
      </c>
      <c r="BF23" s="111"/>
      <c r="BG23" s="125">
        <v>-11964.173205021003</v>
      </c>
      <c r="BH23" s="126">
        <v>10844.327925502015</v>
      </c>
    </row>
    <row r="24" spans="2:60" x14ac:dyDescent="0.25">
      <c r="B24" s="89" t="s">
        <v>59</v>
      </c>
      <c r="C24" s="90"/>
      <c r="D24" s="90"/>
      <c r="E24" s="90"/>
      <c r="F24" s="90"/>
      <c r="G24" s="90"/>
      <c r="H24" s="90"/>
      <c r="I24" s="90"/>
      <c r="J24" s="12" t="s">
        <v>60</v>
      </c>
      <c r="K24" s="109" t="s">
        <v>61</v>
      </c>
      <c r="L24" s="110"/>
      <c r="M24" s="157" t="s">
        <v>32</v>
      </c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AA24" s="16">
        <v>19</v>
      </c>
      <c r="AB24" s="19">
        <v>4.7752208334564861</v>
      </c>
      <c r="AC24" s="18">
        <f t="shared" si="0"/>
        <v>20313.95259764657</v>
      </c>
      <c r="AD24" s="20">
        <f t="shared" si="1"/>
        <v>2509.866357858642</v>
      </c>
      <c r="AE24" s="16">
        <v>19</v>
      </c>
      <c r="AF24" s="19">
        <v>4.7752208334564861</v>
      </c>
      <c r="AG24" s="18">
        <f t="shared" si="2"/>
        <v>-19780.233181647403</v>
      </c>
      <c r="AH24" s="20">
        <f t="shared" si="3"/>
        <v>6506.9064505010501</v>
      </c>
      <c r="AI24" s="16">
        <v>19</v>
      </c>
      <c r="AJ24" s="17">
        <v>4.7752208334564861</v>
      </c>
      <c r="AK24" s="18">
        <f t="shared" si="4"/>
        <v>-4686.0474023534316</v>
      </c>
      <c r="AL24" s="20">
        <f t="shared" si="5"/>
        <v>-19990.133642141358</v>
      </c>
      <c r="AN24" s="23">
        <v>19</v>
      </c>
      <c r="AO24" s="58">
        <v>9.5</v>
      </c>
      <c r="AP24" s="45">
        <f t="shared" si="17"/>
        <v>-9895.5188357128573</v>
      </c>
      <c r="AQ24" s="45">
        <f t="shared" si="18"/>
        <v>-20098.692938194792</v>
      </c>
      <c r="AR24" s="45">
        <f t="shared" si="19"/>
        <v>-563.95596600505144</v>
      </c>
      <c r="AS24" s="45">
        <f t="shared" si="20"/>
        <v>1982.4494424055422</v>
      </c>
      <c r="AT24" s="45">
        <f t="shared" si="6"/>
        <v>1555.8200402104821</v>
      </c>
      <c r="AU24" s="45">
        <f t="shared" si="7"/>
        <v>1807.4947449435999</v>
      </c>
      <c r="AV24" s="64">
        <f t="shared" si="8"/>
        <v>212.82835136472704</v>
      </c>
      <c r="AW24" s="64">
        <f t="shared" si="9"/>
        <v>196.47708240609541</v>
      </c>
      <c r="AX24" s="64">
        <f t="shared" si="10"/>
        <v>-52.804951370523597</v>
      </c>
      <c r="AY24" s="64">
        <f t="shared" si="11"/>
        <v>157.29259039395964</v>
      </c>
      <c r="AZ24" s="64">
        <f t="shared" si="12"/>
        <v>1395.7966402162788</v>
      </c>
      <c r="BA24" s="64">
        <f t="shared" si="13"/>
        <v>1453.7250721435448</v>
      </c>
      <c r="BB24" s="65">
        <f t="shared" si="14"/>
        <v>40686.974553943248</v>
      </c>
      <c r="BC24" s="65">
        <f t="shared" si="15"/>
        <v>31749.517416602899</v>
      </c>
      <c r="BD24" s="66">
        <f t="shared" si="16"/>
        <v>7068.4350707081421</v>
      </c>
      <c r="BF24" s="111"/>
      <c r="BG24" s="127">
        <v>-12190.983005625052</v>
      </c>
      <c r="BH24" s="54">
        <v>10951.056516295153</v>
      </c>
    </row>
    <row r="25" spans="2:60" ht="15.75" thickBot="1" x14ac:dyDescent="0.3">
      <c r="B25" s="149" t="s">
        <v>7</v>
      </c>
      <c r="C25" s="101"/>
      <c r="D25" s="101"/>
      <c r="E25" s="101"/>
      <c r="F25" s="101"/>
      <c r="G25" s="101"/>
      <c r="H25" s="101"/>
      <c r="I25" s="101"/>
      <c r="J25" s="101"/>
      <c r="K25" s="37" t="s">
        <v>0</v>
      </c>
      <c r="L25" s="37" t="s">
        <v>1</v>
      </c>
      <c r="M25" s="158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AA25" s="15">
        <v>20</v>
      </c>
      <c r="AB25" s="19">
        <v>5.026548245743669</v>
      </c>
      <c r="AC25" s="18">
        <f t="shared" si="0"/>
        <v>21545.084971874738</v>
      </c>
      <c r="AD25" s="20">
        <f t="shared" si="1"/>
        <v>2744.717418524232</v>
      </c>
      <c r="AE25" s="15">
        <v>20</v>
      </c>
      <c r="AF25" s="19">
        <v>5.026548245743669</v>
      </c>
      <c r="AG25" s="18">
        <f t="shared" si="2"/>
        <v>-18918.440519687683</v>
      </c>
      <c r="AH25" s="20">
        <f t="shared" si="3"/>
        <v>6671.3021929669621</v>
      </c>
      <c r="AI25" s="15">
        <v>20</v>
      </c>
      <c r="AJ25" s="17">
        <v>5.026548245743669</v>
      </c>
      <c r="AK25" s="18">
        <f t="shared" si="4"/>
        <v>-3454.9150281252641</v>
      </c>
      <c r="AL25" s="20">
        <f t="shared" si="5"/>
        <v>-19755.282581475767</v>
      </c>
      <c r="AN25" s="23">
        <v>20</v>
      </c>
      <c r="AO25" s="58">
        <v>10</v>
      </c>
      <c r="AP25" s="45">
        <f t="shared" si="17"/>
        <v>-9788.5418086627615</v>
      </c>
      <c r="AQ25" s="45">
        <f t="shared" si="18"/>
        <v>-18655.59453075612</v>
      </c>
      <c r="AR25" s="45">
        <f t="shared" si="19"/>
        <v>213.95405410018964</v>
      </c>
      <c r="AS25" s="45">
        <f t="shared" si="20"/>
        <v>2886.1968148773421</v>
      </c>
      <c r="AT25" s="45">
        <f t="shared" si="6"/>
        <v>1743.7080786938222</v>
      </c>
      <c r="AU25" s="45">
        <f t="shared" si="7"/>
        <v>1572.5415198376488</v>
      </c>
      <c r="AV25" s="64">
        <f t="shared" si="8"/>
        <v>228.24384362362849</v>
      </c>
      <c r="AW25" s="64">
        <f t="shared" si="9"/>
        <v>200.40770932348383</v>
      </c>
      <c r="AX25" s="64">
        <f t="shared" si="10"/>
        <v>-60.292493253033889</v>
      </c>
      <c r="AY25" s="64">
        <f t="shared" si="11"/>
        <v>169.19397871823784</v>
      </c>
      <c r="AZ25" s="64">
        <f t="shared" si="12"/>
        <v>1575.7567283232277</v>
      </c>
      <c r="BA25" s="64">
        <f t="shared" si="13"/>
        <v>1202.9398317959271</v>
      </c>
      <c r="BB25" s="65">
        <f t="shared" si="14"/>
        <v>39641.800518439733</v>
      </c>
      <c r="BC25" s="65">
        <f t="shared" si="15"/>
        <v>30420.666927346094</v>
      </c>
      <c r="BD25" s="66">
        <f t="shared" si="16"/>
        <v>6024.409018866937</v>
      </c>
      <c r="BF25" s="111"/>
      <c r="BG25" s="125">
        <v>-12437.209480470687</v>
      </c>
      <c r="BH25" s="126">
        <v>10998.026728428271</v>
      </c>
    </row>
    <row r="26" spans="2:60" x14ac:dyDescent="0.25">
      <c r="B26" s="91" t="s">
        <v>46</v>
      </c>
      <c r="C26" s="92"/>
      <c r="D26" s="92"/>
      <c r="E26" s="92"/>
      <c r="F26" s="92"/>
      <c r="G26" s="92"/>
      <c r="H26" s="92"/>
      <c r="I26" s="92"/>
      <c r="J26" s="3" t="s">
        <v>62</v>
      </c>
      <c r="K26" s="13">
        <v>-20000</v>
      </c>
      <c r="L26" s="14">
        <v>10000</v>
      </c>
      <c r="M26" s="154" t="s">
        <v>38</v>
      </c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AA26" s="16">
        <v>21</v>
      </c>
      <c r="AB26" s="17">
        <v>5.2778756580308528</v>
      </c>
      <c r="AC26" s="18">
        <f t="shared" si="0"/>
        <v>22679.133974894983</v>
      </c>
      <c r="AD26" s="20">
        <f t="shared" si="1"/>
        <v>3278.3603724899249</v>
      </c>
      <c r="AE26" s="16">
        <v>21</v>
      </c>
      <c r="AF26" s="17">
        <v>5.2778756580308528</v>
      </c>
      <c r="AG26" s="18">
        <f t="shared" si="2"/>
        <v>-18124.60621757351</v>
      </c>
      <c r="AH26" s="20">
        <f t="shared" si="3"/>
        <v>7044.8522607429477</v>
      </c>
      <c r="AI26" s="16">
        <v>21</v>
      </c>
      <c r="AJ26" s="17">
        <v>5.2778756580308528</v>
      </c>
      <c r="AK26" s="18">
        <f t="shared" si="4"/>
        <v>-2320.866025105016</v>
      </c>
      <c r="AL26" s="20">
        <f t="shared" si="5"/>
        <v>-19221.639627510074</v>
      </c>
      <c r="AN26" s="23">
        <v>21</v>
      </c>
      <c r="AO26" s="58">
        <v>10.5</v>
      </c>
      <c r="AP26" s="45">
        <f t="shared" si="17"/>
        <v>-9245.6377619392115</v>
      </c>
      <c r="AQ26" s="45">
        <f t="shared" si="18"/>
        <v>-16819.360743358036</v>
      </c>
      <c r="AR26" s="45">
        <f t="shared" si="19"/>
        <v>1085.8080934471009</v>
      </c>
      <c r="AS26" s="45">
        <f t="shared" si="20"/>
        <v>3672.4675747961664</v>
      </c>
      <c r="AT26" s="45">
        <f t="shared" si="6"/>
        <v>1841.4945415081943</v>
      </c>
      <c r="AU26" s="45">
        <f t="shared" si="7"/>
        <v>1105.3526206856486</v>
      </c>
      <c r="AV26" s="64">
        <f t="shared" si="8"/>
        <v>251.72961890673255</v>
      </c>
      <c r="AW26" s="64">
        <f t="shared" si="9"/>
        <v>209.32706141727652</v>
      </c>
      <c r="AX26" s="64">
        <f t="shared" si="10"/>
        <v>-73.493230266154072</v>
      </c>
      <c r="AY26" s="64">
        <f t="shared" si="11"/>
        <v>183.27832102650848</v>
      </c>
      <c r="AZ26" s="64">
        <f t="shared" si="12"/>
        <v>1663.2581528676158</v>
      </c>
      <c r="BA26" s="64">
        <f t="shared" si="13"/>
        <v>712.74723824186356</v>
      </c>
      <c r="BB26" s="65">
        <f t="shared" si="14"/>
        <v>38036.017602637483</v>
      </c>
      <c r="BC26" s="65">
        <f t="shared" si="15"/>
        <v>28895.231749023955</v>
      </c>
      <c r="BD26" s="66">
        <f t="shared" si="16"/>
        <v>4619.0381596254974</v>
      </c>
      <c r="BF26" s="111"/>
      <c r="BG26" s="127">
        <v>-12687.381314585726</v>
      </c>
      <c r="BH26" s="54">
        <v>10982.287250728688</v>
      </c>
    </row>
    <row r="27" spans="2:60" x14ac:dyDescent="0.25">
      <c r="B27" s="89" t="s">
        <v>3</v>
      </c>
      <c r="C27" s="90"/>
      <c r="D27" s="90"/>
      <c r="E27" s="90"/>
      <c r="F27" s="90"/>
      <c r="G27" s="90"/>
      <c r="H27" s="90"/>
      <c r="I27" s="90"/>
      <c r="J27" s="4" t="s">
        <v>73</v>
      </c>
      <c r="K27" s="97">
        <v>3500</v>
      </c>
      <c r="L27" s="98"/>
      <c r="M27" s="155" t="s">
        <v>38</v>
      </c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AA27" s="16">
        <v>22</v>
      </c>
      <c r="AB27" s="17">
        <v>5.5292030703180366</v>
      </c>
      <c r="AC27" s="18">
        <f t="shared" si="0"/>
        <v>23644.843137107058</v>
      </c>
      <c r="AD27" s="20">
        <f t="shared" si="1"/>
        <v>4077.2644703565584</v>
      </c>
      <c r="AE27" s="16">
        <v>22</v>
      </c>
      <c r="AF27" s="17">
        <v>5.5292030703180366</v>
      </c>
      <c r="AG27" s="18">
        <f t="shared" si="2"/>
        <v>-17448.609804025058</v>
      </c>
      <c r="AH27" s="20">
        <f t="shared" si="3"/>
        <v>7604.0851292495909</v>
      </c>
      <c r="AI27" s="16">
        <v>22</v>
      </c>
      <c r="AJ27" s="17">
        <v>5.5292030703180366</v>
      </c>
      <c r="AK27" s="18">
        <f t="shared" si="4"/>
        <v>-1355.1568628929404</v>
      </c>
      <c r="AL27" s="20">
        <f t="shared" si="5"/>
        <v>-18422.73552964344</v>
      </c>
      <c r="AN27" s="23">
        <v>22</v>
      </c>
      <c r="AO27" s="58">
        <v>11</v>
      </c>
      <c r="AP27" s="45">
        <f t="shared" si="17"/>
        <v>-8242.3600798386124</v>
      </c>
      <c r="AQ27" s="45">
        <f t="shared" si="18"/>
        <v>-14706.788800788541</v>
      </c>
      <c r="AR27" s="45">
        <f t="shared" si="19"/>
        <v>2006.555364201198</v>
      </c>
      <c r="AS27" s="45">
        <f t="shared" si="20"/>
        <v>4225.1438851389903</v>
      </c>
      <c r="AT27" s="45">
        <f t="shared" si="6"/>
        <v>1650.9815995061692</v>
      </c>
      <c r="AU27" s="45">
        <f t="shared" si="7"/>
        <v>289.14725965231798</v>
      </c>
      <c r="AV27" s="64">
        <f t="shared" si="8"/>
        <v>285.11201940406028</v>
      </c>
      <c r="AW27" s="64">
        <f t="shared" si="9"/>
        <v>224.1817745250018</v>
      </c>
      <c r="AX27" s="64">
        <f t="shared" si="10"/>
        <v>-93.730307977428311</v>
      </c>
      <c r="AY27" s="64">
        <f t="shared" si="11"/>
        <v>196.95916350187051</v>
      </c>
      <c r="AZ27" s="64">
        <f t="shared" si="12"/>
        <v>1459.5998880795373</v>
      </c>
      <c r="BA27" s="64">
        <f t="shared" si="13"/>
        <v>-131.99367837455432</v>
      </c>
      <c r="BB27" s="65">
        <f t="shared" si="14"/>
        <v>35927.320686659739</v>
      </c>
      <c r="BC27" s="65">
        <f t="shared" si="15"/>
        <v>27361.789220351486</v>
      </c>
      <c r="BD27" s="66">
        <f t="shared" si="16"/>
        <v>3255.5908364955931</v>
      </c>
      <c r="BF27" s="111"/>
      <c r="BG27" s="125">
        <v>-12925.779291565073</v>
      </c>
      <c r="BH27" s="126">
        <v>10904.82705246602</v>
      </c>
    </row>
    <row r="28" spans="2:60" x14ac:dyDescent="0.25">
      <c r="B28" s="89" t="s">
        <v>49</v>
      </c>
      <c r="C28" s="90"/>
      <c r="D28" s="90"/>
      <c r="E28" s="90"/>
      <c r="F28" s="90"/>
      <c r="G28" s="90"/>
      <c r="H28" s="90"/>
      <c r="I28" s="90"/>
      <c r="J28" s="9" t="s">
        <v>74</v>
      </c>
      <c r="K28" s="97">
        <v>1</v>
      </c>
      <c r="L28" s="98"/>
      <c r="M28" s="155" t="s">
        <v>51</v>
      </c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AA28" s="16">
        <v>23</v>
      </c>
      <c r="AB28" s="17">
        <v>5.7805304826052195</v>
      </c>
      <c r="AC28" s="18">
        <f t="shared" si="0"/>
        <v>24381.533400219319</v>
      </c>
      <c r="AD28" s="20">
        <f t="shared" si="1"/>
        <v>5091.2316294914235</v>
      </c>
      <c r="AE28" s="16">
        <v>23</v>
      </c>
      <c r="AF28" s="17">
        <v>5.7805304826052195</v>
      </c>
      <c r="AG28" s="18">
        <f>COS(AF28)*$K$27+$K$26</f>
        <v>-16932.926619846476</v>
      </c>
      <c r="AH28" s="20">
        <f t="shared" si="3"/>
        <v>8313.8621406439961</v>
      </c>
      <c r="AI28" s="16">
        <v>23</v>
      </c>
      <c r="AJ28" s="17">
        <v>5.7805304826052195</v>
      </c>
      <c r="AK28" s="18">
        <f t="shared" si="4"/>
        <v>-618.46659978068237</v>
      </c>
      <c r="AL28" s="20">
        <f t="shared" si="5"/>
        <v>-17408.768370508576</v>
      </c>
      <c r="AN28" s="23">
        <v>23</v>
      </c>
      <c r="AO28" s="58">
        <v>11.5</v>
      </c>
      <c r="AP28" s="45">
        <f t="shared" si="17"/>
        <v>-6826.336997861471</v>
      </c>
      <c r="AQ28" s="45">
        <f t="shared" si="18"/>
        <v>-12521.930043305967</v>
      </c>
      <c r="AR28" s="45">
        <f t="shared" si="19"/>
        <v>2832.0461639542827</v>
      </c>
      <c r="AS28" s="45">
        <f t="shared" si="20"/>
        <v>4369.7175149651493</v>
      </c>
      <c r="AT28" s="45">
        <f t="shared" si="6"/>
        <v>1044.2348592579269</v>
      </c>
      <c r="AU28" s="45">
        <f t="shared" si="7"/>
        <v>-681.72025354593245</v>
      </c>
      <c r="AV28" s="64">
        <f t="shared" si="8"/>
        <v>329.4103870588259</v>
      </c>
      <c r="AW28" s="64">
        <f t="shared" si="9"/>
        <v>245.85658958045315</v>
      </c>
      <c r="AX28" s="64">
        <f t="shared" si="10"/>
        <v>-120.00764667582663</v>
      </c>
      <c r="AY28" s="64">
        <f t="shared" si="11"/>
        <v>205.1672205867109</v>
      </c>
      <c r="AZ28" s="64">
        <f t="shared" si="12"/>
        <v>834.83211887492757</v>
      </c>
      <c r="BA28" s="64">
        <f t="shared" si="13"/>
        <v>-1132.7440637130965</v>
      </c>
      <c r="BB28" s="65">
        <f t="shared" si="14"/>
        <v>33474.319102587724</v>
      </c>
      <c r="BC28" s="65">
        <f t="shared" si="15"/>
        <v>26091.813462645354</v>
      </c>
      <c r="BD28" s="66">
        <f t="shared" si="16"/>
        <v>3078.3660503629549</v>
      </c>
      <c r="BF28" s="111"/>
      <c r="BG28" s="127">
        <v>-13137.42398974869</v>
      </c>
      <c r="BH28" s="54">
        <v>10770.513242775789</v>
      </c>
    </row>
    <row r="29" spans="2:60" x14ac:dyDescent="0.25">
      <c r="B29" s="83" t="s">
        <v>52</v>
      </c>
      <c r="C29" s="84"/>
      <c r="D29" s="84"/>
      <c r="E29" s="84"/>
      <c r="F29" s="84"/>
      <c r="G29" s="84"/>
      <c r="H29" s="84"/>
      <c r="I29" s="84"/>
      <c r="J29" s="10" t="s">
        <v>63</v>
      </c>
      <c r="K29" s="95">
        <f>(4/3)*PI()*K27^3</f>
        <v>179594380030.21649</v>
      </c>
      <c r="L29" s="96"/>
      <c r="M29" s="156" t="s">
        <v>54</v>
      </c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AA29" s="15">
        <v>24</v>
      </c>
      <c r="AB29" s="17">
        <v>6.0318578948924033</v>
      </c>
      <c r="AC29" s="18">
        <f t="shared" si="0"/>
        <v>24842.915805643155</v>
      </c>
      <c r="AD29" s="20">
        <f t="shared" si="1"/>
        <v>6256.5505641757272</v>
      </c>
      <c r="AE29" s="15">
        <v>24</v>
      </c>
      <c r="AF29" s="17">
        <v>6.0318578948924033</v>
      </c>
      <c r="AG29" s="18">
        <f t="shared" si="2"/>
        <v>-16609.958936049792</v>
      </c>
      <c r="AH29" s="20">
        <f t="shared" si="3"/>
        <v>9129.5853949230095</v>
      </c>
      <c r="AI29" s="15">
        <v>24</v>
      </c>
      <c r="AJ29" s="17">
        <v>6.0318578948924033</v>
      </c>
      <c r="AK29" s="18">
        <f t="shared" si="4"/>
        <v>-157.08419435684391</v>
      </c>
      <c r="AL29" s="20">
        <f t="shared" si="5"/>
        <v>-16243.449435824272</v>
      </c>
      <c r="AN29" s="23">
        <v>24</v>
      </c>
      <c r="AO29" s="58">
        <v>12</v>
      </c>
      <c r="AP29" s="45">
        <f t="shared" si="17"/>
        <v>-5149.2552010698482</v>
      </c>
      <c r="AQ29" s="45">
        <f t="shared" si="18"/>
        <v>-10507.501349209875</v>
      </c>
      <c r="AR29" s="45">
        <f t="shared" si="19"/>
        <v>3354.1635935832464</v>
      </c>
      <c r="AS29" s="45">
        <f t="shared" si="20"/>
        <v>4028.857388192183</v>
      </c>
      <c r="AT29" s="45">
        <f t="shared" si="6"/>
        <v>295.49964547735669</v>
      </c>
      <c r="AU29" s="45">
        <f t="shared" si="7"/>
        <v>-1307.2324100870776</v>
      </c>
      <c r="AV29" s="64">
        <f t="shared" si="8"/>
        <v>383.32063208944658</v>
      </c>
      <c r="AW29" s="64">
        <f t="shared" si="9"/>
        <v>274.46724542510714</v>
      </c>
      <c r="AX29" s="64">
        <f t="shared" si="10"/>
        <v>-147.11969934788232</v>
      </c>
      <c r="AY29" s="64">
        <f t="shared" si="11"/>
        <v>203.15866131437369</v>
      </c>
      <c r="AZ29" s="64">
        <f t="shared" si="12"/>
        <v>59.298712735792463</v>
      </c>
      <c r="BA29" s="64">
        <f t="shared" si="13"/>
        <v>-1784.8583168265584</v>
      </c>
      <c r="BB29" s="65">
        <f t="shared" si="14"/>
        <v>30931.458775982977</v>
      </c>
      <c r="BC29" s="65">
        <f t="shared" si="15"/>
        <v>25319.996695710601</v>
      </c>
      <c r="BD29" s="66">
        <f t="shared" si="16"/>
        <v>4494.9773350260057</v>
      </c>
      <c r="BF29" s="111"/>
      <c r="BG29" s="125">
        <v>-13309.016994374948</v>
      </c>
      <c r="BH29" s="126">
        <v>10587.785252292473</v>
      </c>
    </row>
    <row r="30" spans="2:60" x14ac:dyDescent="0.25">
      <c r="B30" s="83" t="s">
        <v>55</v>
      </c>
      <c r="C30" s="84"/>
      <c r="D30" s="84"/>
      <c r="E30" s="84"/>
      <c r="F30" s="84"/>
      <c r="G30" s="84"/>
      <c r="H30" s="84"/>
      <c r="I30" s="84"/>
      <c r="J30" s="10" t="s">
        <v>64</v>
      </c>
      <c r="K30" s="95">
        <f>K28*K29</f>
        <v>179594380030.21649</v>
      </c>
      <c r="L30" s="96"/>
      <c r="M30" s="156" t="s">
        <v>35</v>
      </c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AA30" s="16">
        <v>25</v>
      </c>
      <c r="AB30" s="17">
        <v>6.2831853071795871</v>
      </c>
      <c r="AC30" s="18">
        <f t="shared" si="0"/>
        <v>25000</v>
      </c>
      <c r="AD30" s="20">
        <f t="shared" si="1"/>
        <v>7500.0000000000036</v>
      </c>
      <c r="AE30" s="16">
        <v>25</v>
      </c>
      <c r="AF30" s="17">
        <v>6.2831853071795871</v>
      </c>
      <c r="AG30" s="18">
        <f t="shared" si="2"/>
        <v>-16500</v>
      </c>
      <c r="AH30" s="20">
        <f t="shared" si="3"/>
        <v>10000.000000000002</v>
      </c>
      <c r="AI30" s="16">
        <v>25</v>
      </c>
      <c r="AJ30" s="17">
        <v>6.2831853071795871</v>
      </c>
      <c r="AK30" s="18">
        <f t="shared" si="4"/>
        <v>0</v>
      </c>
      <c r="AL30" s="20">
        <f t="shared" si="5"/>
        <v>-14999.999999999996</v>
      </c>
      <c r="AN30" s="23">
        <v>25</v>
      </c>
      <c r="AO30" s="58">
        <v>12.5</v>
      </c>
      <c r="AP30" s="45">
        <f t="shared" si="17"/>
        <v>-3398.2984929088857</v>
      </c>
      <c r="AQ30" s="45">
        <f t="shared" si="18"/>
        <v>-8819.8807576355521</v>
      </c>
      <c r="AR30" s="45">
        <f t="shared" si="19"/>
        <v>3501.9134163219246</v>
      </c>
      <c r="AS30" s="45">
        <f t="shared" si="20"/>
        <v>3375.2411831486443</v>
      </c>
      <c r="AT30" s="45">
        <f t="shared" si="6"/>
        <v>-227.27543276552109</v>
      </c>
      <c r="AU30" s="45">
        <f t="shared" si="7"/>
        <v>-1437.2231584043425</v>
      </c>
      <c r="AV30" s="64">
        <f t="shared" si="8"/>
        <v>443.49906565129777</v>
      </c>
      <c r="AW30" s="64">
        <f t="shared" si="9"/>
        <v>309.33240165926907</v>
      </c>
      <c r="AX30" s="64">
        <f t="shared" si="10"/>
        <v>-168.58866277083476</v>
      </c>
      <c r="AY30" s="64">
        <f t="shared" si="11"/>
        <v>191.11405713933186</v>
      </c>
      <c r="AZ30" s="64">
        <f t="shared" si="12"/>
        <v>-502.18583564598413</v>
      </c>
      <c r="BA30" s="64">
        <f t="shared" si="13"/>
        <v>-1937.6696172029433</v>
      </c>
      <c r="BB30" s="65">
        <f t="shared" si="14"/>
        <v>28527.510937807128</v>
      </c>
      <c r="BC30" s="65">
        <f t="shared" si="15"/>
        <v>25095.904141157622</v>
      </c>
      <c r="BD30" s="66">
        <f t="shared" si="16"/>
        <v>6384.3027471808746</v>
      </c>
      <c r="BF30" s="111"/>
      <c r="BG30" s="127">
        <v>-13429.776485888251</v>
      </c>
      <c r="BH30" s="54">
        <v>10368.124552684678</v>
      </c>
    </row>
    <row r="31" spans="2:60" x14ac:dyDescent="0.25">
      <c r="B31" s="83" t="s">
        <v>57</v>
      </c>
      <c r="C31" s="84"/>
      <c r="D31" s="84"/>
      <c r="E31" s="84"/>
      <c r="F31" s="84"/>
      <c r="G31" s="84"/>
      <c r="H31" s="84"/>
      <c r="I31" s="84"/>
      <c r="J31" s="11" t="s">
        <v>76</v>
      </c>
      <c r="K31" s="95">
        <f>K27*K7</f>
        <v>7000</v>
      </c>
      <c r="L31" s="96"/>
      <c r="M31" s="156" t="s">
        <v>38</v>
      </c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AN31" s="23">
        <v>26</v>
      </c>
      <c r="AO31" s="58">
        <v>13</v>
      </c>
      <c r="AP31" s="45">
        <f t="shared" si="17"/>
        <v>-1704.1606429393037</v>
      </c>
      <c r="AQ31" s="45">
        <f t="shared" si="18"/>
        <v>-7491.5659556623159</v>
      </c>
      <c r="AR31" s="45">
        <f t="shared" si="19"/>
        <v>3388.275699939164</v>
      </c>
      <c r="AS31" s="45">
        <f t="shared" si="20"/>
        <v>2656.6296039464733</v>
      </c>
      <c r="AT31" s="45">
        <f t="shared" si="6"/>
        <v>-473.12831578884686</v>
      </c>
      <c r="AU31" s="45">
        <f t="shared" si="7"/>
        <v>-1294.7002261943749</v>
      </c>
      <c r="AV31" s="64">
        <f t="shared" si="8"/>
        <v>506.19899216231352</v>
      </c>
      <c r="AW31" s="64">
        <f t="shared" si="9"/>
        <v>349.64335652205193</v>
      </c>
      <c r="AX31" s="64">
        <f t="shared" si="10"/>
        <v>-181.4102053386836</v>
      </c>
      <c r="AY31" s="64">
        <f t="shared" si="11"/>
        <v>173.4355286896008</v>
      </c>
      <c r="AZ31" s="64">
        <f t="shared" si="12"/>
        <v>-797.91710261247681</v>
      </c>
      <c r="BA31" s="64">
        <f t="shared" si="13"/>
        <v>-1817.7791114060276</v>
      </c>
      <c r="BB31" s="65">
        <f t="shared" si="14"/>
        <v>26378.355502523063</v>
      </c>
      <c r="BC31" s="65">
        <f t="shared" si="15"/>
        <v>25311.906632268063</v>
      </c>
      <c r="BD31" s="66">
        <f t="shared" si="16"/>
        <v>8199.9474916440413</v>
      </c>
      <c r="BF31" s="111"/>
      <c r="BG31" s="125">
        <v>-13492.114701314478</v>
      </c>
      <c r="BH31" s="126">
        <v>10125.333233564304</v>
      </c>
    </row>
    <row r="32" spans="2:60" x14ac:dyDescent="0.25">
      <c r="B32" s="89" t="s">
        <v>59</v>
      </c>
      <c r="C32" s="90"/>
      <c r="D32" s="90"/>
      <c r="E32" s="90"/>
      <c r="F32" s="90"/>
      <c r="G32" s="90"/>
      <c r="H32" s="90"/>
      <c r="I32" s="90"/>
      <c r="J32" s="9" t="s">
        <v>75</v>
      </c>
      <c r="K32" s="97" t="s">
        <v>61</v>
      </c>
      <c r="L32" s="98"/>
      <c r="M32" s="159" t="s">
        <v>32</v>
      </c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AB32" s="38" t="s">
        <v>65</v>
      </c>
      <c r="AC32" s="51">
        <f>2*PI()</f>
        <v>6.2831853071795862</v>
      </c>
      <c r="AF32" s="179" t="s">
        <v>96</v>
      </c>
      <c r="AG32" s="179"/>
      <c r="AH32" s="179"/>
      <c r="AK32" s="50" t="s">
        <v>93</v>
      </c>
      <c r="AL32" s="53">
        <v>1000</v>
      </c>
      <c r="AN32" s="23">
        <v>27</v>
      </c>
      <c r="AO32" s="58">
        <v>13.5</v>
      </c>
      <c r="AP32" s="45">
        <f t="shared" si="17"/>
        <v>-128.30487191693337</v>
      </c>
      <c r="AQ32" s="45">
        <f t="shared" si="18"/>
        <v>-6486.9262102376733</v>
      </c>
      <c r="AR32" s="45">
        <f t="shared" si="19"/>
        <v>3151.7115420447408</v>
      </c>
      <c r="AS32" s="45">
        <f t="shared" si="20"/>
        <v>2009.2794908492858</v>
      </c>
      <c r="AT32" s="45">
        <f t="shared" si="6"/>
        <v>-546.41906566804778</v>
      </c>
      <c r="AU32" s="45">
        <f t="shared" si="7"/>
        <v>-1072.4585304548618</v>
      </c>
      <c r="AV32" s="64">
        <f t="shared" si="8"/>
        <v>568.10774318590541</v>
      </c>
      <c r="AW32" s="64">
        <f t="shared" si="9"/>
        <v>394.77149884053608</v>
      </c>
      <c r="AX32" s="64">
        <f t="shared" si="10"/>
        <v>-186.39248509318685</v>
      </c>
      <c r="AY32" s="64">
        <f t="shared" si="11"/>
        <v>154.64403655888012</v>
      </c>
      <c r="AZ32" s="64">
        <f t="shared" si="12"/>
        <v>-928.13432376076639</v>
      </c>
      <c r="BA32" s="64">
        <f t="shared" si="13"/>
        <v>-1621.8740658542781</v>
      </c>
      <c r="BB32" s="65">
        <f t="shared" si="14"/>
        <v>24510.870278867467</v>
      </c>
      <c r="BC32" s="65">
        <f t="shared" si="15"/>
        <v>25820.592617624065</v>
      </c>
      <c r="BD32" s="66">
        <f t="shared" si="16"/>
        <v>9808.4575123169379</v>
      </c>
      <c r="BF32" s="111"/>
      <c r="BG32" s="127">
        <v>-13492.114701314478</v>
      </c>
      <c r="BH32" s="54">
        <v>9874.6667664356955</v>
      </c>
    </row>
    <row r="33" spans="2:72" ht="15.75" thickBot="1" x14ac:dyDescent="0.3">
      <c r="B33" s="148" t="s">
        <v>8</v>
      </c>
      <c r="C33" s="102"/>
      <c r="D33" s="102"/>
      <c r="E33" s="102"/>
      <c r="F33" s="102"/>
      <c r="G33" s="102"/>
      <c r="H33" s="102"/>
      <c r="I33" s="102"/>
      <c r="J33" s="102"/>
      <c r="K33" s="24" t="s">
        <v>0</v>
      </c>
      <c r="L33" s="24" t="s">
        <v>1</v>
      </c>
      <c r="M33" s="160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AB33" s="38" t="s">
        <v>2</v>
      </c>
      <c r="AC33" s="52">
        <f>AC32/AA30</f>
        <v>0.25132741228718347</v>
      </c>
      <c r="AF33" s="49" t="s">
        <v>10</v>
      </c>
      <c r="AG33" s="49" t="s">
        <v>0</v>
      </c>
      <c r="AH33" s="49" t="s">
        <v>1</v>
      </c>
      <c r="AK33" s="50" t="s">
        <v>83</v>
      </c>
      <c r="AL33" s="54">
        <v>-12500</v>
      </c>
      <c r="AN33" s="23">
        <v>28</v>
      </c>
      <c r="AO33" s="58">
        <v>14</v>
      </c>
      <c r="AP33" s="45">
        <f t="shared" si="17"/>
        <v>1310.9461326884252</v>
      </c>
      <c r="AQ33" s="45">
        <f t="shared" si="18"/>
        <v>-5750.4010974267458</v>
      </c>
      <c r="AR33" s="45">
        <f t="shared" si="19"/>
        <v>2878.502009210717</v>
      </c>
      <c r="AS33" s="45">
        <f t="shared" si="20"/>
        <v>1473.0502256218549</v>
      </c>
      <c r="AT33" s="45">
        <f t="shared" si="6"/>
        <v>-535.97213147088246</v>
      </c>
      <c r="AU33" s="45">
        <f t="shared" si="7"/>
        <v>-849.76788496211941</v>
      </c>
      <c r="AV33" s="64">
        <f t="shared" si="8"/>
        <v>626.49592247794703</v>
      </c>
      <c r="AW33" s="64">
        <f t="shared" si="9"/>
        <v>444.18097982235196</v>
      </c>
      <c r="AX33" s="64">
        <f t="shared" si="10"/>
        <v>-185.88088719260108</v>
      </c>
      <c r="AY33" s="64">
        <f t="shared" si="11"/>
        <v>137.38003518944024</v>
      </c>
      <c r="AZ33" s="64">
        <f t="shared" si="12"/>
        <v>-976.58716675622838</v>
      </c>
      <c r="BA33" s="64">
        <f t="shared" si="13"/>
        <v>-1431.3288999739116</v>
      </c>
      <c r="BB33" s="65">
        <f t="shared" si="14"/>
        <v>22909.689297281217</v>
      </c>
      <c r="BC33" s="65">
        <f t="shared" si="15"/>
        <v>26499.65206941724</v>
      </c>
      <c r="BD33" s="66">
        <f t="shared" si="16"/>
        <v>11197.460468703577</v>
      </c>
      <c r="BF33" s="111"/>
      <c r="BG33" s="125">
        <v>-13429.776485888251</v>
      </c>
      <c r="BH33" s="126">
        <v>9631.8754473153222</v>
      </c>
    </row>
    <row r="34" spans="2:72" x14ac:dyDescent="0.25">
      <c r="B34" s="91" t="s">
        <v>46</v>
      </c>
      <c r="C34" s="92"/>
      <c r="D34" s="92"/>
      <c r="E34" s="92"/>
      <c r="F34" s="92"/>
      <c r="G34" s="92"/>
      <c r="H34" s="92"/>
      <c r="I34" s="92"/>
      <c r="J34" s="3" t="s">
        <v>66</v>
      </c>
      <c r="K34" s="13">
        <v>-5000</v>
      </c>
      <c r="L34" s="14">
        <v>-15000</v>
      </c>
      <c r="M34" s="154" t="s">
        <v>38</v>
      </c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AE34" s="48">
        <v>0</v>
      </c>
      <c r="AF34" s="17" cm="1">
        <f t="array" ref="AF34:AF59">AE34:AE59*AC33</f>
        <v>0</v>
      </c>
      <c r="AG34" s="18" cm="1">
        <f t="array" ref="AG34:AG59">(COS(AF34:AF59)*$AL$32+AL33)</f>
        <v>-11500</v>
      </c>
      <c r="AH34" s="20" cm="1">
        <f t="array" ref="AH34:AH59">(SIN(AF34:AF59)*$AL$32+AL34)</f>
        <v>10000</v>
      </c>
      <c r="AK34" s="50" t="s">
        <v>84</v>
      </c>
      <c r="AL34" s="70">
        <v>10000</v>
      </c>
      <c r="AN34" s="23">
        <v>29</v>
      </c>
      <c r="AO34" s="58">
        <v>14.5</v>
      </c>
      <c r="AP34" s="45">
        <f t="shared" si="17"/>
        <v>2616.2041044260632</v>
      </c>
      <c r="AQ34" s="45">
        <f t="shared" si="18"/>
        <v>-5226.3179558563479</v>
      </c>
      <c r="AR34" s="45">
        <f t="shared" si="19"/>
        <v>2610.5159434752759</v>
      </c>
      <c r="AS34" s="45">
        <f t="shared" si="20"/>
        <v>1048.1662831407953</v>
      </c>
      <c r="AT34" s="45">
        <f t="shared" si="6"/>
        <v>-490.68961281616237</v>
      </c>
      <c r="AU34" s="45">
        <f t="shared" si="7"/>
        <v>-647.78615104362461</v>
      </c>
      <c r="AV34" s="64">
        <f t="shared" si="8"/>
        <v>679.2739565526083</v>
      </c>
      <c r="AW34" s="64">
        <f t="shared" si="9"/>
        <v>497.28243486924777</v>
      </c>
      <c r="AX34" s="64">
        <f t="shared" si="10"/>
        <v>-182.11699413277083</v>
      </c>
      <c r="AY34" s="64">
        <f t="shared" si="11"/>
        <v>122.60993246376452</v>
      </c>
      <c r="AZ34" s="64">
        <f t="shared" si="12"/>
        <v>-987.84657523599981</v>
      </c>
      <c r="BA34" s="64">
        <f t="shared" si="13"/>
        <v>-1267.6785183766369</v>
      </c>
      <c r="BB34" s="65">
        <f t="shared" si="14"/>
        <v>21544.269039643117</v>
      </c>
      <c r="BC34" s="65">
        <f t="shared" si="15"/>
        <v>27264.142139188825</v>
      </c>
      <c r="BD34" s="66">
        <f t="shared" si="16"/>
        <v>12390.779864895205</v>
      </c>
      <c r="BF34" s="111"/>
      <c r="BG34" s="127">
        <v>-13309.016994374948</v>
      </c>
      <c r="BH34" s="54">
        <v>9412.2147477075268</v>
      </c>
    </row>
    <row r="35" spans="2:72" x14ac:dyDescent="0.25">
      <c r="B35" s="89" t="s">
        <v>3</v>
      </c>
      <c r="C35" s="90"/>
      <c r="D35" s="90"/>
      <c r="E35" s="90"/>
      <c r="F35" s="90"/>
      <c r="G35" s="90"/>
      <c r="H35" s="90"/>
      <c r="I35" s="90"/>
      <c r="J35" s="4" t="s">
        <v>67</v>
      </c>
      <c r="K35" s="97">
        <v>5000</v>
      </c>
      <c r="L35" s="98"/>
      <c r="M35" s="155" t="s">
        <v>38</v>
      </c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AE35" s="48">
        <v>1</v>
      </c>
      <c r="AF35" s="17">
        <v>0.25132741228718347</v>
      </c>
      <c r="AG35" s="18">
        <v>-11531.41683887137</v>
      </c>
      <c r="AH35" s="20">
        <v>10248.689887164855</v>
      </c>
      <c r="AK35" s="43" t="s">
        <v>2</v>
      </c>
      <c r="AL35" s="76">
        <f>AC32/100</f>
        <v>6.2831853071795868E-2</v>
      </c>
      <c r="AN35" s="23">
        <v>30</v>
      </c>
      <c r="AO35" s="58">
        <v>15</v>
      </c>
      <c r="AP35" s="45">
        <f t="shared" si="17"/>
        <v>3798.7896729596605</v>
      </c>
      <c r="AQ35" s="45">
        <f t="shared" si="18"/>
        <v>-4864.1813520468559</v>
      </c>
      <c r="AR35" s="45">
        <f t="shared" si="19"/>
        <v>2365.1711370671946</v>
      </c>
      <c r="AS35" s="45">
        <f t="shared" si="20"/>
        <v>724.27320761898295</v>
      </c>
      <c r="AT35" s="45">
        <f t="shared" si="6"/>
        <v>-434.12110445893438</v>
      </c>
      <c r="AU35" s="45">
        <f t="shared" si="7"/>
        <v>-468.04854010309657</v>
      </c>
      <c r="AV35" s="64">
        <f t="shared" si="8"/>
        <v>725.08661011304014</v>
      </c>
      <c r="AW35" s="64">
        <f t="shared" si="9"/>
        <v>553.36003683721572</v>
      </c>
      <c r="AX35" s="64">
        <f t="shared" si="10"/>
        <v>-176.71930690812735</v>
      </c>
      <c r="AY35" s="64">
        <f t="shared" si="11"/>
        <v>110.37484940988426</v>
      </c>
      <c r="AZ35" s="64">
        <f t="shared" si="12"/>
        <v>-982.48840766384717</v>
      </c>
      <c r="BA35" s="64">
        <f t="shared" si="13"/>
        <v>-1131.7834263501966</v>
      </c>
      <c r="BB35" s="65">
        <f t="shared" si="14"/>
        <v>20380.191278967472</v>
      </c>
      <c r="BC35" s="65">
        <f t="shared" si="15"/>
        <v>28059.334938025688</v>
      </c>
      <c r="BD35" s="66">
        <f t="shared" si="16"/>
        <v>13422.127974847217</v>
      </c>
      <c r="BF35" s="111"/>
      <c r="BG35" s="125">
        <v>-13137.42398974869</v>
      </c>
      <c r="BH35" s="126">
        <v>9229.486757224211</v>
      </c>
    </row>
    <row r="36" spans="2:72" x14ac:dyDescent="0.25">
      <c r="B36" s="89" t="s">
        <v>49</v>
      </c>
      <c r="C36" s="90"/>
      <c r="D36" s="90"/>
      <c r="E36" s="90"/>
      <c r="F36" s="90"/>
      <c r="G36" s="90"/>
      <c r="H36" s="90"/>
      <c r="I36" s="90"/>
      <c r="J36" s="9" t="s">
        <v>68</v>
      </c>
      <c r="K36" s="97">
        <v>1</v>
      </c>
      <c r="L36" s="98"/>
      <c r="M36" s="155" t="s">
        <v>51</v>
      </c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AE36" s="48">
        <v>2</v>
      </c>
      <c r="AF36" s="17">
        <v>0.50265482457436694</v>
      </c>
      <c r="AG36" s="18">
        <v>-11623.693319956137</v>
      </c>
      <c r="AH36" s="20">
        <v>10481.753674101716</v>
      </c>
      <c r="AK36" s="75" t="s">
        <v>86</v>
      </c>
      <c r="AL36" s="77">
        <v>7500</v>
      </c>
      <c r="AN36" s="23">
        <v>31</v>
      </c>
      <c r="AO36" s="58">
        <v>15.5</v>
      </c>
      <c r="AP36" s="45">
        <f t="shared" si="17"/>
        <v>4872.8449653785246</v>
      </c>
      <c r="AQ36" s="45">
        <f t="shared" si="18"/>
        <v>-4619.0568832631388</v>
      </c>
      <c r="AR36" s="45">
        <f t="shared" si="19"/>
        <v>2148.1105848377274</v>
      </c>
      <c r="AS36" s="45">
        <f t="shared" si="20"/>
        <v>490.24893756743467</v>
      </c>
      <c r="AT36" s="45">
        <f t="shared" si="6"/>
        <v>-376.67566859966257</v>
      </c>
      <c r="AU36" s="45">
        <f t="shared" si="7"/>
        <v>-307.31225735453665</v>
      </c>
      <c r="AV36" s="64">
        <f t="shared" si="8"/>
        <v>763.40134774392232</v>
      </c>
      <c r="AW36" s="64">
        <f t="shared" si="9"/>
        <v>611.5957916008656</v>
      </c>
      <c r="AX36" s="64">
        <f t="shared" si="10"/>
        <v>-170.7170650120525</v>
      </c>
      <c r="AY36" s="64">
        <f t="shared" si="11"/>
        <v>100.33924498097502</v>
      </c>
      <c r="AZ36" s="64">
        <f t="shared" si="12"/>
        <v>-969.35995133153244</v>
      </c>
      <c r="BA36" s="64">
        <f t="shared" si="13"/>
        <v>-1019.2472939363773</v>
      </c>
      <c r="BB36" s="65">
        <f t="shared" si="14"/>
        <v>19383.043083614128</v>
      </c>
      <c r="BC36" s="65">
        <f t="shared" si="15"/>
        <v>28850.914037996077</v>
      </c>
      <c r="BD36" s="66">
        <f t="shared" si="16"/>
        <v>14326.096736491991</v>
      </c>
      <c r="BF36" s="111"/>
      <c r="BG36" s="127">
        <v>-12925.779291565072</v>
      </c>
      <c r="BH36" s="54">
        <v>9095.1729475339798</v>
      </c>
    </row>
    <row r="37" spans="2:72" x14ac:dyDescent="0.25">
      <c r="B37" s="83" t="s">
        <v>52</v>
      </c>
      <c r="C37" s="84"/>
      <c r="D37" s="84"/>
      <c r="E37" s="84"/>
      <c r="F37" s="84"/>
      <c r="G37" s="84"/>
      <c r="H37" s="84"/>
      <c r="I37" s="84"/>
      <c r="J37" s="10" t="s">
        <v>69</v>
      </c>
      <c r="K37" s="95">
        <f>(4/3)*PI()*K35^3</f>
        <v>523598775598.29883</v>
      </c>
      <c r="L37" s="96"/>
      <c r="M37" s="156" t="s">
        <v>54</v>
      </c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AE37" s="48">
        <v>3</v>
      </c>
      <c r="AF37" s="17">
        <v>0.75398223686155041</v>
      </c>
      <c r="AG37" s="18">
        <v>-11771.031372578589</v>
      </c>
      <c r="AH37" s="20">
        <v>10684.547105928688</v>
      </c>
      <c r="AN37" s="23">
        <v>32</v>
      </c>
      <c r="AO37" s="58">
        <v>16</v>
      </c>
      <c r="AP37" s="45">
        <f t="shared" si="17"/>
        <v>5852.7313406474723</v>
      </c>
      <c r="AQ37" s="45">
        <f t="shared" si="18"/>
        <v>-4450.7604788180561</v>
      </c>
      <c r="AR37" s="45">
        <f t="shared" si="19"/>
        <v>1959.7727505378962</v>
      </c>
      <c r="AS37" s="45">
        <f t="shared" si="20"/>
        <v>336.59280889016634</v>
      </c>
      <c r="AT37" s="45">
        <f t="shared" si="6"/>
        <v>-322.11960856184066</v>
      </c>
      <c r="AU37" s="45">
        <f t="shared" si="7"/>
        <v>-162.06455825682428</v>
      </c>
      <c r="AV37" s="64">
        <f t="shared" si="8"/>
        <v>794.54006300602759</v>
      </c>
      <c r="AW37" s="64">
        <f t="shared" si="9"/>
        <v>671.17959038212064</v>
      </c>
      <c r="AX37" s="64">
        <f t="shared" si="10"/>
        <v>-164.72150919436547</v>
      </c>
      <c r="AY37" s="64">
        <f t="shared" si="11"/>
        <v>92.073485146021966</v>
      </c>
      <c r="AZ37" s="64">
        <f t="shared" si="12"/>
        <v>-951.93816237350279</v>
      </c>
      <c r="BA37" s="64">
        <f t="shared" si="13"/>
        <v>-925.31763378496692</v>
      </c>
      <c r="BB37" s="65">
        <f t="shared" si="14"/>
        <v>18519.338177752947</v>
      </c>
      <c r="BC37" s="65">
        <f t="shared" si="15"/>
        <v>29617.363086336129</v>
      </c>
      <c r="BD37" s="66">
        <f t="shared" si="16"/>
        <v>15135.000232161838</v>
      </c>
      <c r="BF37" s="111"/>
      <c r="BG37" s="125">
        <v>-12687.381314585724</v>
      </c>
      <c r="BH37" s="126">
        <v>9017.7127492713116</v>
      </c>
    </row>
    <row r="38" spans="2:72" x14ac:dyDescent="0.25">
      <c r="B38" s="83" t="s">
        <v>55</v>
      </c>
      <c r="C38" s="84"/>
      <c r="D38" s="84"/>
      <c r="E38" s="84"/>
      <c r="F38" s="84"/>
      <c r="G38" s="84"/>
      <c r="H38" s="84"/>
      <c r="I38" s="84"/>
      <c r="J38" s="10" t="s">
        <v>70</v>
      </c>
      <c r="K38" s="95">
        <f>K36*K37</f>
        <v>523598775598.29883</v>
      </c>
      <c r="L38" s="96"/>
      <c r="M38" s="156" t="s">
        <v>35</v>
      </c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AE38" s="48">
        <v>4</v>
      </c>
      <c r="AF38" s="17">
        <v>1.0053096491487339</v>
      </c>
      <c r="AG38" s="18">
        <v>-11964.173205021003</v>
      </c>
      <c r="AH38" s="20">
        <v>10844.327925502015</v>
      </c>
      <c r="AN38" s="23">
        <v>33</v>
      </c>
      <c r="AO38" s="58">
        <v>16.5</v>
      </c>
      <c r="AP38" s="45">
        <f t="shared" si="17"/>
        <v>6752.0878137759601</v>
      </c>
      <c r="AQ38" s="45">
        <f t="shared" si="18"/>
        <v>-4322.9802139371795</v>
      </c>
      <c r="AR38" s="45">
        <f t="shared" si="19"/>
        <v>1798.7129462569758</v>
      </c>
      <c r="AS38" s="45">
        <f t="shared" si="20"/>
        <v>255.5605297617542</v>
      </c>
      <c r="AT38" s="45">
        <f t="shared" si="6"/>
        <v>-270.75973734059005</v>
      </c>
      <c r="AU38" s="45">
        <f t="shared" si="7"/>
        <v>-29.473920717353167</v>
      </c>
      <c r="AV38" s="64">
        <f t="shared" si="8"/>
        <v>819.63178594787132</v>
      </c>
      <c r="AW38" s="64">
        <f t="shared" si="9"/>
        <v>731.47302395711972</v>
      </c>
      <c r="AX38" s="64">
        <f t="shared" si="10"/>
        <v>-159.07883431833193</v>
      </c>
      <c r="AY38" s="64">
        <f t="shared" si="11"/>
        <v>85.170286979409369</v>
      </c>
      <c r="AZ38" s="64">
        <f t="shared" si="12"/>
        <v>-931.31268897012944</v>
      </c>
      <c r="BA38" s="64">
        <f t="shared" si="13"/>
        <v>-846.1172316538823</v>
      </c>
      <c r="BB38" s="65">
        <f t="shared" si="14"/>
        <v>17756.408376500396</v>
      </c>
      <c r="BC38" s="65">
        <f t="shared" si="15"/>
        <v>30345.048436356403</v>
      </c>
      <c r="BD38" s="66">
        <f t="shared" si="16"/>
        <v>15877.98222365419</v>
      </c>
      <c r="BF38" s="111"/>
      <c r="BG38" s="127">
        <v>-12437.209480470687</v>
      </c>
      <c r="BH38" s="54">
        <v>9001.9732715717291</v>
      </c>
    </row>
    <row r="39" spans="2:72" x14ac:dyDescent="0.25">
      <c r="B39" s="83" t="s">
        <v>57</v>
      </c>
      <c r="C39" s="84"/>
      <c r="D39" s="84"/>
      <c r="E39" s="84"/>
      <c r="F39" s="84"/>
      <c r="G39" s="84"/>
      <c r="H39" s="84"/>
      <c r="I39" s="84"/>
      <c r="J39" s="11" t="s">
        <v>71</v>
      </c>
      <c r="K39" s="95">
        <f>K35*K7</f>
        <v>10000</v>
      </c>
      <c r="L39" s="96"/>
      <c r="M39" s="156" t="s">
        <v>38</v>
      </c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AE39" s="48">
        <v>5</v>
      </c>
      <c r="AF39" s="17">
        <v>1.2566370614359172</v>
      </c>
      <c r="AG39" s="18">
        <v>-12190.983005625052</v>
      </c>
      <c r="AH39" s="20">
        <v>10951.056516295153</v>
      </c>
      <c r="AN39" s="23">
        <v>34</v>
      </c>
      <c r="AO39" s="58">
        <v>17</v>
      </c>
      <c r="AP39" s="45">
        <f t="shared" si="17"/>
        <v>7583.7543525693</v>
      </c>
      <c r="AQ39" s="45">
        <f t="shared" si="18"/>
        <v>-4202.56842923564</v>
      </c>
      <c r="AR39" s="45">
        <f t="shared" si="19"/>
        <v>1663.3330775866807</v>
      </c>
      <c r="AS39" s="45">
        <f t="shared" si="20"/>
        <v>240.82356940307761</v>
      </c>
      <c r="AT39" s="45">
        <f t="shared" si="6"/>
        <v>-221.03685896135744</v>
      </c>
      <c r="AU39" s="45">
        <f t="shared" si="7"/>
        <v>92.737967893847213</v>
      </c>
      <c r="AV39" s="64">
        <f t="shared" si="8"/>
        <v>840.49493747163467</v>
      </c>
      <c r="AW39" s="64">
        <f t="shared" si="9"/>
        <v>792.18386938271419</v>
      </c>
      <c r="AX39" s="64">
        <f t="shared" si="10"/>
        <v>-153.97423353965598</v>
      </c>
      <c r="AY39" s="64">
        <f t="shared" si="11"/>
        <v>79.279620904192839</v>
      </c>
      <c r="AZ39" s="64">
        <f t="shared" si="12"/>
        <v>-907.55756289333613</v>
      </c>
      <c r="BA39" s="64">
        <f t="shared" si="13"/>
        <v>-778.7255223930598</v>
      </c>
      <c r="BB39" s="65">
        <f t="shared" si="14"/>
        <v>17062.041607565156</v>
      </c>
      <c r="BC39" s="65">
        <f t="shared" si="15"/>
        <v>31025.416261027131</v>
      </c>
      <c r="BD39" s="66">
        <f t="shared" si="16"/>
        <v>16581.176138354775</v>
      </c>
      <c r="BF39" s="111"/>
      <c r="BG39" s="125">
        <v>-12190.983005625052</v>
      </c>
      <c r="BH39" s="126">
        <v>9048.9434837048466</v>
      </c>
    </row>
    <row r="40" spans="2:72" ht="15.75" thickBot="1" x14ac:dyDescent="0.3">
      <c r="B40" s="161" t="s">
        <v>59</v>
      </c>
      <c r="C40" s="162"/>
      <c r="D40" s="162"/>
      <c r="E40" s="162"/>
      <c r="F40" s="162"/>
      <c r="G40" s="162"/>
      <c r="H40" s="162"/>
      <c r="I40" s="162"/>
      <c r="J40" s="163" t="s">
        <v>72</v>
      </c>
      <c r="K40" s="164" t="s">
        <v>61</v>
      </c>
      <c r="L40" s="165"/>
      <c r="M40" s="166" t="s">
        <v>32</v>
      </c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AE40" s="48">
        <v>6</v>
      </c>
      <c r="AF40" s="17">
        <v>1.5079644737231008</v>
      </c>
      <c r="AG40" s="18">
        <v>-12437.209480470687</v>
      </c>
      <c r="AH40" s="20">
        <v>10998.026728428271</v>
      </c>
      <c r="AN40" s="23">
        <v>35</v>
      </c>
      <c r="AO40" s="58">
        <v>17.5</v>
      </c>
      <c r="AP40" s="45">
        <f t="shared" si="17"/>
        <v>8360.1616766223015</v>
      </c>
      <c r="AQ40" s="45">
        <f t="shared" si="18"/>
        <v>-4058.9721525606396</v>
      </c>
      <c r="AR40" s="45">
        <f t="shared" si="19"/>
        <v>1552.8146481060021</v>
      </c>
      <c r="AS40" s="45">
        <f t="shared" si="20"/>
        <v>287.19255335000122</v>
      </c>
      <c r="AT40" s="45">
        <f t="shared" si="6"/>
        <v>-170.36836191204111</v>
      </c>
      <c r="AU40" s="45">
        <f t="shared" si="7"/>
        <v>206.6710826918702</v>
      </c>
      <c r="AV40" s="64">
        <f t="shared" si="8"/>
        <v>859.48269864626047</v>
      </c>
      <c r="AW40" s="64">
        <f t="shared" si="9"/>
        <v>853.51156117921823</v>
      </c>
      <c r="AX40" s="64">
        <f t="shared" si="10"/>
        <v>-149.49484356528703</v>
      </c>
      <c r="AY40" s="64">
        <f t="shared" si="11"/>
        <v>74.109021894902597</v>
      </c>
      <c r="AZ40" s="64">
        <f t="shared" si="12"/>
        <v>-880.35621699301453</v>
      </c>
      <c r="BA40" s="64">
        <f t="shared" si="13"/>
        <v>-720.94950038225068</v>
      </c>
      <c r="BB40" s="65">
        <f t="shared" si="14"/>
        <v>16404.13586319147</v>
      </c>
      <c r="BC40" s="65">
        <f t="shared" si="15"/>
        <v>31653.6485781755</v>
      </c>
      <c r="BD40" s="66">
        <f t="shared" si="16"/>
        <v>17268.468675129559</v>
      </c>
      <c r="BF40" s="111"/>
      <c r="BG40" s="127">
        <v>-11964.173205021003</v>
      </c>
      <c r="BH40" s="54">
        <v>9155.6720744979848</v>
      </c>
    </row>
    <row r="41" spans="2:72" ht="15.75" thickTop="1" x14ac:dyDescent="0.25">
      <c r="AE41" s="48">
        <v>7</v>
      </c>
      <c r="AF41" s="17">
        <v>1.7592918860102844</v>
      </c>
      <c r="AG41" s="18">
        <v>-12687.381314585726</v>
      </c>
      <c r="AH41" s="20">
        <v>10982.287250728688</v>
      </c>
      <c r="AN41" s="23">
        <v>36</v>
      </c>
      <c r="AO41" s="58">
        <v>18</v>
      </c>
      <c r="AP41" s="45">
        <f t="shared" si="17"/>
        <v>9093.9769101972925</v>
      </c>
      <c r="AQ41" s="45">
        <f t="shared" si="18"/>
        <v>-3863.7081052126714</v>
      </c>
      <c r="AR41" s="45">
        <f t="shared" si="19"/>
        <v>1467.6304671499815</v>
      </c>
      <c r="AS41" s="45">
        <f t="shared" si="20"/>
        <v>390.52809469593632</v>
      </c>
      <c r="AT41" s="45">
        <f t="shared" si="6"/>
        <v>-115.60563923706911</v>
      </c>
      <c r="AU41" s="45">
        <f t="shared" si="7"/>
        <v>314.59805493215742</v>
      </c>
      <c r="AV41" s="64">
        <f t="shared" si="8"/>
        <v>879.33712718023469</v>
      </c>
      <c r="AW41" s="64">
        <f t="shared" si="9"/>
        <v>916.2396188850563</v>
      </c>
      <c r="AX41" s="64">
        <f t="shared" si="10"/>
        <v>-145.66491561255424</v>
      </c>
      <c r="AY41" s="64">
        <f t="shared" si="11"/>
        <v>69.411475696712984</v>
      </c>
      <c r="AZ41" s="64">
        <f t="shared" si="12"/>
        <v>-849.27785080474962</v>
      </c>
      <c r="BA41" s="64">
        <f t="shared" si="13"/>
        <v>-671.05303964961183</v>
      </c>
      <c r="BB41" s="65">
        <f t="shared" si="14"/>
        <v>15750.403218196858</v>
      </c>
      <c r="BC41" s="65">
        <f t="shared" si="15"/>
        <v>32228.277876387263</v>
      </c>
      <c r="BD41" s="66">
        <f t="shared" si="16"/>
        <v>17962.660780382186</v>
      </c>
      <c r="BF41" s="111"/>
      <c r="BG41" s="125">
        <v>-11771.031372578589</v>
      </c>
      <c r="BH41" s="126">
        <v>9315.4528940713117</v>
      </c>
    </row>
    <row r="42" spans="2:72" x14ac:dyDescent="0.25">
      <c r="AE42" s="48">
        <v>8</v>
      </c>
      <c r="AF42" s="17">
        <v>2.0106192982974678</v>
      </c>
      <c r="AG42" s="18">
        <v>-12925.779291565073</v>
      </c>
      <c r="AH42" s="20">
        <v>10904.82705246602</v>
      </c>
      <c r="AN42" s="23">
        <v>37</v>
      </c>
      <c r="AO42" s="58">
        <v>18.5</v>
      </c>
      <c r="AP42" s="45">
        <f t="shared" si="17"/>
        <v>9798.8907339630168</v>
      </c>
      <c r="AQ42" s="45">
        <f t="shared" si="18"/>
        <v>-3589.7945441316638</v>
      </c>
      <c r="AR42" s="45">
        <f t="shared" si="19"/>
        <v>1409.8276475314469</v>
      </c>
      <c r="AS42" s="45">
        <f t="shared" si="20"/>
        <v>547.82712216201503</v>
      </c>
      <c r="AT42" s="45">
        <f t="shared" si="6"/>
        <v>-53.265171466411971</v>
      </c>
      <c r="AU42" s="45">
        <f t="shared" si="7"/>
        <v>419.21047689993281</v>
      </c>
      <c r="AV42" s="64">
        <f t="shared" si="8"/>
        <v>903.09287078350883</v>
      </c>
      <c r="AW42" s="64">
        <f t="shared" si="9"/>
        <v>981.76719120173868</v>
      </c>
      <c r="AX42" s="64">
        <f t="shared" si="10"/>
        <v>-142.46332598697975</v>
      </c>
      <c r="AY42" s="64">
        <f t="shared" si="11"/>
        <v>64.970449656037559</v>
      </c>
      <c r="AZ42" s="64">
        <f t="shared" si="12"/>
        <v>-813.89471626294107</v>
      </c>
      <c r="BA42" s="64">
        <f t="shared" si="13"/>
        <v>-627.52716395784353</v>
      </c>
      <c r="BB42" s="65">
        <f t="shared" si="14"/>
        <v>15068.05140981003</v>
      </c>
      <c r="BC42" s="65">
        <f t="shared" si="15"/>
        <v>32751.43362856621</v>
      </c>
      <c r="BD42" s="66">
        <f t="shared" si="16"/>
        <v>18686.892612226999</v>
      </c>
      <c r="BF42" s="111"/>
      <c r="BG42" s="127">
        <v>-11623.693319956137</v>
      </c>
      <c r="BH42" s="54">
        <v>9518.2463258982843</v>
      </c>
      <c r="BQ42" s="178"/>
      <c r="BR42" s="178"/>
      <c r="BS42" s="178"/>
      <c r="BT42" s="26"/>
    </row>
    <row r="43" spans="2:72" x14ac:dyDescent="0.25">
      <c r="AE43" s="48">
        <v>9</v>
      </c>
      <c r="AF43" s="17">
        <v>2.2619467105846511</v>
      </c>
      <c r="AG43" s="18">
        <v>-13137.42398974869</v>
      </c>
      <c r="AH43" s="20">
        <v>10770.513242775789</v>
      </c>
      <c r="AN43" s="23">
        <v>38</v>
      </c>
      <c r="AO43" s="58">
        <v>19</v>
      </c>
      <c r="AP43" s="45">
        <f t="shared" si="17"/>
        <v>10490.488264862139</v>
      </c>
      <c r="AQ43" s="45">
        <f t="shared" si="18"/>
        <v>-3211.078363825673</v>
      </c>
      <c r="AR43" s="45">
        <f t="shared" si="19"/>
        <v>1383.1950617982409</v>
      </c>
      <c r="AS43" s="45">
        <f t="shared" si="20"/>
        <v>757.43236061198149</v>
      </c>
      <c r="AT43" s="45">
        <f t="shared" si="6"/>
        <v>20.380986111640482</v>
      </c>
      <c r="AU43" s="45">
        <f t="shared" si="7"/>
        <v>523.73197708955172</v>
      </c>
      <c r="AV43" s="64">
        <f t="shared" si="8"/>
        <v>934.04902860463801</v>
      </c>
      <c r="AW43" s="64">
        <f t="shared" si="9"/>
        <v>1052.0700346866427</v>
      </c>
      <c r="AX43" s="64">
        <f t="shared" si="10"/>
        <v>-139.82949130909984</v>
      </c>
      <c r="AY43" s="64">
        <f t="shared" si="11"/>
        <v>60.586053959236295</v>
      </c>
      <c r="AZ43" s="64">
        <f t="shared" si="12"/>
        <v>-773.83855118389772</v>
      </c>
      <c r="BA43" s="64">
        <f t="shared" si="13"/>
        <v>-588.92411155632726</v>
      </c>
      <c r="BB43" s="65">
        <f t="shared" si="14"/>
        <v>14323.338059151545</v>
      </c>
      <c r="BC43" s="65">
        <f t="shared" si="15"/>
        <v>33229.542069743278</v>
      </c>
      <c r="BD43" s="66">
        <f t="shared" si="16"/>
        <v>19466.224596148346</v>
      </c>
      <c r="BF43" s="111"/>
      <c r="BG43" s="125">
        <v>-11531.41683887137</v>
      </c>
      <c r="BH43" s="126">
        <v>9751.3101128351464</v>
      </c>
      <c r="BQ43" s="178"/>
      <c r="BR43" s="178"/>
      <c r="BS43" s="178"/>
      <c r="BT43" s="26"/>
    </row>
    <row r="44" spans="2:72" x14ac:dyDescent="0.25">
      <c r="AE44" s="48">
        <v>10</v>
      </c>
      <c r="AF44" s="17">
        <v>2.5132741228718345</v>
      </c>
      <c r="AG44" s="18">
        <v>-13309.016994374948</v>
      </c>
      <c r="AH44" s="20">
        <v>10587.785252292473</v>
      </c>
      <c r="AN44" s="23">
        <v>39</v>
      </c>
      <c r="AO44" s="58">
        <v>19.5</v>
      </c>
      <c r="AP44" s="45">
        <f t="shared" si="17"/>
        <v>11187.181042289169</v>
      </c>
      <c r="AQ44" s="45">
        <f t="shared" si="18"/>
        <v>-2701.4291892472943</v>
      </c>
      <c r="AR44" s="45">
        <f t="shared" si="19"/>
        <v>1393.3855548540612</v>
      </c>
      <c r="AS44" s="45">
        <f t="shared" si="20"/>
        <v>1019.2983491567574</v>
      </c>
      <c r="AT44" s="45">
        <f t="shared" si="6"/>
        <v>109.26938460838892</v>
      </c>
      <c r="AU44" s="45">
        <f t="shared" si="7"/>
        <v>631.83570450473781</v>
      </c>
      <c r="AV44" s="64">
        <f t="shared" si="8"/>
        <v>975.7811308802552</v>
      </c>
      <c r="AW44" s="64">
        <f t="shared" si="9"/>
        <v>1129.532123449437</v>
      </c>
      <c r="AX44" s="64">
        <f t="shared" si="10"/>
        <v>-137.66075869611757</v>
      </c>
      <c r="AY44" s="64">
        <f t="shared" si="11"/>
        <v>56.064329005750217</v>
      </c>
      <c r="AZ44" s="64">
        <f t="shared" si="12"/>
        <v>-728.85098757574872</v>
      </c>
      <c r="BA44" s="64">
        <f t="shared" si="13"/>
        <v>-553.76074795044951</v>
      </c>
      <c r="BB44" s="65">
        <f t="shared" si="14"/>
        <v>13480.910039185565</v>
      </c>
      <c r="BC44" s="65">
        <f t="shared" si="15"/>
        <v>33674.420036787335</v>
      </c>
      <c r="BD44" s="66">
        <f t="shared" si="16"/>
        <v>20329.281199367189</v>
      </c>
      <c r="BF44" s="111"/>
      <c r="BG44" s="128">
        <v>-11500</v>
      </c>
      <c r="BH44" s="129">
        <v>10000</v>
      </c>
      <c r="BQ44" s="178"/>
      <c r="BR44" s="178"/>
      <c r="BS44" s="178"/>
      <c r="BT44" s="26"/>
    </row>
    <row r="45" spans="2:72" x14ac:dyDescent="0.25">
      <c r="AE45" s="48">
        <v>11</v>
      </c>
      <c r="AF45" s="17">
        <v>2.7646015351590183</v>
      </c>
      <c r="AG45" s="18">
        <v>-13429.776485888251</v>
      </c>
      <c r="AH45" s="20">
        <v>10368.124552684678</v>
      </c>
      <c r="AN45" s="23">
        <v>40</v>
      </c>
      <c r="AO45" s="58">
        <v>20</v>
      </c>
      <c r="AP45" s="45">
        <f t="shared" si="17"/>
        <v>11911.191165868295</v>
      </c>
      <c r="AQ45" s="45">
        <f t="shared" si="18"/>
        <v>-2033.8210885427311</v>
      </c>
      <c r="AR45" s="45">
        <f t="shared" si="19"/>
        <v>1448.0202471582556</v>
      </c>
      <c r="AS45" s="45">
        <f t="shared" si="20"/>
        <v>1335.2162014091264</v>
      </c>
      <c r="AT45" s="45">
        <f t="shared" si="6"/>
        <v>217.39502229367315</v>
      </c>
      <c r="AU45" s="45">
        <f t="shared" si="7"/>
        <v>747.14180425292136</v>
      </c>
      <c r="AV45" s="64">
        <f t="shared" si="8"/>
        <v>1032.0551690495847</v>
      </c>
      <c r="AW45" s="64">
        <f t="shared" si="9"/>
        <v>1216.4250060782501</v>
      </c>
      <c r="AX45" s="64">
        <f t="shared" si="10"/>
        <v>-135.80263949790682</v>
      </c>
      <c r="AY45" s="64">
        <f t="shared" si="11"/>
        <v>51.211647305025004</v>
      </c>
      <c r="AZ45" s="64">
        <f t="shared" si="12"/>
        <v>-678.85750725800472</v>
      </c>
      <c r="BA45" s="64">
        <f t="shared" si="13"/>
        <v>-520.49484913035383</v>
      </c>
      <c r="BB45" s="65">
        <f t="shared" si="14"/>
        <v>12502.902579140142</v>
      </c>
      <c r="BC45" s="65">
        <f t="shared" si="15"/>
        <v>34104.79396823336</v>
      </c>
      <c r="BD45" s="66">
        <f t="shared" si="16"/>
        <v>21309.861149534998</v>
      </c>
      <c r="BG45" s="30"/>
      <c r="BH45" s="30"/>
    </row>
    <row r="46" spans="2:72" x14ac:dyDescent="0.25">
      <c r="AE46" s="48">
        <v>12</v>
      </c>
      <c r="AF46" s="17">
        <v>3.0159289474462017</v>
      </c>
      <c r="AG46" s="18">
        <v>-13492.114701314478</v>
      </c>
      <c r="AH46" s="20">
        <v>10125.333233564304</v>
      </c>
      <c r="AN46" s="23">
        <v>41</v>
      </c>
      <c r="AO46" s="58">
        <v>20.5</v>
      </c>
      <c r="AP46" s="45">
        <f t="shared" si="17"/>
        <v>12689.550045020842</v>
      </c>
      <c r="AQ46" s="45">
        <f t="shared" si="18"/>
        <v>-1179.4275367749376</v>
      </c>
      <c r="AR46" s="45">
        <f t="shared" si="19"/>
        <v>1556.7177583050923</v>
      </c>
      <c r="AS46" s="45">
        <f t="shared" si="20"/>
        <v>1708.787103535587</v>
      </c>
      <c r="AT46" s="45">
        <f t="shared" si="6"/>
        <v>348.08071008053776</v>
      </c>
      <c r="AU46" s="45">
        <f t="shared" si="7"/>
        <v>871.59484177071624</v>
      </c>
      <c r="AV46" s="64">
        <f t="shared" si="8"/>
        <v>1106.1893768116483</v>
      </c>
      <c r="AW46" s="64">
        <f t="shared" si="9"/>
        <v>1313.3378379052594</v>
      </c>
      <c r="AX46" s="64">
        <f t="shared" si="10"/>
        <v>-134.03303536668815</v>
      </c>
      <c r="AY46" s="64">
        <f t="shared" si="11"/>
        <v>45.837663851360219</v>
      </c>
      <c r="AZ46" s="64">
        <f t="shared" si="12"/>
        <v>-624.07563136442241</v>
      </c>
      <c r="BA46" s="64">
        <f t="shared" si="13"/>
        <v>-487.58065998590348</v>
      </c>
      <c r="BB46" s="65">
        <f t="shared" si="14"/>
        <v>11347.913504710099</v>
      </c>
      <c r="BC46" s="65">
        <f t="shared" si="15"/>
        <v>34548.318080565426</v>
      </c>
      <c r="BD46" s="66">
        <f t="shared" si="16"/>
        <v>22448.349694499855</v>
      </c>
      <c r="BG46" s="30"/>
      <c r="BH46" s="30"/>
    </row>
    <row r="47" spans="2:72" x14ac:dyDescent="0.25">
      <c r="AE47" s="48">
        <v>13</v>
      </c>
      <c r="AF47" s="17">
        <v>3.267256359733385</v>
      </c>
      <c r="AG47" s="18">
        <v>-13492.114701314478</v>
      </c>
      <c r="AH47" s="20">
        <v>9874.6667664356955</v>
      </c>
      <c r="AN47" s="23">
        <v>42</v>
      </c>
      <c r="AO47" s="58">
        <v>21</v>
      </c>
      <c r="AP47" s="45">
        <f t="shared" si="17"/>
        <v>13554.929101693522</v>
      </c>
      <c r="AQ47" s="45">
        <f t="shared" si="18"/>
        <v>-107.13527456446505</v>
      </c>
      <c r="AR47" s="45">
        <f t="shared" si="19"/>
        <v>1730.7581133453612</v>
      </c>
      <c r="AS47" s="45">
        <f t="shared" si="20"/>
        <v>2144.5845244209449</v>
      </c>
      <c r="AT47" s="45">
        <f t="shared" si="6"/>
        <v>501.23816142966143</v>
      </c>
      <c r="AU47" s="45">
        <f t="shared" si="7"/>
        <v>1000.6766304288057</v>
      </c>
      <c r="AV47" s="64">
        <f t="shared" si="8"/>
        <v>1198.4343953036246</v>
      </c>
      <c r="AW47" s="64">
        <f t="shared" si="9"/>
        <v>1414.5154811502618</v>
      </c>
      <c r="AX47" s="64">
        <f t="shared" si="10"/>
        <v>-132.04382976735442</v>
      </c>
      <c r="AY47" s="64">
        <f t="shared" si="11"/>
        <v>39.773138711917483</v>
      </c>
      <c r="AZ47" s="64">
        <f t="shared" si="12"/>
        <v>-565.15240410660863</v>
      </c>
      <c r="BA47" s="64">
        <f t="shared" si="13"/>
        <v>-453.61198943337365</v>
      </c>
      <c r="BB47" s="65">
        <f t="shared" si="14"/>
        <v>9970.3282779314777</v>
      </c>
      <c r="BC47" s="65">
        <f t="shared" si="15"/>
        <v>35044.078679257989</v>
      </c>
      <c r="BD47" s="66">
        <f t="shared" si="16"/>
        <v>23792.494902783848</v>
      </c>
      <c r="BG47" s="30"/>
      <c r="BH47" s="30"/>
    </row>
    <row r="48" spans="2:72" x14ac:dyDescent="0.25">
      <c r="AE48" s="48">
        <v>14</v>
      </c>
      <c r="AF48" s="17">
        <v>3.5185837720205688</v>
      </c>
      <c r="AG48" s="18">
        <v>-13429.776485888251</v>
      </c>
      <c r="AH48" s="20">
        <v>9631.8754473153222</v>
      </c>
      <c r="AN48" s="23">
        <v>43</v>
      </c>
      <c r="AO48" s="58">
        <v>21.5</v>
      </c>
      <c r="AP48" s="45">
        <f t="shared" si="17"/>
        <v>14545.617698723618</v>
      </c>
      <c r="AQ48" s="45">
        <f t="shared" si="18"/>
        <v>1215.3261452532088</v>
      </c>
      <c r="AR48" s="45">
        <f t="shared" si="19"/>
        <v>1981.3771940601919</v>
      </c>
      <c r="AS48" s="45">
        <f t="shared" si="20"/>
        <v>2644.9228396353478</v>
      </c>
      <c r="AT48" s="45">
        <f t="shared" si="6"/>
        <v>664.31559582283671</v>
      </c>
      <c r="AU48" s="45">
        <f t="shared" si="7"/>
        <v>1109.8623463753111</v>
      </c>
      <c r="AV48" s="64">
        <f t="shared" si="8"/>
        <v>1297.0632160346613</v>
      </c>
      <c r="AW48" s="64">
        <f t="shared" si="9"/>
        <v>1494.5082378731063</v>
      </c>
      <c r="AX48" s="64">
        <f t="shared" si="10"/>
        <v>-129.43059794678254</v>
      </c>
      <c r="AY48" s="64">
        <f t="shared" si="11"/>
        <v>32.913164260176309</v>
      </c>
      <c r="AZ48" s="64">
        <f t="shared" si="12"/>
        <v>-503.317022265042</v>
      </c>
      <c r="BA48" s="64">
        <f t="shared" si="13"/>
        <v>-417.55905575797135</v>
      </c>
      <c r="BB48" s="65">
        <f t="shared" si="14"/>
        <v>8321.502974163679</v>
      </c>
      <c r="BC48" s="65">
        <f t="shared" si="15"/>
        <v>35645.058520370512</v>
      </c>
      <c r="BD48" s="66">
        <f t="shared" si="16"/>
        <v>25396.219663989174</v>
      </c>
      <c r="BG48" s="30"/>
      <c r="BH48" s="30"/>
    </row>
    <row r="49" spans="31:60" x14ac:dyDescent="0.25">
      <c r="AE49" s="48">
        <v>15</v>
      </c>
      <c r="AF49" s="17">
        <v>3.7699111843077522</v>
      </c>
      <c r="AG49" s="18">
        <v>-13309.016994374948</v>
      </c>
      <c r="AH49" s="20">
        <v>9412.2147477075268</v>
      </c>
      <c r="AN49" s="23">
        <v>44</v>
      </c>
      <c r="AO49" s="58">
        <v>22</v>
      </c>
      <c r="AP49" s="45">
        <f t="shared" si="17"/>
        <v>15702.385194709423</v>
      </c>
      <c r="AQ49" s="45">
        <f t="shared" si="18"/>
        <v>2815.2531516647105</v>
      </c>
      <c r="AR49" s="45">
        <f t="shared" si="19"/>
        <v>2313.53499197161</v>
      </c>
      <c r="AS49" s="45">
        <f t="shared" si="20"/>
        <v>3199.8540128230034</v>
      </c>
      <c r="AT49" s="45">
        <f t="shared" si="6"/>
        <v>786.12346986837747</v>
      </c>
      <c r="AU49" s="45">
        <f t="shared" si="7"/>
        <v>1120.4035612689418</v>
      </c>
      <c r="AV49" s="64">
        <f t="shared" si="8"/>
        <v>1352.3827051094747</v>
      </c>
      <c r="AW49" s="64">
        <f t="shared" si="9"/>
        <v>1474.2062521995601</v>
      </c>
      <c r="AX49" s="64">
        <f t="shared" si="10"/>
        <v>-125.71956172343741</v>
      </c>
      <c r="AY49" s="64">
        <f t="shared" si="11"/>
        <v>25.29980055787453</v>
      </c>
      <c r="AZ49" s="64">
        <f t="shared" si="12"/>
        <v>-440.53967351765988</v>
      </c>
      <c r="BA49" s="64">
        <f t="shared" si="13"/>
        <v>-379.102491488493</v>
      </c>
      <c r="BB49" s="65">
        <f t="shared" si="14"/>
        <v>6357.3851580378696</v>
      </c>
      <c r="BC49" s="65">
        <f t="shared" si="15"/>
        <v>36418.139654107406</v>
      </c>
      <c r="BD49" s="66">
        <f t="shared" si="16"/>
        <v>27312.487942478318</v>
      </c>
      <c r="BG49" s="30"/>
      <c r="BH49" s="30"/>
    </row>
    <row r="50" spans="31:60" x14ac:dyDescent="0.25">
      <c r="AE50" s="48">
        <v>16</v>
      </c>
      <c r="AF50" s="17">
        <v>4.0212385965949355</v>
      </c>
      <c r="AG50" s="18">
        <v>-13137.42398974869</v>
      </c>
      <c r="AH50" s="20">
        <v>9229.486757224211</v>
      </c>
      <c r="AN50" s="23">
        <v>45</v>
      </c>
      <c r="AO50" s="58">
        <v>22.5</v>
      </c>
      <c r="AP50" s="45">
        <f t="shared" si="17"/>
        <v>17055.683558162324</v>
      </c>
      <c r="AQ50" s="45">
        <f t="shared" si="18"/>
        <v>4695.2810483934472</v>
      </c>
      <c r="AR50" s="45">
        <f t="shared" si="19"/>
        <v>2706.5967269057987</v>
      </c>
      <c r="AS50" s="45">
        <f t="shared" si="20"/>
        <v>3760.0557934574745</v>
      </c>
      <c r="AT50" s="45">
        <f t="shared" si="6"/>
        <v>725.25294455183121</v>
      </c>
      <c r="AU50" s="45">
        <f t="shared" si="7"/>
        <v>845.53392573426197</v>
      </c>
      <c r="AV50" s="64">
        <f t="shared" si="8"/>
        <v>1225.4512327022092</v>
      </c>
      <c r="AW50" s="64">
        <f t="shared" si="9"/>
        <v>1167.349489949622</v>
      </c>
      <c r="AX50" s="64">
        <f t="shared" si="10"/>
        <v>-120.49723849990706</v>
      </c>
      <c r="AY50" s="64">
        <f t="shared" si="11"/>
        <v>17.249823058409429</v>
      </c>
      <c r="AZ50" s="64">
        <f t="shared" si="12"/>
        <v>-379.70104965047091</v>
      </c>
      <c r="BA50" s="64">
        <f t="shared" si="13"/>
        <v>-339.06538727376949</v>
      </c>
      <c r="BB50" s="65">
        <f t="shared" si="14"/>
        <v>4066.3801724846921</v>
      </c>
      <c r="BC50" s="65">
        <f t="shared" si="15"/>
        <v>37433.457322536953</v>
      </c>
      <c r="BD50" s="66">
        <f t="shared" si="16"/>
        <v>29569.532847053873</v>
      </c>
      <c r="BG50" s="30"/>
      <c r="BH50" s="30"/>
    </row>
    <row r="51" spans="31:60" x14ac:dyDescent="0.25">
      <c r="AE51" s="48">
        <v>17</v>
      </c>
      <c r="AF51" s="17">
        <v>4.2725660088821193</v>
      </c>
      <c r="AG51" s="18">
        <v>-12925.779291565072</v>
      </c>
      <c r="AH51" s="20">
        <v>9095.1729475339798</v>
      </c>
      <c r="AN51" s="23">
        <v>46</v>
      </c>
      <c r="AO51" s="58">
        <v>23</v>
      </c>
      <c r="AP51" s="45">
        <f t="shared" si="17"/>
        <v>18590.295157753182</v>
      </c>
      <c r="AQ51" s="45">
        <f t="shared" si="18"/>
        <v>6786.6924265557491</v>
      </c>
      <c r="AR51" s="45">
        <f t="shared" si="19"/>
        <v>3069.2231991817143</v>
      </c>
      <c r="AS51" s="45">
        <f t="shared" si="20"/>
        <v>4182.8227563246055</v>
      </c>
      <c r="AT51" s="45">
        <f t="shared" si="6"/>
        <v>272.91597159988436</v>
      </c>
      <c r="AU51" s="45">
        <f t="shared" si="7"/>
        <v>69.548351077675648</v>
      </c>
      <c r="AV51" s="64">
        <f t="shared" si="8"/>
        <v>711.32153809927911</v>
      </c>
      <c r="AW51" s="64">
        <f t="shared" si="9"/>
        <v>359.92714579283012</v>
      </c>
      <c r="AX51" s="64">
        <f t="shared" si="10"/>
        <v>-113.73360059345443</v>
      </c>
      <c r="AY51" s="64">
        <f t="shared" si="11"/>
        <v>9.470283620481867</v>
      </c>
      <c r="AZ51" s="64">
        <f t="shared" si="12"/>
        <v>-324.67196590594034</v>
      </c>
      <c r="BA51" s="64">
        <f t="shared" si="13"/>
        <v>-299.84907833563636</v>
      </c>
      <c r="BB51" s="65">
        <f t="shared" si="14"/>
        <v>1579.89728672058</v>
      </c>
      <c r="BC51" s="65">
        <f t="shared" si="15"/>
        <v>38723.84570163535</v>
      </c>
      <c r="BD51" s="66">
        <f t="shared" si="16"/>
        <v>32111.711142809796</v>
      </c>
      <c r="BG51" s="30"/>
      <c r="BH51" s="30"/>
    </row>
    <row r="52" spans="31:60" x14ac:dyDescent="0.25">
      <c r="AE52" s="48">
        <v>18</v>
      </c>
      <c r="AF52" s="17">
        <v>4.5238934211693023</v>
      </c>
      <c r="AG52" s="18">
        <v>-12687.381314585724</v>
      </c>
      <c r="AH52" s="20">
        <v>9017.7127492713116</v>
      </c>
      <c r="AN52" s="23">
        <v>47</v>
      </c>
      <c r="AO52" s="58">
        <v>23.5</v>
      </c>
      <c r="AP52" s="45">
        <f t="shared" si="17"/>
        <v>20193.135750244011</v>
      </c>
      <c r="AQ52" s="45">
        <f t="shared" si="18"/>
        <v>8895.4908924874708</v>
      </c>
      <c r="AR52" s="45">
        <f t="shared" si="19"/>
        <v>3205.6811849816563</v>
      </c>
      <c r="AS52" s="45">
        <f t="shared" si="20"/>
        <v>4217.5969318634434</v>
      </c>
      <c r="AT52" s="45">
        <f t="shared" si="6"/>
        <v>-483.95883229392268</v>
      </c>
      <c r="AU52" s="45">
        <f t="shared" si="7"/>
        <v>-971.72310787894116</v>
      </c>
      <c r="AV52" s="64">
        <f t="shared" si="8"/>
        <v>-98.18808348135552</v>
      </c>
      <c r="AW52" s="64">
        <f t="shared" si="9"/>
        <v>-709.45216551527437</v>
      </c>
      <c r="AX52" s="64">
        <f t="shared" si="10"/>
        <v>-106.1808713818034</v>
      </c>
      <c r="AY52" s="64">
        <f t="shared" si="11"/>
        <v>2.917854934573159</v>
      </c>
      <c r="AZ52" s="64">
        <f t="shared" si="12"/>
        <v>-279.58987743076375</v>
      </c>
      <c r="BA52" s="64">
        <f t="shared" si="13"/>
        <v>-265.18879729823999</v>
      </c>
      <c r="BB52" s="65">
        <f t="shared" si="14"/>
        <v>1408.7924790535315</v>
      </c>
      <c r="BC52" s="65">
        <f t="shared" si="15"/>
        <v>40208.308865284562</v>
      </c>
      <c r="BD52" s="66">
        <f t="shared" si="16"/>
        <v>34723.026566288463</v>
      </c>
      <c r="BG52" s="30"/>
      <c r="BH52" s="30"/>
    </row>
    <row r="53" spans="31:60" x14ac:dyDescent="0.25">
      <c r="AE53" s="48">
        <v>19</v>
      </c>
      <c r="AF53" s="17">
        <v>4.7752208334564861</v>
      </c>
      <c r="AG53" s="18">
        <v>-12437.209480470687</v>
      </c>
      <c r="AH53" s="20">
        <v>9001.9732715717291</v>
      </c>
      <c r="AN53" s="23">
        <v>48</v>
      </c>
      <c r="AO53" s="58">
        <v>24</v>
      </c>
      <c r="AP53" s="45">
        <f t="shared" si="17"/>
        <v>21674.98663466136</v>
      </c>
      <c r="AQ53" s="45">
        <f t="shared" si="18"/>
        <v>10761.358581449456</v>
      </c>
      <c r="AR53" s="45">
        <f t="shared" si="19"/>
        <v>2963.701768834695</v>
      </c>
      <c r="AS53" s="45">
        <f t="shared" si="20"/>
        <v>3731.7353779239729</v>
      </c>
      <c r="AT53" s="45">
        <f t="shared" si="6"/>
        <v>-1071.4883974784454</v>
      </c>
      <c r="AU53" s="45">
        <f t="shared" si="7"/>
        <v>-1653.178689856391</v>
      </c>
      <c r="AV53" s="64">
        <f t="shared" si="8"/>
        <v>-725.85341859178982</v>
      </c>
      <c r="AW53" s="64">
        <f t="shared" si="9"/>
        <v>-1413.3057700949121</v>
      </c>
      <c r="AX53" s="64">
        <f t="shared" si="10"/>
        <v>-99.130184917192835</v>
      </c>
      <c r="AY53" s="64">
        <f t="shared" si="11"/>
        <v>-1.8110051870923536</v>
      </c>
      <c r="AZ53" s="64">
        <f t="shared" si="12"/>
        <v>-246.50479396946281</v>
      </c>
      <c r="BA53" s="64">
        <f t="shared" si="13"/>
        <v>-238.06191457438641</v>
      </c>
      <c r="BB53" s="65">
        <f t="shared" si="14"/>
        <v>3666.3387763664446</v>
      </c>
      <c r="BC53" s="65">
        <f t="shared" si="15"/>
        <v>41681.940668456758</v>
      </c>
      <c r="BD53" s="66">
        <f t="shared" si="16"/>
        <v>37083.722951200325</v>
      </c>
      <c r="BG53" s="30"/>
      <c r="BH53" s="30"/>
    </row>
    <row r="54" spans="31:60" x14ac:dyDescent="0.25">
      <c r="AE54" s="48">
        <v>20</v>
      </c>
      <c r="AF54" s="17">
        <v>5.026548245743669</v>
      </c>
      <c r="AG54" s="18">
        <v>-12190.983005625052</v>
      </c>
      <c r="AH54" s="20">
        <v>9048.9434837048466</v>
      </c>
      <c r="AN54" s="23">
        <v>49</v>
      </c>
      <c r="AO54" s="58">
        <v>24.5</v>
      </c>
      <c r="AP54" s="45">
        <f t="shared" si="17"/>
        <v>22888.965419709097</v>
      </c>
      <c r="AQ54" s="45">
        <f t="shared" si="18"/>
        <v>12213.931597947347</v>
      </c>
      <c r="AR54" s="45">
        <f t="shared" si="19"/>
        <v>2427.9575700954724</v>
      </c>
      <c r="AS54" s="45">
        <f t="shared" si="20"/>
        <v>2905.1460329957772</v>
      </c>
      <c r="AT54" s="45">
        <f t="shared" si="6"/>
        <v>-1331.6690637493234</v>
      </c>
      <c r="AU54" s="45">
        <f t="shared" si="7"/>
        <v>-1878.0465155684176</v>
      </c>
      <c r="AV54" s="64">
        <f t="shared" si="8"/>
        <v>-1013.8867997041264</v>
      </c>
      <c r="AW54" s="64">
        <f t="shared" si="9"/>
        <v>-1654.3614503867107</v>
      </c>
      <c r="AX54" s="64">
        <f t="shared" si="10"/>
        <v>-93.494668886254672</v>
      </c>
      <c r="AY54" s="64">
        <f t="shared" si="11"/>
        <v>-4.8262017901645109</v>
      </c>
      <c r="AZ54" s="64">
        <f t="shared" si="12"/>
        <v>-224.28759515894228</v>
      </c>
      <c r="BA54" s="64">
        <f t="shared" si="13"/>
        <v>-218.85886339154234</v>
      </c>
      <c r="BB54" s="65">
        <f t="shared" si="14"/>
        <v>5528.767702336695</v>
      </c>
      <c r="BC54" s="65">
        <f t="shared" si="15"/>
        <v>42946.069062178358</v>
      </c>
      <c r="BD54" s="66">
        <f t="shared" si="16"/>
        <v>38966.555726667539</v>
      </c>
      <c r="BG54" s="30"/>
      <c r="BH54" s="30"/>
    </row>
    <row r="55" spans="31:60" x14ac:dyDescent="0.25">
      <c r="AE55" s="48">
        <v>21</v>
      </c>
      <c r="AF55" s="17">
        <v>5.2778756580308528</v>
      </c>
      <c r="AG55" s="18">
        <v>-11964.173205021003</v>
      </c>
      <c r="AH55" s="20">
        <v>9155.6720744979848</v>
      </c>
      <c r="AN55" s="23">
        <v>50</v>
      </c>
      <c r="AO55" s="58">
        <v>25</v>
      </c>
      <c r="AP55" s="45">
        <f t="shared" si="17"/>
        <v>23770.026938819501</v>
      </c>
      <c r="AQ55" s="45">
        <f t="shared" si="18"/>
        <v>13196.992985553132</v>
      </c>
      <c r="AR55" s="45">
        <f t="shared" si="19"/>
        <v>1762.1230382208107</v>
      </c>
      <c r="AS55" s="45">
        <f t="shared" si="20"/>
        <v>1966.1227752115683</v>
      </c>
      <c r="AT55" s="45">
        <f t="shared" si="6"/>
        <v>-1411.5363319753874</v>
      </c>
      <c r="AU55" s="45">
        <f t="shared" si="7"/>
        <v>-1892.3462517324531</v>
      </c>
      <c r="AV55" s="64">
        <f t="shared" si="8"/>
        <v>-1111.31282084548</v>
      </c>
      <c r="AW55" s="64">
        <f t="shared" si="9"/>
        <v>-1679.335837078771</v>
      </c>
      <c r="AX55" s="64">
        <f t="shared" si="10"/>
        <v>-89.558544051543407</v>
      </c>
      <c r="AY55" s="64">
        <f t="shared" si="11"/>
        <v>-6.5414178869330524</v>
      </c>
      <c r="AZ55" s="64">
        <f t="shared" si="12"/>
        <v>-210.66496707836396</v>
      </c>
      <c r="BA55" s="64">
        <f t="shared" si="13"/>
        <v>-206.46899676674917</v>
      </c>
      <c r="BB55" s="65">
        <f t="shared" si="14"/>
        <v>6831.4590093819879</v>
      </c>
      <c r="BC55" s="65">
        <f t="shared" si="15"/>
        <v>43886.626919537353</v>
      </c>
      <c r="BD55" s="66">
        <f t="shared" si="16"/>
        <v>40283.803984824124</v>
      </c>
      <c r="BG55" s="30"/>
      <c r="BH55" s="30"/>
    </row>
    <row r="56" spans="31:60" x14ac:dyDescent="0.25">
      <c r="AE56" s="48">
        <v>22</v>
      </c>
      <c r="AF56" s="17">
        <v>5.5292030703180366</v>
      </c>
      <c r="AG56" s="18">
        <v>-11771.031372578589</v>
      </c>
      <c r="AH56" s="20">
        <v>9315.4528940713117</v>
      </c>
      <c r="AN56" s="23">
        <v>51</v>
      </c>
      <c r="AO56" s="58">
        <v>25.5</v>
      </c>
      <c r="AP56" s="45">
        <f t="shared" si="17"/>
        <v>24298.20437493606</v>
      </c>
      <c r="AQ56" s="45">
        <f t="shared" si="18"/>
        <v>13706.967810225804</v>
      </c>
      <c r="AR56" s="45">
        <f t="shared" si="19"/>
        <v>1056.354872233117</v>
      </c>
      <c r="AS56" s="45">
        <f t="shared" si="20"/>
        <v>1019.9496493453418</v>
      </c>
      <c r="AT56" s="45">
        <f t="shared" si="6"/>
        <v>-1435.1636298976271</v>
      </c>
      <c r="AU56" s="45">
        <f t="shared" si="7"/>
        <v>-1859.0937698156049</v>
      </c>
      <c r="AV56" s="64">
        <f t="shared" si="8"/>
        <v>-1144.0157768813474</v>
      </c>
      <c r="AW56" s="64">
        <f t="shared" si="9"/>
        <v>-1652.054784295505</v>
      </c>
      <c r="AX56" s="64">
        <f t="shared" si="10"/>
        <v>-87.300753848139934</v>
      </c>
      <c r="AY56" s="64">
        <f t="shared" si="11"/>
        <v>-7.3055124669253217</v>
      </c>
      <c r="AZ56" s="64">
        <f t="shared" si="12"/>
        <v>-203.84709916813975</v>
      </c>
      <c r="BA56" s="64">
        <f t="shared" si="13"/>
        <v>-199.73347305317463</v>
      </c>
      <c r="BB56" s="65">
        <f t="shared" si="14"/>
        <v>7549.9013401433795</v>
      </c>
      <c r="BC56" s="65">
        <f t="shared" si="15"/>
        <v>44453.037254946423</v>
      </c>
      <c r="BD56" s="66">
        <f t="shared" si="16"/>
        <v>41017.981184510565</v>
      </c>
      <c r="BG56" s="30"/>
      <c r="BH56" s="30"/>
    </row>
    <row r="57" spans="31:60" x14ac:dyDescent="0.25">
      <c r="AE57" s="48">
        <v>23</v>
      </c>
      <c r="AF57" s="17">
        <v>5.7805304826052195</v>
      </c>
      <c r="AG57" s="18">
        <v>-11623.693319956137</v>
      </c>
      <c r="AH57" s="20">
        <v>9518.2463258982843</v>
      </c>
      <c r="AN57" s="23">
        <v>52</v>
      </c>
      <c r="AO57" s="58">
        <v>26</v>
      </c>
      <c r="AP57" s="45">
        <f t="shared" si="17"/>
        <v>24467.590903578213</v>
      </c>
      <c r="AQ57" s="45">
        <f t="shared" si="18"/>
        <v>13752.169192444573</v>
      </c>
      <c r="AR57" s="45">
        <f t="shared" si="19"/>
        <v>338.77305728430349</v>
      </c>
      <c r="AS57" s="45">
        <f t="shared" si="20"/>
        <v>90.402764437539304</v>
      </c>
      <c r="AT57" s="45">
        <f t="shared" si="6"/>
        <v>-1455.7320952068717</v>
      </c>
      <c r="AU57" s="45">
        <f t="shared" si="7"/>
        <v>-1837.3128234633512</v>
      </c>
      <c r="AV57" s="64">
        <f t="shared" si="8"/>
        <v>-1166.2070292043647</v>
      </c>
      <c r="AW57" s="64">
        <f t="shared" si="9"/>
        <v>-1632.0481927215005</v>
      </c>
      <c r="AX57" s="64">
        <f t="shared" si="10"/>
        <v>-86.646070601239529</v>
      </c>
      <c r="AY57" s="64">
        <f t="shared" si="11"/>
        <v>-7.3111834967922098</v>
      </c>
      <c r="AZ57" s="64">
        <f t="shared" si="12"/>
        <v>-202.87899540126762</v>
      </c>
      <c r="BA57" s="64">
        <f t="shared" si="13"/>
        <v>-197.95344724505836</v>
      </c>
      <c r="BB57" s="65">
        <f t="shared" si="14"/>
        <v>7684.3339394307832</v>
      </c>
      <c r="BC57" s="65">
        <f t="shared" si="15"/>
        <v>44625.613882799662</v>
      </c>
      <c r="BD57" s="66">
        <f t="shared" si="16"/>
        <v>41170.695244695642</v>
      </c>
      <c r="BG57" s="30"/>
      <c r="BH57" s="30"/>
    </row>
    <row r="58" spans="31:60" x14ac:dyDescent="0.25">
      <c r="AE58" s="48">
        <v>24</v>
      </c>
      <c r="AF58" s="17">
        <v>6.0318578948924033</v>
      </c>
      <c r="AG58" s="18">
        <v>-11531.41683887137</v>
      </c>
      <c r="AH58" s="20">
        <v>9751.3101128351464</v>
      </c>
      <c r="AN58" s="23">
        <v>53</v>
      </c>
      <c r="AO58" s="58">
        <v>26.5</v>
      </c>
      <c r="AP58" s="45">
        <f t="shared" si="17"/>
        <v>24273.044408418649</v>
      </c>
      <c r="AQ58" s="45">
        <f t="shared" si="18"/>
        <v>13338.042368797505</v>
      </c>
      <c r="AR58" s="45">
        <f t="shared" si="19"/>
        <v>-389.09299031913235</v>
      </c>
      <c r="AS58" s="45">
        <f t="shared" si="20"/>
        <v>-828.25364729413627</v>
      </c>
      <c r="AT58" s="45">
        <f t="shared" si="6"/>
        <v>-1485.0510655980838</v>
      </c>
      <c r="AU58" s="45">
        <f t="shared" si="7"/>
        <v>-1833.2555191044239</v>
      </c>
      <c r="AV58" s="64">
        <f t="shared" si="8"/>
        <v>-1189.8934062542185</v>
      </c>
      <c r="AW58" s="64">
        <f t="shared" si="9"/>
        <v>-1625.6905981081759</v>
      </c>
      <c r="AX58" s="64">
        <f t="shared" si="10"/>
        <v>-87.564096785211888</v>
      </c>
      <c r="AY58" s="64">
        <f t="shared" si="11"/>
        <v>-6.6020457585460832</v>
      </c>
      <c r="AZ58" s="64">
        <f t="shared" si="12"/>
        <v>-207.59356255865356</v>
      </c>
      <c r="BA58" s="64">
        <f t="shared" si="13"/>
        <v>-200.96287523770175</v>
      </c>
      <c r="BB58" s="65">
        <f t="shared" si="14"/>
        <v>7234.7527405014107</v>
      </c>
      <c r="BC58" s="65">
        <f t="shared" si="15"/>
        <v>44398.704801443215</v>
      </c>
      <c r="BD58" s="66">
        <f t="shared" si="16"/>
        <v>40742.554831932335</v>
      </c>
      <c r="BG58" s="30"/>
      <c r="BH58" s="30"/>
    </row>
    <row r="59" spans="31:60" x14ac:dyDescent="0.25">
      <c r="AE59" s="48">
        <v>25</v>
      </c>
      <c r="AF59" s="17">
        <v>6.2831853071795871</v>
      </c>
      <c r="AG59" s="18">
        <v>-11500</v>
      </c>
      <c r="AH59" s="20">
        <v>10000</v>
      </c>
      <c r="AN59" s="23">
        <v>54</v>
      </c>
      <c r="AO59" s="58">
        <v>27</v>
      </c>
      <c r="AP59" s="45">
        <f t="shared" si="17"/>
        <v>23707.235146859559</v>
      </c>
      <c r="AQ59" s="45">
        <f t="shared" si="18"/>
        <v>12465.601665374332</v>
      </c>
      <c r="AR59" s="45">
        <f t="shared" si="19"/>
        <v>-1131.6185231181744</v>
      </c>
      <c r="AS59" s="45">
        <f t="shared" si="20"/>
        <v>-1744.8814068463482</v>
      </c>
      <c r="AT59" s="45">
        <f t="shared" si="6"/>
        <v>-1500.8515465108849</v>
      </c>
      <c r="AU59" s="45">
        <f t="shared" si="7"/>
        <v>-1811.0580792048997</v>
      </c>
      <c r="AV59" s="64">
        <f t="shared" si="8"/>
        <v>-1192.1774187240808</v>
      </c>
      <c r="AW59" s="64">
        <f t="shared" si="9"/>
        <v>-1596.8445327383035</v>
      </c>
      <c r="AX59" s="64">
        <f t="shared" si="10"/>
        <v>-90.088451161437234</v>
      </c>
      <c r="AY59" s="64">
        <f t="shared" si="11"/>
        <v>-5.0820472735986755</v>
      </c>
      <c r="AZ59" s="64">
        <f t="shared" si="12"/>
        <v>-218.5856766253668</v>
      </c>
      <c r="BA59" s="64">
        <f t="shared" si="13"/>
        <v>-209.13149919299752</v>
      </c>
      <c r="BB59" s="65">
        <f t="shared" si="14"/>
        <v>6196.8372847186456</v>
      </c>
      <c r="BC59" s="65">
        <f t="shared" si="15"/>
        <v>43776.724360728185</v>
      </c>
      <c r="BD59" s="66">
        <f t="shared" si="16"/>
        <v>39729.895854609313</v>
      </c>
      <c r="BG59" s="30"/>
      <c r="BH59" s="30"/>
    </row>
    <row r="60" spans="31:60" x14ac:dyDescent="0.25">
      <c r="AN60" s="23">
        <v>55</v>
      </c>
      <c r="AO60" s="58">
        <v>27.5</v>
      </c>
      <c r="AP60" s="45">
        <f t="shared" si="17"/>
        <v>22766.212998672752</v>
      </c>
      <c r="AQ60" s="45">
        <f t="shared" si="18"/>
        <v>11140.396442149933</v>
      </c>
      <c r="AR60" s="45">
        <f t="shared" si="19"/>
        <v>-1882.0442963736168</v>
      </c>
      <c r="AS60" s="45">
        <f t="shared" si="20"/>
        <v>-2650.4104464487982</v>
      </c>
      <c r="AT60" s="45">
        <f t="shared" si="6"/>
        <v>-1421.0213166326632</v>
      </c>
      <c r="AU60" s="45">
        <f t="shared" si="7"/>
        <v>-1659.6643297089888</v>
      </c>
      <c r="AV60" s="64">
        <f t="shared" si="8"/>
        <v>-1089.4842838574612</v>
      </c>
      <c r="AW60" s="64">
        <f t="shared" si="9"/>
        <v>-1433.7850023248238</v>
      </c>
      <c r="AX60" s="64">
        <f t="shared" si="10"/>
        <v>-94.27941508425063</v>
      </c>
      <c r="AY60" s="64">
        <f t="shared" si="11"/>
        <v>-2.514038583060719</v>
      </c>
      <c r="AZ60" s="64">
        <f t="shared" si="12"/>
        <v>-237.25761769095143</v>
      </c>
      <c r="BA60" s="64">
        <f t="shared" si="13"/>
        <v>-223.3652888011043</v>
      </c>
      <c r="BB60" s="65">
        <f t="shared" si="14"/>
        <v>4572.1352353188322</v>
      </c>
      <c r="BC60" s="65">
        <f t="shared" si="15"/>
        <v>42781.415103910651</v>
      </c>
      <c r="BD60" s="66">
        <f t="shared" si="16"/>
        <v>38135.061432236194</v>
      </c>
      <c r="BG60" s="30"/>
      <c r="BH60" s="30"/>
    </row>
    <row r="61" spans="31:60" x14ac:dyDescent="0.25">
      <c r="AF61" s="72" t="s">
        <v>10</v>
      </c>
      <c r="AG61" s="73" t="s">
        <v>0</v>
      </c>
      <c r="AH61" s="74" t="s">
        <v>1</v>
      </c>
      <c r="AN61" s="23">
        <v>56</v>
      </c>
      <c r="AO61" s="58">
        <v>28</v>
      </c>
      <c r="AP61" s="45">
        <f t="shared" si="17"/>
        <v>21469.935521327781</v>
      </c>
      <c r="AQ61" s="45">
        <f t="shared" si="18"/>
        <v>9400.2751364982869</v>
      </c>
      <c r="AR61" s="45">
        <f t="shared" si="19"/>
        <v>-2592.5549546899483</v>
      </c>
      <c r="AS61" s="45">
        <f t="shared" si="20"/>
        <v>-3480.2426113032925</v>
      </c>
      <c r="AT61" s="45">
        <f t="shared" si="6"/>
        <v>-1073.3268172092553</v>
      </c>
      <c r="AU61" s="45">
        <f t="shared" si="7"/>
        <v>-1158.1492845327052</v>
      </c>
      <c r="AV61" s="64">
        <f t="shared" si="8"/>
        <v>-707.52588826402598</v>
      </c>
      <c r="AW61" s="64">
        <f t="shared" si="9"/>
        <v>-914.66178916645458</v>
      </c>
      <c r="AX61" s="64">
        <f t="shared" si="10"/>
        <v>-100.09028444648065</v>
      </c>
      <c r="AY61" s="64">
        <f t="shared" si="11"/>
        <v>1.44747348706732</v>
      </c>
      <c r="AZ61" s="64">
        <f t="shared" si="12"/>
        <v>-265.71064449874882</v>
      </c>
      <c r="BA61" s="64">
        <f t="shared" si="13"/>
        <v>-244.93496885331803</v>
      </c>
      <c r="BB61" s="65">
        <f t="shared" si="14"/>
        <v>2402.4479247748031</v>
      </c>
      <c r="BC61" s="65">
        <f t="shared" si="15"/>
        <v>41474.271808616315</v>
      </c>
      <c r="BD61" s="66">
        <f t="shared" si="16"/>
        <v>36000.429347996207</v>
      </c>
      <c r="BG61" s="30"/>
      <c r="BH61" s="30"/>
    </row>
    <row r="62" spans="31:60" x14ac:dyDescent="0.25">
      <c r="AE62" s="71">
        <v>0</v>
      </c>
      <c r="AF62" s="17" cm="1">
        <f t="array" ref="AF62:AF162">$AL$35*AE62:AE162</f>
        <v>0</v>
      </c>
      <c r="AG62" s="18" cm="1">
        <f t="array" ref="AG62:AG162">COS(AF62:AF162)*$AL$36+$K$26</f>
        <v>-12500</v>
      </c>
      <c r="AH62" s="20" cm="1">
        <f t="array" ref="AH62:AH162">SIN(AF62:AF162)*$AL$36+$L$26</f>
        <v>10000</v>
      </c>
      <c r="AN62" s="23">
        <v>57</v>
      </c>
      <c r="AO62" s="58">
        <v>28.5</v>
      </c>
      <c r="AP62" s="45">
        <f t="shared" si="17"/>
        <v>19905.326339680494</v>
      </c>
      <c r="AQ62" s="45">
        <f t="shared" si="18"/>
        <v>7370.6165097134644</v>
      </c>
      <c r="AR62" s="45">
        <f t="shared" si="19"/>
        <v>-3129.2183632945762</v>
      </c>
      <c r="AS62" s="45">
        <f t="shared" si="20"/>
        <v>-4059.3172535696449</v>
      </c>
      <c r="AT62" s="45">
        <f t="shared" si="6"/>
        <v>-363.28865338421542</v>
      </c>
      <c r="AU62" s="45">
        <f t="shared" si="7"/>
        <v>-199.85776943439242</v>
      </c>
      <c r="AV62" s="64">
        <f t="shared" si="8"/>
        <v>49.551906766371943</v>
      </c>
      <c r="AW62" s="64">
        <f t="shared" si="9"/>
        <v>67.718926532993507</v>
      </c>
      <c r="AX62" s="64">
        <f t="shared" si="10"/>
        <v>-107.09025759607027</v>
      </c>
      <c r="AY62" s="64">
        <f t="shared" si="11"/>
        <v>7.0562348719259695</v>
      </c>
      <c r="AZ62" s="64">
        <f t="shared" si="12"/>
        <v>-305.75030255451708</v>
      </c>
      <c r="BA62" s="64">
        <f t="shared" si="13"/>
        <v>-274.63293083931188</v>
      </c>
      <c r="BB62" s="65">
        <f t="shared" si="14"/>
        <v>160.32214294045355</v>
      </c>
      <c r="BC62" s="65">
        <f t="shared" si="15"/>
        <v>39991.858269095093</v>
      </c>
      <c r="BD62" s="66">
        <f t="shared" si="16"/>
        <v>33477.152852514919</v>
      </c>
      <c r="BG62" s="30"/>
      <c r="BH62" s="30"/>
    </row>
    <row r="63" spans="31:60" x14ac:dyDescent="0.25">
      <c r="AE63" s="71">
        <v>1</v>
      </c>
      <c r="AF63" s="17">
        <v>6.2831853071795868E-2</v>
      </c>
      <c r="AG63" s="18">
        <v>-12514.799536787963</v>
      </c>
      <c r="AH63" s="20">
        <v>10470.92889646985</v>
      </c>
      <c r="AN63" s="23">
        <v>58</v>
      </c>
      <c r="AO63" s="58">
        <v>29</v>
      </c>
      <c r="AP63" s="45">
        <f t="shared" si="17"/>
        <v>18249.894994687154</v>
      </c>
      <c r="AQ63" s="45">
        <f t="shared" si="18"/>
        <v>5290.9934405700442</v>
      </c>
      <c r="AR63" s="45">
        <f t="shared" si="19"/>
        <v>-3310.862689986684</v>
      </c>
      <c r="AS63" s="45">
        <f t="shared" si="20"/>
        <v>-4159.2461382868414</v>
      </c>
      <c r="AT63" s="45">
        <f t="shared" si="6"/>
        <v>346.15310374572437</v>
      </c>
      <c r="AU63" s="45">
        <f t="shared" si="7"/>
        <v>734.17795449250434</v>
      </c>
      <c r="AV63" s="64">
        <f t="shared" si="8"/>
        <v>817.09688143725089</v>
      </c>
      <c r="AW63" s="64">
        <f t="shared" si="9"/>
        <v>1031.3508991204756</v>
      </c>
      <c r="AX63" s="64">
        <f t="shared" si="10"/>
        <v>-114.31089345109369</v>
      </c>
      <c r="AY63" s="64">
        <f t="shared" si="11"/>
        <v>14.072999341573787</v>
      </c>
      <c r="AZ63" s="64">
        <f t="shared" si="12"/>
        <v>-356.63288424043287</v>
      </c>
      <c r="BA63" s="64">
        <f t="shared" si="13"/>
        <v>-311.2459439695449</v>
      </c>
      <c r="BB63" s="65">
        <f t="shared" si="14"/>
        <v>2818.2578855075781</v>
      </c>
      <c r="BC63" s="65">
        <f t="shared" si="15"/>
        <v>38538.671615422194</v>
      </c>
      <c r="BD63" s="66">
        <f t="shared" si="16"/>
        <v>30859.067258574672</v>
      </c>
      <c r="BG63" s="30"/>
      <c r="BH63" s="30"/>
    </row>
    <row r="64" spans="31:60" x14ac:dyDescent="0.25">
      <c r="AE64" s="71">
        <v>2</v>
      </c>
      <c r="AF64" s="17">
        <v>0.12566370614359174</v>
      </c>
      <c r="AG64" s="18">
        <v>-12559.139740141416</v>
      </c>
      <c r="AH64" s="20">
        <v>10939.999251732283</v>
      </c>
      <c r="AN64" s="23">
        <v>59</v>
      </c>
      <c r="AO64" s="58">
        <v>29.5</v>
      </c>
      <c r="AP64" s="45">
        <f t="shared" si="17"/>
        <v>16681.00192563024</v>
      </c>
      <c r="AQ64" s="45">
        <f t="shared" si="18"/>
        <v>3394.9148600497497</v>
      </c>
      <c r="AR64" s="45">
        <f t="shared" si="19"/>
        <v>-3137.7861381138218</v>
      </c>
      <c r="AS64" s="45">
        <f t="shared" si="20"/>
        <v>-3792.157161040589</v>
      </c>
      <c r="AT64" s="45">
        <f t="shared" si="6"/>
        <v>666.49472335089399</v>
      </c>
      <c r="AU64" s="45">
        <f t="shared" si="7"/>
        <v>1156.5395778795803</v>
      </c>
      <c r="AV64" s="64">
        <f t="shared" si="8"/>
        <v>1201.8921621123677</v>
      </c>
      <c r="AW64" s="64">
        <f t="shared" si="9"/>
        <v>1486.5539370483193</v>
      </c>
      <c r="AX64" s="64">
        <f t="shared" si="10"/>
        <v>-120.79246959313673</v>
      </c>
      <c r="AY64" s="64">
        <f t="shared" si="11"/>
        <v>21.750892943031612</v>
      </c>
      <c r="AZ64" s="64">
        <f t="shared" si="12"/>
        <v>-414.60496916833694</v>
      </c>
      <c r="BA64" s="64">
        <f t="shared" si="13"/>
        <v>-351.76525211177074</v>
      </c>
      <c r="BB64" s="65">
        <f t="shared" si="14"/>
        <v>5278.9650712910134</v>
      </c>
      <c r="BC64" s="65">
        <f t="shared" si="15"/>
        <v>37270.941120047944</v>
      </c>
      <c r="BD64" s="66">
        <f t="shared" si="16"/>
        <v>28433.057120324949</v>
      </c>
      <c r="BG64" s="30"/>
      <c r="BH64" s="30"/>
    </row>
    <row r="65" spans="31:60" x14ac:dyDescent="0.25">
      <c r="AE65" s="71">
        <v>3</v>
      </c>
      <c r="AF65" s="17">
        <v>0.1884955592153876</v>
      </c>
      <c r="AG65" s="18">
        <v>-12632.845619534834</v>
      </c>
      <c r="AH65" s="20">
        <v>11405.359859392935</v>
      </c>
      <c r="AN65" s="23">
        <v>60</v>
      </c>
      <c r="AO65" s="58">
        <v>30</v>
      </c>
      <c r="AP65" s="45">
        <f t="shared" si="17"/>
        <v>15278.732537411053</v>
      </c>
      <c r="AQ65" s="45">
        <f t="shared" si="18"/>
        <v>1787.9711739993502</v>
      </c>
      <c r="AR65" s="45">
        <f t="shared" si="19"/>
        <v>-2804.538776438375</v>
      </c>
      <c r="AS65" s="45">
        <f t="shared" si="20"/>
        <v>-3213.887372100799</v>
      </c>
      <c r="AT65" s="45">
        <f t="shared" si="6"/>
        <v>680.44783566756814</v>
      </c>
      <c r="AU65" s="45">
        <f t="shared" si="7"/>
        <v>1186.8831020156279</v>
      </c>
      <c r="AV65" s="64">
        <f t="shared" si="8"/>
        <v>1282.0528218891575</v>
      </c>
      <c r="AW65" s="64">
        <f t="shared" si="9"/>
        <v>1551.0925261308219</v>
      </c>
      <c r="AX65" s="64">
        <f t="shared" si="10"/>
        <v>-126.18446723160778</v>
      </c>
      <c r="AY65" s="64">
        <f t="shared" si="11"/>
        <v>29.372667546960052</v>
      </c>
      <c r="AZ65" s="64">
        <f t="shared" si="12"/>
        <v>-475.42051898998147</v>
      </c>
      <c r="BA65" s="64">
        <f t="shared" si="13"/>
        <v>-393.58209166215397</v>
      </c>
      <c r="BB65" s="65">
        <f t="shared" si="14"/>
        <v>7410.6436807043583</v>
      </c>
      <c r="BC65" s="65">
        <f t="shared" si="15"/>
        <v>36221.904793719099</v>
      </c>
      <c r="BD65" s="66">
        <f t="shared" si="16"/>
        <v>26326.089141057142</v>
      </c>
      <c r="BG65" s="30"/>
      <c r="BH65" s="30"/>
    </row>
    <row r="66" spans="31:60" x14ac:dyDescent="0.25">
      <c r="AE66" s="71">
        <v>4</v>
      </c>
      <c r="AF66" s="17">
        <v>0.25132741228718347</v>
      </c>
      <c r="AG66" s="18">
        <v>-12735.626291535267</v>
      </c>
      <c r="AH66" s="20">
        <v>11865.174153736411</v>
      </c>
      <c r="AN66" s="23">
        <v>61</v>
      </c>
      <c r="AO66" s="58">
        <v>30.5</v>
      </c>
      <c r="AP66" s="45">
        <f t="shared" si="17"/>
        <v>14046.575108108758</v>
      </c>
      <c r="AQ66" s="45">
        <f t="shared" si="18"/>
        <v>477.74826345285766</v>
      </c>
      <c r="AR66" s="45">
        <f t="shared" si="19"/>
        <v>-2464.3148586045909</v>
      </c>
      <c r="AS66" s="45">
        <f t="shared" si="20"/>
        <v>-2620.4458210929852</v>
      </c>
      <c r="AT66" s="45">
        <f t="shared" si="6"/>
        <v>574.85659213748545</v>
      </c>
      <c r="AU66" s="45">
        <f t="shared" si="7"/>
        <v>1065.2606089225476</v>
      </c>
      <c r="AV66" s="64">
        <f t="shared" si="8"/>
        <v>1241.2812269613062</v>
      </c>
      <c r="AW66" s="64">
        <f t="shared" si="9"/>
        <v>1464.1302124168353</v>
      </c>
      <c r="AX66" s="64">
        <f t="shared" si="10"/>
        <v>-130.62653575132728</v>
      </c>
      <c r="AY66" s="64">
        <f t="shared" si="11"/>
        <v>36.534034714139807</v>
      </c>
      <c r="AZ66" s="64">
        <f t="shared" si="12"/>
        <v>-535.79809907249341</v>
      </c>
      <c r="BA66" s="64">
        <f t="shared" si="13"/>
        <v>-435.40363820842748</v>
      </c>
      <c r="BB66" s="65">
        <f t="shared" si="14"/>
        <v>9206.2634871499085</v>
      </c>
      <c r="BC66" s="65">
        <f t="shared" si="15"/>
        <v>35353.112376794576</v>
      </c>
      <c r="BD66" s="66">
        <f t="shared" si="16"/>
        <v>24542.46757470907</v>
      </c>
      <c r="BG66" s="30"/>
      <c r="BH66" s="30"/>
    </row>
    <row r="67" spans="31:60" x14ac:dyDescent="0.25">
      <c r="AE67" s="71">
        <v>5</v>
      </c>
      <c r="AF67" s="17">
        <v>0.31415926535897931</v>
      </c>
      <c r="AG67" s="18">
        <v>-12867.076127786349</v>
      </c>
      <c r="AH67" s="20">
        <v>12317.627457812105</v>
      </c>
      <c r="AN67" s="23">
        <v>62</v>
      </c>
      <c r="AO67" s="58">
        <v>31</v>
      </c>
      <c r="AP67" s="45">
        <f t="shared" si="17"/>
        <v>12958.131826840834</v>
      </c>
      <c r="AQ67" s="45">
        <f t="shared" si="18"/>
        <v>-566.15949486299814</v>
      </c>
      <c r="AR67" s="45">
        <f t="shared" si="19"/>
        <v>-2176.886562535848</v>
      </c>
      <c r="AS67" s="45">
        <f t="shared" si="20"/>
        <v>-2087.8155166317115</v>
      </c>
      <c r="AT67" s="45">
        <f t="shared" si="6"/>
        <v>444.53602598874352</v>
      </c>
      <c r="AU67" s="45">
        <f t="shared" si="7"/>
        <v>909.07746545439409</v>
      </c>
      <c r="AV67" s="64">
        <f t="shared" si="8"/>
        <v>1172.4319244288652</v>
      </c>
      <c r="AW67" s="64">
        <f t="shared" si="9"/>
        <v>1342.9707382706827</v>
      </c>
      <c r="AX67" s="64">
        <f t="shared" si="10"/>
        <v>-134.43650133413499</v>
      </c>
      <c r="AY67" s="64">
        <f t="shared" si="11"/>
        <v>43.099454862639</v>
      </c>
      <c r="AZ67" s="64">
        <f t="shared" si="12"/>
        <v>-593.45939710598657</v>
      </c>
      <c r="BA67" s="64">
        <f t="shared" si="13"/>
        <v>-476.99272767892768</v>
      </c>
      <c r="BB67" s="65">
        <f t="shared" si="14"/>
        <v>10707.513080296494</v>
      </c>
      <c r="BC67" s="65">
        <f t="shared" si="15"/>
        <v>34610.434553560612</v>
      </c>
      <c r="BD67" s="66">
        <f t="shared" si="16"/>
        <v>23039.753697423228</v>
      </c>
      <c r="BG67" s="30"/>
      <c r="BH67" s="30"/>
    </row>
    <row r="68" spans="31:60" x14ac:dyDescent="0.25">
      <c r="AE68" s="71">
        <v>6</v>
      </c>
      <c r="AF68" s="17">
        <v>0.37699111843077521</v>
      </c>
      <c r="AG68" s="18">
        <v>-13026.676355838115</v>
      </c>
      <c r="AH68" s="20">
        <v>12760.934145135085</v>
      </c>
      <c r="AN68" s="23">
        <v>63</v>
      </c>
      <c r="AO68" s="58">
        <v>31.5</v>
      </c>
      <c r="AP68" s="45">
        <f t="shared" si="17"/>
        <v>11980.822552070096</v>
      </c>
      <c r="AQ68" s="45">
        <f t="shared" si="18"/>
        <v>-1382.7978868152554</v>
      </c>
      <c r="AR68" s="45">
        <f t="shared" si="19"/>
        <v>-1954.6185495414763</v>
      </c>
      <c r="AS68" s="45">
        <f t="shared" si="20"/>
        <v>-1633.2767839045146</v>
      </c>
      <c r="AT68" s="45">
        <f t="shared" si="6"/>
        <v>322.16657909721744</v>
      </c>
      <c r="AU68" s="45">
        <f t="shared" si="7"/>
        <v>756.56090733667429</v>
      </c>
      <c r="AV68" s="64">
        <f t="shared" si="8"/>
        <v>1107.0132224598044</v>
      </c>
      <c r="AW68" s="64">
        <f t="shared" si="9"/>
        <v>1226.2323382906206</v>
      </c>
      <c r="AX68" s="64">
        <f t="shared" si="10"/>
        <v>-137.9376649026749</v>
      </c>
      <c r="AY68" s="64">
        <f t="shared" si="11"/>
        <v>49.095565256646786</v>
      </c>
      <c r="AZ68" s="64">
        <f t="shared" si="12"/>
        <v>-646.90897845991208</v>
      </c>
      <c r="BA68" s="64">
        <f t="shared" si="13"/>
        <v>-518.76699621059311</v>
      </c>
      <c r="BB68" s="65">
        <f t="shared" si="14"/>
        <v>11967.092597594334</v>
      </c>
      <c r="BC68" s="65">
        <f t="shared" si="15"/>
        <v>33946.149985515018</v>
      </c>
      <c r="BD68" s="66">
        <f t="shared" si="16"/>
        <v>21766.408246107472</v>
      </c>
      <c r="BG68" s="30"/>
      <c r="BH68" s="30"/>
    </row>
    <row r="69" spans="31:60" x14ac:dyDescent="0.25">
      <c r="AE69" s="71">
        <v>7</v>
      </c>
      <c r="AF69" s="17">
        <v>0.4398229715025711</v>
      </c>
      <c r="AG69" s="18">
        <v>-13213.797106504855</v>
      </c>
      <c r="AH69" s="20">
        <v>13193.344686738044</v>
      </c>
      <c r="AN69" s="23">
        <v>64</v>
      </c>
      <c r="AO69" s="58">
        <v>32</v>
      </c>
      <c r="AP69" s="45">
        <f t="shared" si="17"/>
        <v>11084.054922073663</v>
      </c>
      <c r="AQ69" s="45">
        <f t="shared" si="18"/>
        <v>-2010.2960519333442</v>
      </c>
      <c r="AR69" s="45">
        <f t="shared" si="19"/>
        <v>-1793.5352599928676</v>
      </c>
      <c r="AS69" s="45">
        <f t="shared" si="20"/>
        <v>-1254.9963302361775</v>
      </c>
      <c r="AT69" s="45">
        <f t="shared" si="6"/>
        <v>215.94632152814415</v>
      </c>
      <c r="AU69" s="45">
        <f t="shared" si="7"/>
        <v>615.90498786615808</v>
      </c>
      <c r="AV69" s="64">
        <f t="shared" si="8"/>
        <v>1052.6054294033199</v>
      </c>
      <c r="AW69" s="64">
        <f t="shared" si="9"/>
        <v>1122.7737690176812</v>
      </c>
      <c r="AX69" s="64">
        <f t="shared" si="10"/>
        <v>-141.39809612778814</v>
      </c>
      <c r="AY69" s="64">
        <f t="shared" si="11"/>
        <v>54.633573384549074</v>
      </c>
      <c r="AZ69" s="64">
        <f t="shared" si="12"/>
        <v>-695.26101174738767</v>
      </c>
      <c r="BA69" s="64">
        <f t="shared" si="13"/>
        <v>-561.50235453607206</v>
      </c>
      <c r="BB69" s="65">
        <f t="shared" si="14"/>
        <v>13036.096333949739</v>
      </c>
      <c r="BC69" s="65">
        <f t="shared" si="15"/>
        <v>33323.650485107086</v>
      </c>
      <c r="BD69" s="66">
        <f t="shared" si="16"/>
        <v>20674.361692557777</v>
      </c>
      <c r="BG69" s="30"/>
      <c r="BH69" s="30"/>
    </row>
    <row r="70" spans="31:60" x14ac:dyDescent="0.25">
      <c r="AE70" s="71">
        <v>8</v>
      </c>
      <c r="AF70" s="17">
        <v>0.50265482457436694</v>
      </c>
      <c r="AG70" s="18">
        <v>-13427.699899671024</v>
      </c>
      <c r="AH70" s="20">
        <v>13613.152555762865</v>
      </c>
      <c r="AN70" s="23">
        <v>65</v>
      </c>
      <c r="AO70" s="58">
        <v>32.5</v>
      </c>
      <c r="AP70" s="45">
        <f t="shared" si="17"/>
        <v>10241.273872459265</v>
      </c>
      <c r="AQ70" s="45">
        <f t="shared" si="18"/>
        <v>-2483.8179700848932</v>
      </c>
      <c r="AR70" s="45">
        <f t="shared" si="19"/>
        <v>-1685.5620992287954</v>
      </c>
      <c r="AS70" s="45">
        <f t="shared" si="20"/>
        <v>-947.04383630309849</v>
      </c>
      <c r="AT70" s="45">
        <f t="shared" ref="AT70:AT133" si="21">AV70+AX70+AZ70</f>
        <v>125.79482999272284</v>
      </c>
      <c r="AU70" s="45">
        <f t="shared" ref="AU70:AU133" si="22">AW70+AY70+BA70</f>
        <v>485.92283972419636</v>
      </c>
      <c r="AV70" s="64">
        <f t="shared" ref="AV70:AV133" si="23">$K$22*(($K$18-AP70)/((BB70^2+$K$23^2)^(3/2)))</f>
        <v>1008.9250945110755</v>
      </c>
      <c r="AW70" s="64">
        <f t="shared" ref="AW70:AW133" si="24">$K$22*(($L$18-AQ70)/((BB70^2+$K$23^2)^(3/2)))</f>
        <v>1032.196657371275</v>
      </c>
      <c r="AX70" s="64">
        <f t="shared" ref="AX70:AX133" si="25">$K$30*(($K$26-AP70)/((BC70^2+$K$31^2)^(3/2)))</f>
        <v>-145.01946596696061</v>
      </c>
      <c r="AY70" s="64">
        <f t="shared" ref="AY70:AY133" si="26">$K$30*(($L$26-AQ70)/((BC70^2+$K$31^2)^(3/2)))</f>
        <v>59.865091096548888</v>
      </c>
      <c r="AZ70" s="64">
        <f t="shared" ref="AZ70:AZ133" si="27">$K$38*(($K$34-AP70)/((BD70^2+$K$39^2)^(3/2)))</f>
        <v>-738.11079855139201</v>
      </c>
      <c r="BA70" s="64">
        <f t="shared" ref="BA70:BA133" si="28">$K$38*(($L$34-AQ70)/((BD70^2+$K$39^2)^(3/2)))</f>
        <v>-606.13890874362755</v>
      </c>
      <c r="BB70" s="65">
        <f t="shared" ref="BB70:BB133" si="29">SQRT(($K$18-AP70)^2+($L$18-AQ70)^2)</f>
        <v>13960.99412263096</v>
      </c>
      <c r="BC70" s="65">
        <f t="shared" ref="BC70:BC133" si="30">SQRT(($K$26-AP70)^2+($L$26-AQ70)^2)</f>
        <v>32716.667870357789</v>
      </c>
      <c r="BD70" s="66">
        <f t="shared" ref="BD70:BD133" si="31">SQRT(($K$34-AP70)^2+($L$34-AQ70)^2)</f>
        <v>19721.846816697449</v>
      </c>
    </row>
    <row r="71" spans="31:60" x14ac:dyDescent="0.25">
      <c r="AE71" s="71">
        <v>9</v>
      </c>
      <c r="AF71" s="17">
        <v>0.56548667764616278</v>
      </c>
      <c r="AG71" s="18">
        <v>-13667.540558734887</v>
      </c>
      <c r="AH71" s="20">
        <v>14018.700962342475</v>
      </c>
      <c r="AN71" s="23">
        <v>66</v>
      </c>
      <c r="AO71" s="58">
        <v>33</v>
      </c>
      <c r="AP71" s="45">
        <f t="shared" ref="AP71:AP134" si="32">AP70+AR70*$K$5+AT70*$K$5^2</f>
        <v>9429.9415303430487</v>
      </c>
      <c r="AQ71" s="45">
        <f t="shared" ref="AQ71:AQ134" si="33">AQ70+AS70*$K$5+AU70*$K$5^2</f>
        <v>-2835.8591783053935</v>
      </c>
      <c r="AR71" s="45">
        <f t="shared" ref="AR71:AR134" si="34">AR70+AT70*$K$5</f>
        <v>-1622.664684232434</v>
      </c>
      <c r="AS71" s="45">
        <f t="shared" ref="AS71:AS134" si="35">AS70+AU70*$K$5</f>
        <v>-704.0824164410003</v>
      </c>
      <c r="AT71" s="45">
        <f t="shared" si="21"/>
        <v>49.035753131389242</v>
      </c>
      <c r="AU71" s="45">
        <f t="shared" si="22"/>
        <v>363.13096906345288</v>
      </c>
      <c r="AV71" s="64">
        <f t="shared" si="23"/>
        <v>973.41286193997166</v>
      </c>
      <c r="AW71" s="64">
        <f t="shared" si="24"/>
        <v>951.84509075750702</v>
      </c>
      <c r="AX71" s="64">
        <f t="shared" si="25"/>
        <v>-148.94243471070914</v>
      </c>
      <c r="AY71" s="64">
        <f t="shared" si="26"/>
        <v>64.961193200111751</v>
      </c>
      <c r="AZ71" s="64">
        <f t="shared" si="27"/>
        <v>-775.43467409787331</v>
      </c>
      <c r="BA71" s="64">
        <f t="shared" si="28"/>
        <v>-653.67531489416592</v>
      </c>
      <c r="BB71" s="65">
        <f t="shared" si="29"/>
        <v>14783.643698551668</v>
      </c>
      <c r="BC71" s="65">
        <f t="shared" si="30"/>
        <v>32107.331550982206</v>
      </c>
      <c r="BD71" s="66">
        <f t="shared" si="31"/>
        <v>18872.984249957299</v>
      </c>
    </row>
    <row r="72" spans="31:60" x14ac:dyDescent="0.25">
      <c r="AE72" s="71">
        <v>10</v>
      </c>
      <c r="AF72" s="17">
        <v>0.62831853071795862</v>
      </c>
      <c r="AG72" s="18">
        <v>-13932.372542187895</v>
      </c>
      <c r="AH72" s="20">
        <v>14408.389392193549</v>
      </c>
      <c r="AN72" s="23">
        <v>67</v>
      </c>
      <c r="AO72" s="58">
        <v>33.5</v>
      </c>
      <c r="AP72" s="45">
        <f t="shared" si="32"/>
        <v>8630.8681265096784</v>
      </c>
      <c r="AQ72" s="45">
        <f t="shared" si="33"/>
        <v>-3097.1176442600304</v>
      </c>
      <c r="AR72" s="45">
        <f t="shared" si="34"/>
        <v>-1598.1468076667393</v>
      </c>
      <c r="AS72" s="45">
        <f t="shared" si="35"/>
        <v>-522.51693190927381</v>
      </c>
      <c r="AT72" s="45">
        <f t="shared" si="21"/>
        <v>-17.72187884552045</v>
      </c>
      <c r="AU72" s="45">
        <f t="shared" si="22"/>
        <v>243.97025854225683</v>
      </c>
      <c r="AV72" s="64">
        <f t="shared" si="23"/>
        <v>943.04611428206397</v>
      </c>
      <c r="AW72" s="64">
        <f t="shared" si="24"/>
        <v>879.00912120753651</v>
      </c>
      <c r="AX72" s="64">
        <f t="shared" si="25"/>
        <v>-153.25467128616015</v>
      </c>
      <c r="AY72" s="64">
        <f t="shared" si="26"/>
        <v>70.105958733006517</v>
      </c>
      <c r="AZ72" s="64">
        <f t="shared" si="27"/>
        <v>-807.51332184142427</v>
      </c>
      <c r="BA72" s="64">
        <f t="shared" si="28"/>
        <v>-705.14482139828624</v>
      </c>
      <c r="BB72" s="65">
        <f t="shared" si="29"/>
        <v>15542.073926059573</v>
      </c>
      <c r="BC72" s="65">
        <f t="shared" si="30"/>
        <v>31484.299265906731</v>
      </c>
      <c r="BD72" s="66">
        <f t="shared" si="31"/>
        <v>18096.38566832845</v>
      </c>
    </row>
    <row r="73" spans="31:60" x14ac:dyDescent="0.25">
      <c r="AE73" s="71">
        <v>11</v>
      </c>
      <c r="AF73" s="17">
        <v>0.69115038378975457</v>
      </c>
      <c r="AG73" s="18">
        <v>-14221.150679181581</v>
      </c>
      <c r="AH73" s="20">
        <v>14780.679923115173</v>
      </c>
      <c r="AN73" s="23">
        <v>68</v>
      </c>
      <c r="AO73" s="58">
        <v>34</v>
      </c>
      <c r="AP73" s="45">
        <f t="shared" si="32"/>
        <v>7827.3642529649287</v>
      </c>
      <c r="AQ73" s="45">
        <f t="shared" si="33"/>
        <v>-3297.3835455791032</v>
      </c>
      <c r="AR73" s="45">
        <f t="shared" si="34"/>
        <v>-1607.0077470894994</v>
      </c>
      <c r="AS73" s="45">
        <f t="shared" si="35"/>
        <v>-400.53180263814539</v>
      </c>
      <c r="AT73" s="45">
        <f t="shared" si="21"/>
        <v>-77.95743209248019</v>
      </c>
      <c r="AU73" s="45">
        <f t="shared" si="22"/>
        <v>125.37607824773852</v>
      </c>
      <c r="AV73" s="64">
        <f t="shared" si="23"/>
        <v>914.91046525188983</v>
      </c>
      <c r="AW73" s="64">
        <f t="shared" si="24"/>
        <v>811.54479674585275</v>
      </c>
      <c r="AX73" s="64">
        <f t="shared" si="25"/>
        <v>-157.99591778303343</v>
      </c>
      <c r="AY73" s="64">
        <f t="shared" si="26"/>
        <v>75.498789547519905</v>
      </c>
      <c r="AZ73" s="64">
        <f t="shared" si="27"/>
        <v>-834.87197956133662</v>
      </c>
      <c r="BA73" s="64">
        <f t="shared" si="28"/>
        <v>-761.66750804563412</v>
      </c>
      <c r="BB73" s="65">
        <f t="shared" si="29"/>
        <v>16271.341446246477</v>
      </c>
      <c r="BC73" s="65">
        <f t="shared" si="30"/>
        <v>30841.24852248087</v>
      </c>
      <c r="BD73" s="66">
        <f t="shared" si="31"/>
        <v>17363.539545770189</v>
      </c>
    </row>
    <row r="74" spans="31:60" x14ac:dyDescent="0.25">
      <c r="AE74" s="71">
        <v>12</v>
      </c>
      <c r="AF74" s="17">
        <v>0.75398223686155041</v>
      </c>
      <c r="AG74" s="18">
        <v>-14532.735294339414</v>
      </c>
      <c r="AH74" s="20">
        <v>15134.103294465165</v>
      </c>
      <c r="AN74" s="23">
        <v>69</v>
      </c>
      <c r="AO74" s="58">
        <v>34.5</v>
      </c>
      <c r="AP74" s="45">
        <f t="shared" si="32"/>
        <v>7004.3710213970589</v>
      </c>
      <c r="AQ74" s="45">
        <f t="shared" si="33"/>
        <v>-3466.3054273362413</v>
      </c>
      <c r="AR74" s="45">
        <f t="shared" si="34"/>
        <v>-1645.9864631357395</v>
      </c>
      <c r="AS74" s="45">
        <f t="shared" si="35"/>
        <v>-337.84376351427613</v>
      </c>
      <c r="AT74" s="45">
        <f t="shared" si="21"/>
        <v>-134.98560011334712</v>
      </c>
      <c r="AU74" s="45">
        <f t="shared" si="22"/>
        <v>4.7693159364986286</v>
      </c>
      <c r="AV74" s="64">
        <f t="shared" si="23"/>
        <v>886.39375908994577</v>
      </c>
      <c r="AW74" s="64">
        <f t="shared" si="24"/>
        <v>747.97954812880607</v>
      </c>
      <c r="AX74" s="64">
        <f t="shared" si="25"/>
        <v>-163.15739690452955</v>
      </c>
      <c r="AY74" s="64">
        <f t="shared" si="26"/>
        <v>81.361914991636496</v>
      </c>
      <c r="AZ74" s="64">
        <f t="shared" si="27"/>
        <v>-858.2219622987634</v>
      </c>
      <c r="BA74" s="64">
        <f t="shared" si="28"/>
        <v>-824.57214718394391</v>
      </c>
      <c r="BB74" s="65">
        <f t="shared" si="29"/>
        <v>17004.3002583208</v>
      </c>
      <c r="BC74" s="65">
        <f t="shared" si="30"/>
        <v>30175.775650736381</v>
      </c>
      <c r="BD74" s="66">
        <f t="shared" si="31"/>
        <v>16647.25305012364</v>
      </c>
    </row>
    <row r="75" spans="31:60" x14ac:dyDescent="0.25">
      <c r="AE75" s="71">
        <v>13</v>
      </c>
      <c r="AF75" s="17">
        <v>0.81681408993334625</v>
      </c>
      <c r="AG75" s="18">
        <v>-14865.896705534837</v>
      </c>
      <c r="AH75" s="20">
        <v>15467.264705660586</v>
      </c>
      <c r="AN75" s="23">
        <v>70</v>
      </c>
      <c r="AO75" s="58">
        <v>35</v>
      </c>
      <c r="AP75" s="45">
        <f t="shared" si="32"/>
        <v>6147.631389800852</v>
      </c>
      <c r="AQ75" s="45">
        <f t="shared" si="33"/>
        <v>-3634.0349801092548</v>
      </c>
      <c r="AR75" s="45">
        <f t="shared" si="34"/>
        <v>-1713.4792631924131</v>
      </c>
      <c r="AS75" s="45">
        <f t="shared" si="35"/>
        <v>-335.45910554602682</v>
      </c>
      <c r="AT75" s="45">
        <f t="shared" si="21"/>
        <v>-191.7654205729591</v>
      </c>
      <c r="AU75" s="45">
        <f t="shared" si="22"/>
        <v>-120.18294164817735</v>
      </c>
      <c r="AV75" s="64">
        <f t="shared" si="23"/>
        <v>855.28332296454744</v>
      </c>
      <c r="AW75" s="64">
        <f t="shared" si="24"/>
        <v>687.44593099984274</v>
      </c>
      <c r="AX75" s="64">
        <f t="shared" si="25"/>
        <v>-168.67304740931743</v>
      </c>
      <c r="AY75" s="64">
        <f t="shared" si="26"/>
        <v>87.950384273708224</v>
      </c>
      <c r="AZ75" s="64">
        <f t="shared" si="27"/>
        <v>-878.37569612818913</v>
      </c>
      <c r="BA75" s="64">
        <f t="shared" si="28"/>
        <v>-895.5792569217283</v>
      </c>
      <c r="BB75" s="65">
        <f t="shared" si="29"/>
        <v>17772.305732547116</v>
      </c>
      <c r="BC75" s="65">
        <f t="shared" si="30"/>
        <v>29488.73576699655</v>
      </c>
      <c r="BD75" s="66">
        <f t="shared" si="31"/>
        <v>15920.265275310374</v>
      </c>
    </row>
    <row r="76" spans="31:60" x14ac:dyDescent="0.25">
      <c r="AE76" s="71">
        <v>14</v>
      </c>
      <c r="AF76" s="17">
        <v>0.87964594300514221</v>
      </c>
      <c r="AG76" s="18">
        <v>-15219.320076884827</v>
      </c>
      <c r="AH76" s="20">
        <v>15778.849320818419</v>
      </c>
      <c r="AN76" s="23">
        <v>71</v>
      </c>
      <c r="AO76" s="58">
        <v>35.5</v>
      </c>
      <c r="AP76" s="45">
        <f t="shared" si="32"/>
        <v>5242.9504030614053</v>
      </c>
      <c r="AQ76" s="45">
        <f t="shared" si="33"/>
        <v>-3831.8102682943127</v>
      </c>
      <c r="AR76" s="45">
        <f t="shared" si="34"/>
        <v>-1809.3619734788927</v>
      </c>
      <c r="AS76" s="45">
        <f t="shared" si="35"/>
        <v>-395.55057637011549</v>
      </c>
      <c r="AT76" s="45">
        <f t="shared" si="21"/>
        <v>-250.64121669835072</v>
      </c>
      <c r="AU76" s="45">
        <f t="shared" si="22"/>
        <v>-251.91775429829272</v>
      </c>
      <c r="AV76" s="64">
        <f t="shared" si="23"/>
        <v>819.8461712003982</v>
      </c>
      <c r="AW76" s="64">
        <f t="shared" si="24"/>
        <v>629.55275715531684</v>
      </c>
      <c r="AX76" s="64">
        <f t="shared" si="25"/>
        <v>-174.39869186047963</v>
      </c>
      <c r="AY76" s="64">
        <f t="shared" si="26"/>
        <v>95.561318242748939</v>
      </c>
      <c r="AZ76" s="64">
        <f t="shared" si="27"/>
        <v>-896.08869603826929</v>
      </c>
      <c r="BA76" s="64">
        <f t="shared" si="28"/>
        <v>-977.0318296963585</v>
      </c>
      <c r="BB76" s="65">
        <f t="shared" si="29"/>
        <v>18605.924775810687</v>
      </c>
      <c r="BC76" s="65">
        <f t="shared" si="30"/>
        <v>28784.119238731448</v>
      </c>
      <c r="BD76" s="66">
        <f t="shared" si="31"/>
        <v>15154.091686503421</v>
      </c>
    </row>
    <row r="77" spans="31:60" x14ac:dyDescent="0.25">
      <c r="AE77" s="71">
        <v>15</v>
      </c>
      <c r="AF77" s="17">
        <v>0.94247779607693805</v>
      </c>
      <c r="AG77" s="18">
        <v>-15591.610607806451</v>
      </c>
      <c r="AH77" s="20">
        <v>16067.627457812105</v>
      </c>
      <c r="AN77" s="23">
        <v>72</v>
      </c>
      <c r="AO77" s="58">
        <v>36</v>
      </c>
      <c r="AP77" s="45">
        <f t="shared" si="32"/>
        <v>4275.609112147371</v>
      </c>
      <c r="AQ77" s="45">
        <f t="shared" si="33"/>
        <v>-4092.5649950539437</v>
      </c>
      <c r="AR77" s="45">
        <f t="shared" si="34"/>
        <v>-1934.6825818280681</v>
      </c>
      <c r="AS77" s="45">
        <f t="shared" si="35"/>
        <v>-521.5094535192618</v>
      </c>
      <c r="AT77" s="45">
        <f t="shared" si="21"/>
        <v>-312.912146248147</v>
      </c>
      <c r="AU77" s="45">
        <f t="shared" si="22"/>
        <v>-393.37107236276199</v>
      </c>
      <c r="AV77" s="64">
        <f t="shared" si="23"/>
        <v>778.90264497238161</v>
      </c>
      <c r="AW77" s="64">
        <f t="shared" si="24"/>
        <v>574.23397834997832</v>
      </c>
      <c r="AX77" s="64">
        <f t="shared" si="25"/>
        <v>-180.07282519524264</v>
      </c>
      <c r="AY77" s="64">
        <f t="shared" si="26"/>
        <v>104.53653217035449</v>
      </c>
      <c r="AZ77" s="64">
        <f t="shared" si="27"/>
        <v>-911.74196602528593</v>
      </c>
      <c r="BA77" s="64">
        <f t="shared" si="28"/>
        <v>-1072.1415828830948</v>
      </c>
      <c r="BB77" s="65">
        <f t="shared" si="29"/>
        <v>19535.71170852326</v>
      </c>
      <c r="BC77" s="65">
        <f t="shared" si="30"/>
        <v>28069.655963434827</v>
      </c>
      <c r="BD77" s="66">
        <f t="shared" si="31"/>
        <v>14318.137546080283</v>
      </c>
    </row>
    <row r="78" spans="31:60" x14ac:dyDescent="0.25">
      <c r="AE78" s="71">
        <v>16</v>
      </c>
      <c r="AF78" s="17">
        <v>1.0053096491487339</v>
      </c>
      <c r="AG78" s="18">
        <v>-15981.299037657525</v>
      </c>
      <c r="AH78" s="20">
        <v>16332.459441265113</v>
      </c>
      <c r="AN78" s="23">
        <v>73</v>
      </c>
      <c r="AO78" s="58">
        <v>36.5</v>
      </c>
      <c r="AP78" s="45">
        <f t="shared" si="32"/>
        <v>3230.0397846712999</v>
      </c>
      <c r="AQ78" s="45">
        <f t="shared" si="33"/>
        <v>-4451.6624899042654</v>
      </c>
      <c r="AR78" s="45">
        <f t="shared" si="34"/>
        <v>-2091.1386549521417</v>
      </c>
      <c r="AS78" s="45">
        <f t="shared" si="35"/>
        <v>-718.19498970064274</v>
      </c>
      <c r="AT78" s="45">
        <f t="shared" si="21"/>
        <v>-378.04772188953052</v>
      </c>
      <c r="AU78" s="45">
        <f t="shared" si="22"/>
        <v>-548.3049871828523</v>
      </c>
      <c r="AV78" s="64">
        <f t="shared" si="23"/>
        <v>731.88353892233533</v>
      </c>
      <c r="AW78" s="64">
        <f t="shared" si="24"/>
        <v>521.60082235144478</v>
      </c>
      <c r="AX78" s="64">
        <f t="shared" si="25"/>
        <v>-185.2501927718167</v>
      </c>
      <c r="AY78" s="64">
        <f t="shared" si="26"/>
        <v>115.24617637093209</v>
      </c>
      <c r="AZ78" s="64">
        <f t="shared" si="27"/>
        <v>-924.68106804004913</v>
      </c>
      <c r="BA78" s="64">
        <f t="shared" si="28"/>
        <v>-1185.1519859052291</v>
      </c>
      <c r="BB78" s="65">
        <f t="shared" si="29"/>
        <v>20593.052272460536</v>
      </c>
      <c r="BC78" s="65">
        <f t="shared" si="30"/>
        <v>27358.459333806011</v>
      </c>
      <c r="BD78" s="66">
        <f t="shared" si="31"/>
        <v>13379.124750302804</v>
      </c>
    </row>
    <row r="79" spans="31:60" x14ac:dyDescent="0.25">
      <c r="AE79" s="71">
        <v>17</v>
      </c>
      <c r="AF79" s="17">
        <v>1.0681415022205298</v>
      </c>
      <c r="AG79" s="18">
        <v>-16386.847444237137</v>
      </c>
      <c r="AH79" s="20">
        <v>16572.300100328976</v>
      </c>
      <c r="AN79" s="23">
        <v>74</v>
      </c>
      <c r="AO79" s="58">
        <v>37</v>
      </c>
      <c r="AP79" s="45">
        <f t="shared" si="32"/>
        <v>2089.9585267228463</v>
      </c>
      <c r="AQ79" s="45">
        <f t="shared" si="33"/>
        <v>-4947.8362315503</v>
      </c>
      <c r="AR79" s="45">
        <f t="shared" si="34"/>
        <v>-2280.1625158969068</v>
      </c>
      <c r="AS79" s="45">
        <f t="shared" si="35"/>
        <v>-992.34748329206889</v>
      </c>
      <c r="AT79" s="45">
        <f t="shared" si="21"/>
        <v>-442.13099322176384</v>
      </c>
      <c r="AU79" s="45">
        <f t="shared" si="22"/>
        <v>-721.24702155875275</v>
      </c>
      <c r="AV79" s="64">
        <f t="shared" si="23"/>
        <v>678.86006510458742</v>
      </c>
      <c r="AW79" s="64">
        <f t="shared" si="24"/>
        <v>471.82129238337535</v>
      </c>
      <c r="AX79" s="64">
        <f t="shared" si="25"/>
        <v>-189.19993761428901</v>
      </c>
      <c r="AY79" s="64">
        <f t="shared" si="26"/>
        <v>128.02784029932229</v>
      </c>
      <c r="AZ79" s="64">
        <f t="shared" si="27"/>
        <v>-931.79112071206225</v>
      </c>
      <c r="BA79" s="64">
        <f t="shared" si="28"/>
        <v>-1321.0961542414504</v>
      </c>
      <c r="BB79" s="65">
        <f t="shared" si="29"/>
        <v>21810.965417009949</v>
      </c>
      <c r="BC79" s="65">
        <f t="shared" si="30"/>
        <v>26672.159187392073</v>
      </c>
      <c r="BD79" s="66">
        <f t="shared" si="31"/>
        <v>12300.955586391769</v>
      </c>
    </row>
    <row r="80" spans="31:60" x14ac:dyDescent="0.25">
      <c r="AE80" s="71">
        <v>18</v>
      </c>
      <c r="AF80" s="17">
        <v>1.1309733552923256</v>
      </c>
      <c r="AG80" s="18">
        <v>-16806.655313261956</v>
      </c>
      <c r="AH80" s="20">
        <v>16786.202893495145</v>
      </c>
      <c r="AN80" s="23">
        <v>75</v>
      </c>
      <c r="AO80" s="58">
        <v>37.5</v>
      </c>
      <c r="AP80" s="45">
        <f t="shared" si="32"/>
        <v>839.34452046895194</v>
      </c>
      <c r="AQ80" s="45">
        <f t="shared" si="33"/>
        <v>-5624.3217285860228</v>
      </c>
      <c r="AR80" s="45">
        <f t="shared" si="34"/>
        <v>-2501.2280125077887</v>
      </c>
      <c r="AS80" s="45">
        <f t="shared" si="35"/>
        <v>-1352.9709940714451</v>
      </c>
      <c r="AT80" s="45">
        <f t="shared" si="21"/>
        <v>-494.56602494930587</v>
      </c>
      <c r="AU80" s="45">
        <f t="shared" si="22"/>
        <v>-916.03544387873137</v>
      </c>
      <c r="AV80" s="64">
        <f t="shared" si="23"/>
        <v>620.54302974801715</v>
      </c>
      <c r="AW80" s="64">
        <f t="shared" si="24"/>
        <v>425.04842162340429</v>
      </c>
      <c r="AX80" s="64">
        <f t="shared" si="25"/>
        <v>-190.77387586082702</v>
      </c>
      <c r="AY80" s="64">
        <f t="shared" si="26"/>
        <v>143.03292557648146</v>
      </c>
      <c r="AZ80" s="64">
        <f t="shared" si="27"/>
        <v>-924.33517883649597</v>
      </c>
      <c r="BA80" s="64">
        <f t="shared" si="28"/>
        <v>-1484.1167910786171</v>
      </c>
      <c r="BB80" s="65">
        <f t="shared" si="29"/>
        <v>23224.524521305455</v>
      </c>
      <c r="BC80" s="65">
        <f t="shared" si="30"/>
        <v>26046.06898403605</v>
      </c>
      <c r="BD80" s="66">
        <f t="shared" si="31"/>
        <v>11045.419298414839</v>
      </c>
    </row>
    <row r="81" spans="31:56" x14ac:dyDescent="0.25">
      <c r="AE81" s="71">
        <v>19</v>
      </c>
      <c r="AF81" s="17">
        <v>1.1938052083641215</v>
      </c>
      <c r="AG81" s="18">
        <v>-17239.065854864915</v>
      </c>
      <c r="AH81" s="20">
        <v>16973.323644161886</v>
      </c>
      <c r="AN81" s="23">
        <v>76</v>
      </c>
      <c r="AO81" s="58">
        <v>38</v>
      </c>
      <c r="AP81" s="45">
        <f t="shared" si="32"/>
        <v>-534.91099202226883</v>
      </c>
      <c r="AQ81" s="45">
        <f t="shared" si="33"/>
        <v>-6529.8160865914288</v>
      </c>
      <c r="AR81" s="45">
        <f t="shared" si="34"/>
        <v>-2748.5110249824415</v>
      </c>
      <c r="AS81" s="45">
        <f t="shared" si="35"/>
        <v>-1810.9887160108108</v>
      </c>
      <c r="AT81" s="45">
        <f t="shared" si="21"/>
        <v>-511.01276037939596</v>
      </c>
      <c r="AU81" s="45">
        <f t="shared" si="22"/>
        <v>-1129.8593677429274</v>
      </c>
      <c r="AV81" s="64">
        <f t="shared" si="23"/>
        <v>558.25765695472978</v>
      </c>
      <c r="AW81" s="64">
        <f t="shared" si="24"/>
        <v>381.41155123823552</v>
      </c>
      <c r="AX81" s="64">
        <f t="shared" si="25"/>
        <v>-188.30264140954756</v>
      </c>
      <c r="AY81" s="64">
        <f t="shared" si="26"/>
        <v>159.9072077113801</v>
      </c>
      <c r="AZ81" s="64">
        <f t="shared" si="27"/>
        <v>-880.96777592457818</v>
      </c>
      <c r="BA81" s="64">
        <f t="shared" si="28"/>
        <v>-1671.1781266925429</v>
      </c>
      <c r="BB81" s="65">
        <f t="shared" si="29"/>
        <v>24870.028324749786</v>
      </c>
      <c r="BC81" s="65">
        <f t="shared" si="30"/>
        <v>25536.728646109554</v>
      </c>
      <c r="BD81" s="66">
        <f t="shared" si="31"/>
        <v>9575.0214295388869</v>
      </c>
    </row>
    <row r="82" spans="31:56" x14ac:dyDescent="0.25">
      <c r="AE82" s="71">
        <v>20</v>
      </c>
      <c r="AF82" s="17">
        <v>1.2566370614359172</v>
      </c>
      <c r="AG82" s="18">
        <v>-17682.372542187895</v>
      </c>
      <c r="AH82" s="20">
        <v>17132.923872213651</v>
      </c>
      <c r="AN82" s="23">
        <v>77</v>
      </c>
      <c r="AO82" s="58">
        <v>38.5</v>
      </c>
      <c r="AP82" s="45">
        <f t="shared" si="32"/>
        <v>-2036.9196946083387</v>
      </c>
      <c r="AQ82" s="45">
        <f t="shared" si="33"/>
        <v>-7717.7752865325656</v>
      </c>
      <c r="AR82" s="45">
        <f t="shared" si="34"/>
        <v>-3004.0174051721397</v>
      </c>
      <c r="AS82" s="45">
        <f t="shared" si="35"/>
        <v>-2375.9183998822746</v>
      </c>
      <c r="AT82" s="45">
        <f t="shared" si="21"/>
        <v>-439.55379675666097</v>
      </c>
      <c r="AU82" s="45">
        <f t="shared" si="22"/>
        <v>-1334.1400704655357</v>
      </c>
      <c r="AV82" s="64">
        <f t="shared" si="23"/>
        <v>493.91450614876248</v>
      </c>
      <c r="AW82" s="64">
        <f t="shared" si="24"/>
        <v>341.07670534233256</v>
      </c>
      <c r="AX82" s="64">
        <f t="shared" si="25"/>
        <v>-179.71118898355132</v>
      </c>
      <c r="AY82" s="64">
        <f t="shared" si="26"/>
        <v>177.25704103936113</v>
      </c>
      <c r="AZ82" s="64">
        <f t="shared" si="27"/>
        <v>-753.75711392187213</v>
      </c>
      <c r="BA82" s="64">
        <f t="shared" si="28"/>
        <v>-1852.4738168472293</v>
      </c>
      <c r="BB82" s="65">
        <f t="shared" si="29"/>
        <v>26780.711609253744</v>
      </c>
      <c r="BC82" s="65">
        <f t="shared" si="30"/>
        <v>25230.771196339083</v>
      </c>
      <c r="BD82" s="66">
        <f t="shared" si="31"/>
        <v>7861.9744131888265</v>
      </c>
    </row>
    <row r="83" spans="31:56" x14ac:dyDescent="0.25">
      <c r="AE83" s="71">
        <v>21</v>
      </c>
      <c r="AF83" s="17">
        <v>1.3194689145077132</v>
      </c>
      <c r="AG83" s="18">
        <v>-18134.825846263589</v>
      </c>
      <c r="AH83" s="20">
        <v>17264.373708464733</v>
      </c>
      <c r="AN83" s="23">
        <v>78</v>
      </c>
      <c r="AO83" s="58">
        <v>39</v>
      </c>
      <c r="AP83" s="45">
        <f t="shared" si="32"/>
        <v>-3648.8168463835741</v>
      </c>
      <c r="AQ83" s="45">
        <f t="shared" si="33"/>
        <v>-9239.2695040900871</v>
      </c>
      <c r="AR83" s="45">
        <f t="shared" si="34"/>
        <v>-3223.79430355047</v>
      </c>
      <c r="AS83" s="45">
        <f t="shared" si="35"/>
        <v>-3042.9884351150422</v>
      </c>
      <c r="AT83" s="45">
        <f t="shared" si="21"/>
        <v>-184.21974296116679</v>
      </c>
      <c r="AU83" s="45">
        <f t="shared" si="22"/>
        <v>-1426.2642749382885</v>
      </c>
      <c r="AV83" s="64">
        <f t="shared" si="23"/>
        <v>430.01527832593456</v>
      </c>
      <c r="AW83" s="64">
        <f t="shared" si="24"/>
        <v>304.37639572124641</v>
      </c>
      <c r="AX83" s="64">
        <f t="shared" si="25"/>
        <v>-163.25668630881586</v>
      </c>
      <c r="AY83" s="64">
        <f t="shared" si="26"/>
        <v>192.09248387296759</v>
      </c>
      <c r="AZ83" s="64">
        <f t="shared" si="27"/>
        <v>-450.97833497828549</v>
      </c>
      <c r="BA83" s="64">
        <f t="shared" si="28"/>
        <v>-1922.7331545325026</v>
      </c>
      <c r="BB83" s="65">
        <f t="shared" si="29"/>
        <v>28973.603189185083</v>
      </c>
      <c r="BC83" s="65">
        <f t="shared" si="30"/>
        <v>25248.973871706559</v>
      </c>
      <c r="BD83" s="66">
        <f t="shared" si="31"/>
        <v>5917.0695247836411</v>
      </c>
    </row>
    <row r="84" spans="31:56" x14ac:dyDescent="0.25">
      <c r="AE84" s="71">
        <v>22</v>
      </c>
      <c r="AF84" s="17">
        <v>1.3823007675795091</v>
      </c>
      <c r="AG84" s="18">
        <v>-18594.640140607065</v>
      </c>
      <c r="AH84" s="20">
        <v>17367.154380465166</v>
      </c>
      <c r="AN84" s="23">
        <v>79</v>
      </c>
      <c r="AO84" s="58">
        <v>39.5</v>
      </c>
      <c r="AP84" s="45">
        <f t="shared" si="32"/>
        <v>-5306.7689338991004</v>
      </c>
      <c r="AQ84" s="45">
        <f t="shared" si="33"/>
        <v>-11117.32979038218</v>
      </c>
      <c r="AR84" s="45">
        <f t="shared" si="34"/>
        <v>-3315.9041750310535</v>
      </c>
      <c r="AS84" s="45">
        <f t="shared" si="35"/>
        <v>-3756.1205725841864</v>
      </c>
      <c r="AT84" s="45">
        <f t="shared" si="21"/>
        <v>360.43651779022684</v>
      </c>
      <c r="AU84" s="45">
        <f t="shared" si="22"/>
        <v>-1172.7396668312472</v>
      </c>
      <c r="AV84" s="64">
        <f t="shared" si="23"/>
        <v>369.71623268589173</v>
      </c>
      <c r="AW84" s="64">
        <f t="shared" si="24"/>
        <v>271.9876666495652</v>
      </c>
      <c r="AX84" s="64">
        <f t="shared" si="25"/>
        <v>-139.2383900864036</v>
      </c>
      <c r="AY84" s="64">
        <f t="shared" si="26"/>
        <v>200.11548104760976</v>
      </c>
      <c r="AZ84" s="64">
        <f t="shared" si="27"/>
        <v>129.95867519073875</v>
      </c>
      <c r="BA84" s="64">
        <f t="shared" si="28"/>
        <v>-1644.8428145284222</v>
      </c>
      <c r="BB84" s="65">
        <f t="shared" si="29"/>
        <v>31417.153314672105</v>
      </c>
      <c r="BC84" s="65">
        <f t="shared" si="30"/>
        <v>25726.108462758126</v>
      </c>
      <c r="BD84" s="66">
        <f t="shared" si="31"/>
        <v>3894.7702288401142</v>
      </c>
    </row>
    <row r="85" spans="31:56" x14ac:dyDescent="0.25">
      <c r="AE85" s="71">
        <v>23</v>
      </c>
      <c r="AF85" s="17">
        <v>1.4451326206513049</v>
      </c>
      <c r="AG85" s="18">
        <v>-19060.000748267717</v>
      </c>
      <c r="AH85" s="20">
        <v>17440.860259858586</v>
      </c>
      <c r="AN85" s="23">
        <v>80</v>
      </c>
      <c r="AO85" s="58">
        <v>40</v>
      </c>
      <c r="AP85" s="45">
        <f t="shared" si="32"/>
        <v>-6874.6118919670707</v>
      </c>
      <c r="AQ85" s="45">
        <f t="shared" si="33"/>
        <v>-13288.574993382086</v>
      </c>
      <c r="AR85" s="45">
        <f t="shared" si="34"/>
        <v>-3135.6859161359398</v>
      </c>
      <c r="AS85" s="45">
        <f t="shared" si="35"/>
        <v>-4342.4904059998098</v>
      </c>
      <c r="AT85" s="45">
        <f t="shared" si="21"/>
        <v>1098.8041237846901</v>
      </c>
      <c r="AU85" s="45">
        <f t="shared" si="22"/>
        <v>-372.77976923051926</v>
      </c>
      <c r="AV85" s="64">
        <f t="shared" si="23"/>
        <v>316.72457521257593</v>
      </c>
      <c r="AW85" s="64">
        <f t="shared" si="24"/>
        <v>244.99898307449709</v>
      </c>
      <c r="AX85" s="64">
        <f t="shared" si="25"/>
        <v>-111.70623267400258</v>
      </c>
      <c r="AY85" s="64">
        <f t="shared" si="26"/>
        <v>198.20206118435112</v>
      </c>
      <c r="AZ85" s="64">
        <f t="shared" si="27"/>
        <v>893.78578124611681</v>
      </c>
      <c r="BA85" s="64">
        <f t="shared" si="28"/>
        <v>-815.98081348936751</v>
      </c>
      <c r="BB85" s="65">
        <f t="shared" si="29"/>
        <v>33976.603929753321</v>
      </c>
      <c r="BC85" s="65">
        <f t="shared" si="30"/>
        <v>26732.630589017492</v>
      </c>
      <c r="BD85" s="66">
        <f t="shared" si="31"/>
        <v>2538.3351431167412</v>
      </c>
    </row>
    <row r="86" spans="31:56" x14ac:dyDescent="0.25">
      <c r="AE86" s="71">
        <v>24</v>
      </c>
      <c r="AF86" s="17">
        <v>1.5079644737231008</v>
      </c>
      <c r="AG86" s="18">
        <v>-19529.07110353015</v>
      </c>
      <c r="AH86" s="20">
        <v>17485.200463212037</v>
      </c>
      <c r="AN86" s="23">
        <v>81</v>
      </c>
      <c r="AO86" s="58">
        <v>40.5</v>
      </c>
      <c r="AP86" s="45">
        <f t="shared" si="32"/>
        <v>-8167.7538190888681</v>
      </c>
      <c r="AQ86" s="45">
        <f t="shared" si="33"/>
        <v>-15553.015138689621</v>
      </c>
      <c r="AR86" s="45">
        <f t="shared" si="34"/>
        <v>-2586.2838542435948</v>
      </c>
      <c r="AS86" s="45">
        <f t="shared" si="35"/>
        <v>-4528.8802906150695</v>
      </c>
      <c r="AT86" s="45">
        <f t="shared" si="21"/>
        <v>1618.2603711371567</v>
      </c>
      <c r="AU86" s="45">
        <f t="shared" si="22"/>
        <v>662.09056665867365</v>
      </c>
      <c r="AV86" s="64">
        <f t="shared" si="23"/>
        <v>274.21473049550298</v>
      </c>
      <c r="AW86" s="64">
        <f t="shared" si="24"/>
        <v>224.42245036523124</v>
      </c>
      <c r="AX86" s="64">
        <f t="shared" si="25"/>
        <v>-86.980882235467973</v>
      </c>
      <c r="AY86" s="64">
        <f t="shared" si="26"/>
        <v>187.84462109360385</v>
      </c>
      <c r="AZ86" s="64">
        <f t="shared" si="27"/>
        <v>1431.0265228771216</v>
      </c>
      <c r="BA86" s="64">
        <f t="shared" si="28"/>
        <v>249.82349519983853</v>
      </c>
      <c r="BB86" s="65">
        <f t="shared" si="29"/>
        <v>36398.67940183336</v>
      </c>
      <c r="BC86" s="65">
        <f t="shared" si="30"/>
        <v>28159.521167160972</v>
      </c>
      <c r="BD86" s="66">
        <f t="shared" si="31"/>
        <v>3215.663228942361</v>
      </c>
    </row>
    <row r="87" spans="31:56" x14ac:dyDescent="0.25">
      <c r="AE87" s="71">
        <v>25</v>
      </c>
      <c r="AF87" s="17">
        <v>1.5707963267948968</v>
      </c>
      <c r="AG87" s="18">
        <v>-20000</v>
      </c>
      <c r="AH87" s="20">
        <v>17500</v>
      </c>
      <c r="AN87" s="23">
        <v>82</v>
      </c>
      <c r="AO87" s="58">
        <v>41</v>
      </c>
      <c r="AP87" s="45">
        <f t="shared" si="32"/>
        <v>-9056.3306534263775</v>
      </c>
      <c r="AQ87" s="45">
        <f t="shared" si="33"/>
        <v>-17651.932642332486</v>
      </c>
      <c r="AR87" s="45">
        <f t="shared" si="34"/>
        <v>-1777.1536686750164</v>
      </c>
      <c r="AS87" s="45">
        <f t="shared" si="35"/>
        <v>-4197.8350072857329</v>
      </c>
      <c r="AT87" s="45">
        <f t="shared" si="21"/>
        <v>1721.7949374849445</v>
      </c>
      <c r="AU87" s="45">
        <f t="shared" si="22"/>
        <v>1396.3488431720111</v>
      </c>
      <c r="AV87" s="64">
        <f t="shared" si="23"/>
        <v>242.96139092149781</v>
      </c>
      <c r="AW87" s="64">
        <f t="shared" si="24"/>
        <v>210.31384217209509</v>
      </c>
      <c r="AX87" s="64">
        <f t="shared" si="25"/>
        <v>-68.922131806574725</v>
      </c>
      <c r="AY87" s="64">
        <f t="shared" si="26"/>
        <v>174.14909806993271</v>
      </c>
      <c r="AZ87" s="64">
        <f t="shared" si="27"/>
        <v>1547.7556783700213</v>
      </c>
      <c r="BA87" s="64">
        <f t="shared" si="28"/>
        <v>1011.8859029299833</v>
      </c>
      <c r="BB87" s="65">
        <f t="shared" si="29"/>
        <v>38430.327434015904</v>
      </c>
      <c r="BC87" s="65">
        <f t="shared" si="30"/>
        <v>29738.750438161114</v>
      </c>
      <c r="BD87" s="66">
        <f t="shared" si="31"/>
        <v>4846.2939561478333</v>
      </c>
    </row>
    <row r="88" spans="31:56" x14ac:dyDescent="0.25">
      <c r="AE88" s="71">
        <v>26</v>
      </c>
      <c r="AF88" s="17">
        <v>1.6336281798666925</v>
      </c>
      <c r="AG88" s="18">
        <v>-20470.92889646985</v>
      </c>
      <c r="AH88" s="20">
        <v>17485.200463212037</v>
      </c>
      <c r="AN88" s="23">
        <v>83</v>
      </c>
      <c r="AO88" s="58">
        <v>41.5</v>
      </c>
      <c r="AP88" s="45">
        <f t="shared" si="32"/>
        <v>-9514.4587533926497</v>
      </c>
      <c r="AQ88" s="45">
        <f t="shared" si="33"/>
        <v>-19401.762935182349</v>
      </c>
      <c r="AR88" s="45">
        <f t="shared" si="34"/>
        <v>-916.25619993254418</v>
      </c>
      <c r="AS88" s="45">
        <f t="shared" si="35"/>
        <v>-3499.6605856997276</v>
      </c>
      <c r="AT88" s="45">
        <f t="shared" si="21"/>
        <v>1594.6729238108558</v>
      </c>
      <c r="AU88" s="45">
        <f t="shared" si="22"/>
        <v>1758.1538217870598</v>
      </c>
      <c r="AV88" s="64">
        <f t="shared" si="23"/>
        <v>221.48924351249082</v>
      </c>
      <c r="AW88" s="64">
        <f t="shared" si="24"/>
        <v>201.88244587005977</v>
      </c>
      <c r="AX88" s="64">
        <f t="shared" si="25"/>
        <v>-57.518686356544414</v>
      </c>
      <c r="AY88" s="64">
        <f t="shared" si="26"/>
        <v>161.28407116279348</v>
      </c>
      <c r="AZ88" s="64">
        <f t="shared" si="27"/>
        <v>1430.7023666549094</v>
      </c>
      <c r="BA88" s="64">
        <f t="shared" si="28"/>
        <v>1394.9873047542064</v>
      </c>
      <c r="BB88" s="65">
        <f t="shared" si="29"/>
        <v>39935.048823389043</v>
      </c>
      <c r="BC88" s="65">
        <f t="shared" si="30"/>
        <v>31215.544828353814</v>
      </c>
      <c r="BD88" s="66">
        <f t="shared" si="31"/>
        <v>6305.2244031143446</v>
      </c>
    </row>
    <row r="89" spans="31:56" x14ac:dyDescent="0.25">
      <c r="AE89" s="71">
        <v>27</v>
      </c>
      <c r="AF89" s="17">
        <v>1.6964600329384885</v>
      </c>
      <c r="AG89" s="18">
        <v>-20939.999251732283</v>
      </c>
      <c r="AH89" s="20">
        <v>17440.860259858582</v>
      </c>
      <c r="AN89" s="23">
        <v>84</v>
      </c>
      <c r="AO89" s="58">
        <v>42</v>
      </c>
      <c r="AP89" s="45">
        <f t="shared" si="32"/>
        <v>-9573.9186224062087</v>
      </c>
      <c r="AQ89" s="45">
        <f t="shared" si="33"/>
        <v>-20712.054772585449</v>
      </c>
      <c r="AR89" s="45">
        <f t="shared" si="34"/>
        <v>-118.9197380271163</v>
      </c>
      <c r="AS89" s="45">
        <f t="shared" si="35"/>
        <v>-2620.5836748061975</v>
      </c>
      <c r="AT89" s="45">
        <f t="shared" si="21"/>
        <v>1415.2829570554043</v>
      </c>
      <c r="AU89" s="45">
        <f t="shared" si="22"/>
        <v>1921.167493276299</v>
      </c>
      <c r="AV89" s="64">
        <f t="shared" si="23"/>
        <v>207.85003255962144</v>
      </c>
      <c r="AW89" s="64">
        <f t="shared" si="24"/>
        <v>198.27864470462958</v>
      </c>
      <c r="AX89" s="64">
        <f t="shared" si="25"/>
        <v>-51.259248332097442</v>
      </c>
      <c r="AY89" s="64">
        <f t="shared" si="26"/>
        <v>150.99410654516291</v>
      </c>
      <c r="AZ89" s="64">
        <f t="shared" si="27"/>
        <v>1258.6921728278803</v>
      </c>
      <c r="BA89" s="64">
        <f t="shared" si="28"/>
        <v>1571.8947420265065</v>
      </c>
      <c r="BB89" s="65">
        <f t="shared" si="29"/>
        <v>40872.199563714035</v>
      </c>
      <c r="BC89" s="65">
        <f t="shared" si="30"/>
        <v>32433.524033729307</v>
      </c>
      <c r="BD89" s="66">
        <f t="shared" si="31"/>
        <v>7317.6704824288518</v>
      </c>
    </row>
    <row r="90" spans="31:56" x14ac:dyDescent="0.25">
      <c r="AE90" s="71">
        <v>28</v>
      </c>
      <c r="AF90" s="17">
        <v>1.7592918860102844</v>
      </c>
      <c r="AG90" s="18">
        <v>-21405.359859392935</v>
      </c>
      <c r="AH90" s="20">
        <v>17367.154380465166</v>
      </c>
      <c r="AN90" s="23">
        <v>85</v>
      </c>
      <c r="AO90" s="58">
        <v>42.5</v>
      </c>
      <c r="AP90" s="45">
        <f t="shared" si="32"/>
        <v>-9279.5577521559171</v>
      </c>
      <c r="AQ90" s="45">
        <f t="shared" si="33"/>
        <v>-21542.054736669474</v>
      </c>
      <c r="AR90" s="45">
        <f t="shared" si="34"/>
        <v>588.72174050058584</v>
      </c>
      <c r="AS90" s="45">
        <f t="shared" si="35"/>
        <v>-1659.999928168048</v>
      </c>
      <c r="AT90" s="45">
        <f t="shared" si="21"/>
        <v>1247.5446680371292</v>
      </c>
      <c r="AU90" s="45">
        <f t="shared" si="22"/>
        <v>2017.6058079373952</v>
      </c>
      <c r="AV90" s="64">
        <f t="shared" si="23"/>
        <v>200.62681961204083</v>
      </c>
      <c r="AW90" s="64">
        <f t="shared" si="24"/>
        <v>198.99942226373878</v>
      </c>
      <c r="AX90" s="64">
        <f t="shared" si="25"/>
        <v>-48.80635289548794</v>
      </c>
      <c r="AY90" s="64">
        <f t="shared" si="26"/>
        <v>143.59973394159894</v>
      </c>
      <c r="AZ90" s="64">
        <f t="shared" si="27"/>
        <v>1095.7242013205764</v>
      </c>
      <c r="BA90" s="64">
        <f t="shared" si="28"/>
        <v>1675.0066517320574</v>
      </c>
      <c r="BB90" s="65">
        <f t="shared" si="29"/>
        <v>41239.949630055802</v>
      </c>
      <c r="BC90" s="65">
        <f t="shared" si="30"/>
        <v>33314.097601472167</v>
      </c>
      <c r="BD90" s="66">
        <f t="shared" si="31"/>
        <v>7817.4864714700534</v>
      </c>
    </row>
    <row r="91" spans="31:56" x14ac:dyDescent="0.25">
      <c r="AE91" s="71">
        <v>29</v>
      </c>
      <c r="AF91" s="17">
        <v>1.8221237390820801</v>
      </c>
      <c r="AG91" s="18">
        <v>-21865.174153736411</v>
      </c>
      <c r="AH91" s="20">
        <v>17264.373708464733</v>
      </c>
      <c r="AN91" s="23">
        <v>86</v>
      </c>
      <c r="AO91" s="58">
        <v>43</v>
      </c>
      <c r="AP91" s="45">
        <f t="shared" si="32"/>
        <v>-8673.3107148963409</v>
      </c>
      <c r="AQ91" s="45">
        <f t="shared" si="33"/>
        <v>-21867.653248769151</v>
      </c>
      <c r="AR91" s="45">
        <f t="shared" si="34"/>
        <v>1212.4940745191504</v>
      </c>
      <c r="AS91" s="45">
        <f t="shared" si="35"/>
        <v>-651.19702419935038</v>
      </c>
      <c r="AT91" s="45">
        <f t="shared" si="21"/>
        <v>1094.2662344310947</v>
      </c>
      <c r="AU91" s="45">
        <f t="shared" si="22"/>
        <v>2108.734297293106</v>
      </c>
      <c r="AV91" s="64">
        <f t="shared" si="23"/>
        <v>199.14005876149022</v>
      </c>
      <c r="AW91" s="64">
        <f t="shared" si="24"/>
        <v>203.96236248396198</v>
      </c>
      <c r="AX91" s="64">
        <f t="shared" si="25"/>
        <v>-49.376667501413223</v>
      </c>
      <c r="AY91" s="64">
        <f t="shared" si="26"/>
        <v>138.92131044719522</v>
      </c>
      <c r="AZ91" s="64">
        <f t="shared" si="27"/>
        <v>944.50284317101773</v>
      </c>
      <c r="BA91" s="64">
        <f t="shared" si="28"/>
        <v>1765.8506243619488</v>
      </c>
      <c r="BB91" s="65">
        <f t="shared" si="29"/>
        <v>41044.095856687236</v>
      </c>
      <c r="BC91" s="65">
        <f t="shared" si="30"/>
        <v>33820.721662097472</v>
      </c>
      <c r="BD91" s="66">
        <f t="shared" si="31"/>
        <v>7788.3164261284182</v>
      </c>
    </row>
    <row r="92" spans="31:56" x14ac:dyDescent="0.25">
      <c r="AE92" s="71">
        <v>30</v>
      </c>
      <c r="AF92" s="17">
        <v>1.8849555921538761</v>
      </c>
      <c r="AG92" s="18">
        <v>-22317.627457812108</v>
      </c>
      <c r="AH92" s="20">
        <v>17132.923872213651</v>
      </c>
      <c r="AN92" s="23">
        <v>87</v>
      </c>
      <c r="AO92" s="58">
        <v>43.5</v>
      </c>
      <c r="AP92" s="45">
        <f t="shared" si="32"/>
        <v>-7793.4971190289916</v>
      </c>
      <c r="AQ92" s="45">
        <f t="shared" si="33"/>
        <v>-21666.068186545548</v>
      </c>
      <c r="AR92" s="45">
        <f t="shared" si="34"/>
        <v>1759.6271917346978</v>
      </c>
      <c r="AS92" s="45">
        <f t="shared" si="35"/>
        <v>403.17012444720262</v>
      </c>
      <c r="AT92" s="45">
        <f t="shared" si="21"/>
        <v>929.43367528167119</v>
      </c>
      <c r="AU92" s="45">
        <f t="shared" si="22"/>
        <v>2208.3067263995072</v>
      </c>
      <c r="AV92" s="64">
        <f t="shared" si="23"/>
        <v>203.45188681735104</v>
      </c>
      <c r="AW92" s="64">
        <f t="shared" si="24"/>
        <v>213.49927928045918</v>
      </c>
      <c r="AX92" s="64">
        <f t="shared" si="25"/>
        <v>-52.687949762837341</v>
      </c>
      <c r="AY92" s="64">
        <f t="shared" si="26"/>
        <v>136.68289976814171</v>
      </c>
      <c r="AZ92" s="64">
        <f t="shared" si="27"/>
        <v>778.6697382271575</v>
      </c>
      <c r="BA92" s="64">
        <f t="shared" si="28"/>
        <v>1858.1245473509061</v>
      </c>
      <c r="BB92" s="65">
        <f t="shared" si="29"/>
        <v>40288.187047417472</v>
      </c>
      <c r="BC92" s="65">
        <f t="shared" si="30"/>
        <v>33937.274300952711</v>
      </c>
      <c r="BD92" s="66">
        <f t="shared" si="31"/>
        <v>7227.7307103750018</v>
      </c>
    </row>
    <row r="93" spans="31:56" x14ac:dyDescent="0.25">
      <c r="AE93" s="71">
        <v>31</v>
      </c>
      <c r="AF93" s="17">
        <v>1.9477874452256718</v>
      </c>
      <c r="AG93" s="18">
        <v>-22760.934145135085</v>
      </c>
      <c r="AH93" s="20">
        <v>16973.323644161886</v>
      </c>
      <c r="AN93" s="23">
        <v>88</v>
      </c>
      <c r="AO93" s="58">
        <v>44</v>
      </c>
      <c r="AP93" s="45">
        <f t="shared" si="32"/>
        <v>-6681.3251043412247</v>
      </c>
      <c r="AQ93" s="45">
        <f t="shared" si="33"/>
        <v>-20912.406442722069</v>
      </c>
      <c r="AR93" s="45">
        <f t="shared" si="34"/>
        <v>2224.3440293755334</v>
      </c>
      <c r="AS93" s="45">
        <f t="shared" si="35"/>
        <v>1507.3234876469562</v>
      </c>
      <c r="AT93" s="45">
        <f t="shared" si="21"/>
        <v>699.8805588107175</v>
      </c>
      <c r="AU93" s="45">
        <f t="shared" si="22"/>
        <v>2279.0695696291655</v>
      </c>
      <c r="AV93" s="64">
        <f t="shared" si="23"/>
        <v>214.42340707286138</v>
      </c>
      <c r="AW93" s="64">
        <f t="shared" si="24"/>
        <v>228.33517333800373</v>
      </c>
      <c r="AX93" s="64">
        <f t="shared" si="25"/>
        <v>-58.863678926131868</v>
      </c>
      <c r="AY93" s="64">
        <f t="shared" si="26"/>
        <v>136.62154695821781</v>
      </c>
      <c r="AZ93" s="64">
        <f t="shared" si="27"/>
        <v>544.32083066398798</v>
      </c>
      <c r="BA93" s="64">
        <f t="shared" si="28"/>
        <v>1914.1128493329441</v>
      </c>
      <c r="BB93" s="65">
        <f t="shared" si="29"/>
        <v>38976.376809421163</v>
      </c>
      <c r="BC93" s="65">
        <f t="shared" si="30"/>
        <v>33659.530196606967</v>
      </c>
      <c r="BD93" s="66">
        <f t="shared" si="31"/>
        <v>6146.8206457020897</v>
      </c>
    </row>
    <row r="94" spans="31:56" x14ac:dyDescent="0.25">
      <c r="AE94" s="71">
        <v>32</v>
      </c>
      <c r="AF94" s="17">
        <v>2.0106192982974678</v>
      </c>
      <c r="AG94" s="18">
        <v>-23193.344686738044</v>
      </c>
      <c r="AH94" s="20">
        <v>16786.202893495145</v>
      </c>
      <c r="AN94" s="23">
        <v>89</v>
      </c>
      <c r="AO94" s="58">
        <v>44.5</v>
      </c>
      <c r="AP94" s="45">
        <f t="shared" si="32"/>
        <v>-5394.1829499507785</v>
      </c>
      <c r="AQ94" s="45">
        <f t="shared" si="33"/>
        <v>-19588.977306491299</v>
      </c>
      <c r="AR94" s="45">
        <f t="shared" si="34"/>
        <v>2574.2843087808924</v>
      </c>
      <c r="AS94" s="45">
        <f t="shared" si="35"/>
        <v>2646.8582724615389</v>
      </c>
      <c r="AT94" s="45">
        <f t="shared" si="21"/>
        <v>320.15448954490267</v>
      </c>
      <c r="AU94" s="45">
        <f t="shared" si="22"/>
        <v>2188.3673700657619</v>
      </c>
      <c r="AV94" s="64">
        <f t="shared" si="23"/>
        <v>233.84214886120503</v>
      </c>
      <c r="AW94" s="64">
        <f t="shared" si="24"/>
        <v>249.44865035772378</v>
      </c>
      <c r="AX94" s="64">
        <f t="shared" si="25"/>
        <v>-68.343663002320753</v>
      </c>
      <c r="AY94" s="64">
        <f t="shared" si="26"/>
        <v>138.45299353597909</v>
      </c>
      <c r="AZ94" s="64">
        <f t="shared" si="27"/>
        <v>154.65600368601838</v>
      </c>
      <c r="BA94" s="64">
        <f t="shared" si="28"/>
        <v>1800.4657261720592</v>
      </c>
      <c r="BB94" s="65">
        <f t="shared" si="29"/>
        <v>37130.542942531443</v>
      </c>
      <c r="BC94" s="65">
        <f t="shared" si="30"/>
        <v>32997.537328466889</v>
      </c>
      <c r="BD94" s="66">
        <f t="shared" si="31"/>
        <v>4605.8759120849136</v>
      </c>
    </row>
    <row r="95" spans="31:56" x14ac:dyDescent="0.25">
      <c r="AE95" s="71">
        <v>33</v>
      </c>
      <c r="AF95" s="17">
        <v>2.0734511513692637</v>
      </c>
      <c r="AG95" s="18">
        <v>-23613.152555762867</v>
      </c>
      <c r="AH95" s="20">
        <v>16572.300100328976</v>
      </c>
      <c r="AN95" s="23">
        <v>90</v>
      </c>
      <c r="AO95" s="58">
        <v>45</v>
      </c>
      <c r="AP95" s="45">
        <f t="shared" si="32"/>
        <v>-4027.0021731741067</v>
      </c>
      <c r="AQ95" s="45">
        <f t="shared" si="33"/>
        <v>-17718.456327744087</v>
      </c>
      <c r="AR95" s="45">
        <f t="shared" si="34"/>
        <v>2734.3615535533436</v>
      </c>
      <c r="AS95" s="45">
        <f t="shared" si="35"/>
        <v>3741.0419574944199</v>
      </c>
      <c r="AT95" s="45">
        <f t="shared" si="21"/>
        <v>-269.13696591587308</v>
      </c>
      <c r="AU95" s="45">
        <f t="shared" si="22"/>
        <v>1681.47797462225</v>
      </c>
      <c r="AV95" s="64">
        <f t="shared" si="23"/>
        <v>264.34340382054933</v>
      </c>
      <c r="AW95" s="64">
        <f t="shared" si="24"/>
        <v>277.4516994141963</v>
      </c>
      <c r="AX95" s="64">
        <f t="shared" si="25"/>
        <v>-81.679657875550205</v>
      </c>
      <c r="AY95" s="64">
        <f t="shared" si="26"/>
        <v>141.74133460947317</v>
      </c>
      <c r="AZ95" s="64">
        <f t="shared" si="27"/>
        <v>-451.80071186087218</v>
      </c>
      <c r="BA95" s="64">
        <f t="shared" si="28"/>
        <v>1262.2849405985805</v>
      </c>
      <c r="BB95" s="65">
        <f t="shared" si="29"/>
        <v>34831.987783990291</v>
      </c>
      <c r="BC95" s="65">
        <f t="shared" si="30"/>
        <v>31991.396980576526</v>
      </c>
      <c r="BD95" s="66">
        <f t="shared" si="31"/>
        <v>2887.339532659742</v>
      </c>
    </row>
    <row r="96" spans="31:56" x14ac:dyDescent="0.25">
      <c r="AE96" s="71">
        <v>34</v>
      </c>
      <c r="AF96" s="17">
        <v>2.1362830044410597</v>
      </c>
      <c r="AG96" s="18">
        <v>-24018.700962342475</v>
      </c>
      <c r="AH96" s="20">
        <v>16332.459441265113</v>
      </c>
      <c r="AN96" s="23">
        <v>91</v>
      </c>
      <c r="AO96" s="58">
        <v>45.5</v>
      </c>
      <c r="AP96" s="45">
        <f t="shared" si="32"/>
        <v>-2727.1056378764033</v>
      </c>
      <c r="AQ96" s="45">
        <f t="shared" si="33"/>
        <v>-15427.565855341314</v>
      </c>
      <c r="AR96" s="45">
        <f t="shared" si="34"/>
        <v>2599.7930705954072</v>
      </c>
      <c r="AS96" s="45">
        <f t="shared" si="35"/>
        <v>4581.780944805545</v>
      </c>
      <c r="AT96" s="45">
        <f t="shared" si="21"/>
        <v>-891.33804544966483</v>
      </c>
      <c r="AU96" s="45">
        <f t="shared" si="22"/>
        <v>663.76974809055309</v>
      </c>
      <c r="AV96" s="64">
        <f t="shared" si="23"/>
        <v>308.27094600924153</v>
      </c>
      <c r="AW96" s="64">
        <f t="shared" si="24"/>
        <v>310.98999267799718</v>
      </c>
      <c r="AX96" s="64">
        <f t="shared" si="25"/>
        <v>-98.99987749027629</v>
      </c>
      <c r="AY96" s="64">
        <f t="shared" si="26"/>
        <v>145.73851097444174</v>
      </c>
      <c r="AZ96" s="64">
        <f t="shared" si="27"/>
        <v>-1100.60911396863</v>
      </c>
      <c r="BA96" s="64">
        <f t="shared" si="28"/>
        <v>207.04124443811415</v>
      </c>
      <c r="BB96" s="65">
        <f t="shared" si="29"/>
        <v>32283.038994589813</v>
      </c>
      <c r="BC96" s="65">
        <f t="shared" si="30"/>
        <v>30739.453231519925</v>
      </c>
      <c r="BD96" s="66">
        <f t="shared" si="31"/>
        <v>2312.7605457606246</v>
      </c>
    </row>
    <row r="97" spans="31:56" x14ac:dyDescent="0.25">
      <c r="AE97" s="71">
        <v>35</v>
      </c>
      <c r="AF97" s="17">
        <v>2.1991148575128552</v>
      </c>
      <c r="AG97" s="18">
        <v>-24408.389392193549</v>
      </c>
      <c r="AH97" s="20">
        <v>16067.627457812105</v>
      </c>
      <c r="AN97" s="23">
        <v>92</v>
      </c>
      <c r="AO97" s="58">
        <v>46</v>
      </c>
      <c r="AP97" s="45">
        <f t="shared" si="32"/>
        <v>-1650.0436139411158</v>
      </c>
      <c r="AQ97" s="45">
        <f t="shared" si="33"/>
        <v>-12970.732945915903</v>
      </c>
      <c r="AR97" s="45">
        <f t="shared" si="34"/>
        <v>2154.1240478705749</v>
      </c>
      <c r="AS97" s="45">
        <f t="shared" si="35"/>
        <v>4913.6658188508218</v>
      </c>
      <c r="AT97" s="45">
        <f t="shared" si="21"/>
        <v>-1170.2496248857526</v>
      </c>
      <c r="AU97" s="45">
        <f t="shared" si="22"/>
        <v>-363.05469249924585</v>
      </c>
      <c r="AV97" s="64">
        <f t="shared" si="23"/>
        <v>365.14903516656426</v>
      </c>
      <c r="AW97" s="64">
        <f t="shared" si="24"/>
        <v>345.25881414577367</v>
      </c>
      <c r="AX97" s="64">
        <f t="shared" si="25"/>
        <v>-119.38609908255602</v>
      </c>
      <c r="AY97" s="64">
        <f t="shared" si="26"/>
        <v>149.44919441680736</v>
      </c>
      <c r="AZ97" s="64">
        <f t="shared" si="27"/>
        <v>-1416.0125609697609</v>
      </c>
      <c r="BA97" s="64">
        <f t="shared" si="28"/>
        <v>-857.76270106182687</v>
      </c>
      <c r="BB97" s="65">
        <f t="shared" si="29"/>
        <v>29795.55832382671</v>
      </c>
      <c r="BC97" s="65">
        <f t="shared" si="30"/>
        <v>29400.263118598945</v>
      </c>
      <c r="BD97" s="66">
        <f t="shared" si="31"/>
        <v>3916.6481288581249</v>
      </c>
    </row>
    <row r="98" spans="31:56" x14ac:dyDescent="0.25">
      <c r="AE98" s="71">
        <v>36</v>
      </c>
      <c r="AF98" s="17">
        <v>2.2619467105846511</v>
      </c>
      <c r="AG98" s="18">
        <v>-24780.679923115174</v>
      </c>
      <c r="AH98" s="20">
        <v>15778.849320818419</v>
      </c>
      <c r="AN98" s="23">
        <v>93</v>
      </c>
      <c r="AO98" s="58">
        <v>46.5</v>
      </c>
      <c r="AP98" s="45">
        <f t="shared" si="32"/>
        <v>-865.54399622726646</v>
      </c>
      <c r="AQ98" s="45">
        <f t="shared" si="33"/>
        <v>-10604.663709615303</v>
      </c>
      <c r="AR98" s="45">
        <f t="shared" si="34"/>
        <v>1568.9992354276987</v>
      </c>
      <c r="AS98" s="45">
        <f t="shared" si="35"/>
        <v>4732.1384726011993</v>
      </c>
      <c r="AT98" s="45">
        <f t="shared" si="21"/>
        <v>-1069.1455082450511</v>
      </c>
      <c r="AU98" s="45">
        <f t="shared" si="22"/>
        <v>-918.56665855554968</v>
      </c>
      <c r="AV98" s="64">
        <f t="shared" si="23"/>
        <v>430.82320998995101</v>
      </c>
      <c r="AW98" s="64">
        <f t="shared" si="24"/>
        <v>373.81768414834301</v>
      </c>
      <c r="AX98" s="64">
        <f t="shared" si="25"/>
        <v>-141.23374645722708</v>
      </c>
      <c r="AY98" s="64">
        <f t="shared" si="26"/>
        <v>152.08552830696922</v>
      </c>
      <c r="AZ98" s="64">
        <f t="shared" si="27"/>
        <v>-1358.7349717777752</v>
      </c>
      <c r="BA98" s="64">
        <f t="shared" si="28"/>
        <v>-1444.4698710108619</v>
      </c>
      <c r="BB98" s="65">
        <f t="shared" si="29"/>
        <v>27625.165597635012</v>
      </c>
      <c r="BC98" s="65">
        <f t="shared" si="30"/>
        <v>28119.025110175004</v>
      </c>
      <c r="BD98" s="66">
        <f t="shared" si="31"/>
        <v>6034.29428787701</v>
      </c>
    </row>
    <row r="99" spans="31:56" x14ac:dyDescent="0.25">
      <c r="AE99" s="71">
        <v>37</v>
      </c>
      <c r="AF99" s="17">
        <v>2.3247785636564471</v>
      </c>
      <c r="AG99" s="18">
        <v>-25134.103294465167</v>
      </c>
      <c r="AH99" s="20">
        <v>15467.264705660586</v>
      </c>
      <c r="AN99" s="23">
        <v>94</v>
      </c>
      <c r="AO99" s="58">
        <v>47</v>
      </c>
      <c r="AP99" s="45">
        <f t="shared" si="32"/>
        <v>-348.33075557467987</v>
      </c>
      <c r="AQ99" s="45">
        <f t="shared" si="33"/>
        <v>-8468.2361379535905</v>
      </c>
      <c r="AR99" s="45">
        <f t="shared" si="34"/>
        <v>1034.4264813051732</v>
      </c>
      <c r="AS99" s="45">
        <f t="shared" si="35"/>
        <v>4272.8551433234243</v>
      </c>
      <c r="AT99" s="45">
        <f t="shared" si="21"/>
        <v>-820.0983490823844</v>
      </c>
      <c r="AU99" s="45">
        <f t="shared" si="22"/>
        <v>-1078.5217582347614</v>
      </c>
      <c r="AV99" s="64">
        <f t="shared" si="23"/>
        <v>499.57966649105668</v>
      </c>
      <c r="AW99" s="64">
        <f t="shared" si="24"/>
        <v>392.04228494584419</v>
      </c>
      <c r="AX99" s="64">
        <f t="shared" si="25"/>
        <v>-163.18421452295726</v>
      </c>
      <c r="AY99" s="64">
        <f t="shared" si="26"/>
        <v>153.35718153567882</v>
      </c>
      <c r="AZ99" s="64">
        <f t="shared" si="27"/>
        <v>-1156.4938010504839</v>
      </c>
      <c r="BA99" s="64">
        <f t="shared" si="28"/>
        <v>-1623.9212247162843</v>
      </c>
      <c r="BB99" s="65">
        <f t="shared" si="29"/>
        <v>25865.790726280018</v>
      </c>
      <c r="BC99" s="65">
        <f t="shared" si="30"/>
        <v>26967.829911572549</v>
      </c>
      <c r="BD99" s="66">
        <f t="shared" si="31"/>
        <v>8018.8506601050913</v>
      </c>
    </row>
    <row r="100" spans="31:56" x14ac:dyDescent="0.25">
      <c r="AE100" s="71">
        <v>38</v>
      </c>
      <c r="AF100" s="17">
        <v>2.387610416728243</v>
      </c>
      <c r="AG100" s="18">
        <v>-25467.264705660586</v>
      </c>
      <c r="AH100" s="20">
        <v>15134.103294465163</v>
      </c>
      <c r="AN100" s="23">
        <v>95</v>
      </c>
      <c r="AO100" s="58">
        <v>47.5</v>
      </c>
      <c r="AP100" s="45">
        <f t="shared" si="32"/>
        <v>-36.142102192689379</v>
      </c>
      <c r="AQ100" s="45">
        <f t="shared" si="33"/>
        <v>-6601.4390058505687</v>
      </c>
      <c r="AR100" s="45">
        <f t="shared" si="34"/>
        <v>624.37730676398098</v>
      </c>
      <c r="AS100" s="45">
        <f t="shared" si="35"/>
        <v>3733.5942642060436</v>
      </c>
      <c r="AT100" s="45">
        <f t="shared" si="21"/>
        <v>-571.46203481485452</v>
      </c>
      <c r="AU100" s="45">
        <f t="shared" si="22"/>
        <v>-1061.0098578429797</v>
      </c>
      <c r="AV100" s="64">
        <f t="shared" si="23"/>
        <v>566.09431593084003</v>
      </c>
      <c r="AW100" s="64">
        <f t="shared" si="24"/>
        <v>398.41724154990084</v>
      </c>
      <c r="AX100" s="64">
        <f t="shared" si="25"/>
        <v>-184.3667313077103</v>
      </c>
      <c r="AY100" s="64">
        <f t="shared" si="26"/>
        <v>153.31470801789087</v>
      </c>
      <c r="AZ100" s="64">
        <f t="shared" si="27"/>
        <v>-953.18961943798422</v>
      </c>
      <c r="BA100" s="64">
        <f t="shared" si="28"/>
        <v>-1612.7418074107716</v>
      </c>
      <c r="BB100" s="65">
        <f t="shared" si="29"/>
        <v>24500.970845560027</v>
      </c>
      <c r="BC100" s="65">
        <f t="shared" si="30"/>
        <v>25964.656732350995</v>
      </c>
      <c r="BD100" s="66">
        <f t="shared" si="31"/>
        <v>9755.8040161778717</v>
      </c>
    </row>
    <row r="101" spans="31:56" x14ac:dyDescent="0.25">
      <c r="AE101" s="71">
        <v>39</v>
      </c>
      <c r="AF101" s="17">
        <v>2.450442269800039</v>
      </c>
      <c r="AG101" s="18">
        <v>-25778.849320818419</v>
      </c>
      <c r="AH101" s="20">
        <v>14780.679923115171</v>
      </c>
      <c r="AN101" s="23">
        <v>96</v>
      </c>
      <c r="AO101" s="58">
        <v>48</v>
      </c>
      <c r="AP101" s="45">
        <f t="shared" si="32"/>
        <v>133.18104248558748</v>
      </c>
      <c r="AQ101" s="45">
        <f t="shared" si="33"/>
        <v>-4999.8943382082916</v>
      </c>
      <c r="AR101" s="45">
        <f t="shared" si="34"/>
        <v>338.64628935655372</v>
      </c>
      <c r="AS101" s="45">
        <f t="shared" si="35"/>
        <v>3203.0893352845537</v>
      </c>
      <c r="AT101" s="45">
        <f t="shared" si="21"/>
        <v>-367.09816828854724</v>
      </c>
      <c r="AU101" s="45">
        <f t="shared" si="22"/>
        <v>-991.31246954317783</v>
      </c>
      <c r="AV101" s="64">
        <f t="shared" si="23"/>
        <v>626.35084086649783</v>
      </c>
      <c r="AW101" s="64">
        <f t="shared" si="24"/>
        <v>394.09023388305366</v>
      </c>
      <c r="AX101" s="64">
        <f t="shared" si="25"/>
        <v>-204.20794084672076</v>
      </c>
      <c r="AY101" s="64">
        <f t="shared" si="26"/>
        <v>152.14175689674016</v>
      </c>
      <c r="AZ101" s="64">
        <f t="shared" si="27"/>
        <v>-789.24106830832432</v>
      </c>
      <c r="BA101" s="64">
        <f t="shared" si="28"/>
        <v>-1537.5444603229716</v>
      </c>
      <c r="BB101" s="65">
        <f t="shared" si="29"/>
        <v>23472.065396062309</v>
      </c>
      <c r="BC101" s="65">
        <f t="shared" si="30"/>
        <v>25106.608871906898</v>
      </c>
      <c r="BD101" s="66">
        <f t="shared" si="31"/>
        <v>11240.625465779563</v>
      </c>
    </row>
    <row r="102" spans="31:56" x14ac:dyDescent="0.25">
      <c r="AE102" s="71">
        <v>40</v>
      </c>
      <c r="AF102" s="17">
        <v>2.5132741228718345</v>
      </c>
      <c r="AG102" s="18">
        <v>-26067.627457812105</v>
      </c>
      <c r="AH102" s="20">
        <v>14408.389392193549</v>
      </c>
      <c r="AN102" s="23">
        <v>97</v>
      </c>
      <c r="AO102" s="58">
        <v>48.5</v>
      </c>
      <c r="AP102" s="45">
        <f t="shared" si="32"/>
        <v>210.72964509172755</v>
      </c>
      <c r="AQ102" s="45">
        <f t="shared" si="33"/>
        <v>-3646.177787951809</v>
      </c>
      <c r="AR102" s="45">
        <f t="shared" si="34"/>
        <v>155.0972052122801</v>
      </c>
      <c r="AS102" s="45">
        <f t="shared" si="35"/>
        <v>2707.4331005129648</v>
      </c>
      <c r="AT102" s="45">
        <f t="shared" si="21"/>
        <v>-210.14239801985525</v>
      </c>
      <c r="AU102" s="45">
        <f t="shared" si="22"/>
        <v>-918.92803564400117</v>
      </c>
      <c r="AV102" s="64">
        <f t="shared" si="23"/>
        <v>677.9744702969997</v>
      </c>
      <c r="AW102" s="64">
        <f t="shared" si="24"/>
        <v>381.86470981980978</v>
      </c>
      <c r="AX102" s="64">
        <f t="shared" si="25"/>
        <v>-222.25820850848484</v>
      </c>
      <c r="AY102" s="64">
        <f t="shared" si="26"/>
        <v>150.06756714867143</v>
      </c>
      <c r="AZ102" s="64">
        <f t="shared" si="27"/>
        <v>-665.85865980837013</v>
      </c>
      <c r="BA102" s="64">
        <f t="shared" si="28"/>
        <v>-1450.8603126124824</v>
      </c>
      <c r="BB102" s="65">
        <f t="shared" si="29"/>
        <v>22712.386498566848</v>
      </c>
      <c r="BC102" s="65">
        <f t="shared" si="30"/>
        <v>24386.302733448112</v>
      </c>
      <c r="BD102" s="66">
        <f t="shared" si="31"/>
        <v>12492.437002324112</v>
      </c>
    </row>
    <row r="103" spans="31:56" x14ac:dyDescent="0.25">
      <c r="AE103" s="71">
        <v>41</v>
      </c>
      <c r="AF103" s="17">
        <v>2.5761059759436304</v>
      </c>
      <c r="AG103" s="18">
        <v>-26332.459441265113</v>
      </c>
      <c r="AH103" s="20">
        <v>14018.700962342475</v>
      </c>
      <c r="AN103" s="23">
        <v>98</v>
      </c>
      <c r="AO103" s="58">
        <v>49</v>
      </c>
      <c r="AP103" s="45">
        <f t="shared" si="32"/>
        <v>235.74264819290377</v>
      </c>
      <c r="AQ103" s="45">
        <f t="shared" si="33"/>
        <v>-2522.1932466063267</v>
      </c>
      <c r="AR103" s="45">
        <f t="shared" si="34"/>
        <v>50.026006202352477</v>
      </c>
      <c r="AS103" s="45">
        <f t="shared" si="35"/>
        <v>2247.9690826909641</v>
      </c>
      <c r="AT103" s="45">
        <f t="shared" si="21"/>
        <v>-93.474124285965104</v>
      </c>
      <c r="AU103" s="45">
        <f t="shared" si="22"/>
        <v>-859.00844537264857</v>
      </c>
      <c r="AV103" s="64">
        <f t="shared" si="23"/>
        <v>720.14590856870586</v>
      </c>
      <c r="AW103" s="64">
        <f t="shared" si="24"/>
        <v>365.17645631489165</v>
      </c>
      <c r="AX103" s="64">
        <f t="shared" si="25"/>
        <v>-238.11758266693826</v>
      </c>
      <c r="AY103" s="64">
        <f t="shared" si="26"/>
        <v>147.35087500415682</v>
      </c>
      <c r="AZ103" s="64">
        <f t="shared" si="27"/>
        <v>-575.50245018773273</v>
      </c>
      <c r="BA103" s="64">
        <f t="shared" si="28"/>
        <v>-1371.535776691697</v>
      </c>
      <c r="BB103" s="65">
        <f t="shared" si="29"/>
        <v>22160.104380186982</v>
      </c>
      <c r="BC103" s="65">
        <f t="shared" si="30"/>
        <v>23796.861226414843</v>
      </c>
      <c r="BD103" s="66">
        <f t="shared" si="31"/>
        <v>13531.764942280915</v>
      </c>
    </row>
    <row r="104" spans="31:56" x14ac:dyDescent="0.25">
      <c r="AE104" s="71">
        <v>42</v>
      </c>
      <c r="AF104" s="17">
        <v>2.6389378290154264</v>
      </c>
      <c r="AG104" s="18">
        <v>-26572.300100328976</v>
      </c>
      <c r="AH104" s="20">
        <v>13613.152555762865</v>
      </c>
      <c r="AN104" s="23">
        <v>99</v>
      </c>
      <c r="AO104" s="58">
        <v>49.5</v>
      </c>
      <c r="AP104" s="45">
        <f t="shared" si="32"/>
        <v>237.38712022258872</v>
      </c>
      <c r="AQ104" s="45">
        <f t="shared" si="33"/>
        <v>-1612.9608166040068</v>
      </c>
      <c r="AR104" s="45">
        <f t="shared" si="34"/>
        <v>3.2889440593699248</v>
      </c>
      <c r="AS104" s="45">
        <f t="shared" si="35"/>
        <v>1818.4648600046398</v>
      </c>
      <c r="AT104" s="45">
        <f t="shared" si="21"/>
        <v>-8.9051375691119006</v>
      </c>
      <c r="AU104" s="45">
        <f t="shared" si="22"/>
        <v>-813.7660556597242</v>
      </c>
      <c r="AV104" s="64">
        <f t="shared" si="23"/>
        <v>753.21924832819275</v>
      </c>
      <c r="AW104" s="64">
        <f t="shared" si="24"/>
        <v>347.32540368437634</v>
      </c>
      <c r="AX104" s="64">
        <f t="shared" si="25"/>
        <v>-251.42700996085122</v>
      </c>
      <c r="AY104" s="64">
        <f t="shared" si="26"/>
        <v>144.27811246411321</v>
      </c>
      <c r="AZ104" s="64">
        <f t="shared" si="27"/>
        <v>-510.6973759364534</v>
      </c>
      <c r="BA104" s="64">
        <f t="shared" si="28"/>
        <v>-1305.3695718082138</v>
      </c>
      <c r="BB104" s="65">
        <f t="shared" si="29"/>
        <v>21762.511865152515</v>
      </c>
      <c r="BC104" s="65">
        <f t="shared" si="30"/>
        <v>23332.653007785702</v>
      </c>
      <c r="BD104" s="66">
        <f t="shared" si="31"/>
        <v>14375.084067401245</v>
      </c>
    </row>
    <row r="105" spans="31:56" x14ac:dyDescent="0.25">
      <c r="AE105" s="71">
        <v>43</v>
      </c>
      <c r="AF105" s="17">
        <v>2.7017696820872223</v>
      </c>
      <c r="AG105" s="18">
        <v>-26786.202893495145</v>
      </c>
      <c r="AH105" s="20">
        <v>13193.344686738044</v>
      </c>
      <c r="AN105" s="23">
        <v>100</v>
      </c>
      <c r="AO105" s="58">
        <v>50</v>
      </c>
      <c r="AP105" s="45">
        <f t="shared" si="32"/>
        <v>236.80530785999571</v>
      </c>
      <c r="AQ105" s="45">
        <f t="shared" si="33"/>
        <v>-907.16990051661799</v>
      </c>
      <c r="AR105" s="45">
        <f t="shared" si="34"/>
        <v>-1.1636247251860254</v>
      </c>
      <c r="AS105" s="45">
        <f t="shared" si="35"/>
        <v>1411.5818321747777</v>
      </c>
      <c r="AT105" s="45">
        <f t="shared" si="21"/>
        <v>50.564160769519845</v>
      </c>
      <c r="AU105" s="45">
        <f t="shared" si="22"/>
        <v>-781.24513471230705</v>
      </c>
      <c r="AV105" s="64">
        <f t="shared" si="23"/>
        <v>778.22389428411168</v>
      </c>
      <c r="AW105" s="64">
        <f t="shared" si="24"/>
        <v>331.05277774196514</v>
      </c>
      <c r="AX105" s="64">
        <f t="shared" si="25"/>
        <v>-261.88628467125545</v>
      </c>
      <c r="AY105" s="64">
        <f t="shared" si="26"/>
        <v>141.15064893246765</v>
      </c>
      <c r="AZ105" s="64">
        <f t="shared" si="27"/>
        <v>-465.77344884333638</v>
      </c>
      <c r="BA105" s="64">
        <f t="shared" si="28"/>
        <v>-1253.4485613867398</v>
      </c>
      <c r="BB105" s="65">
        <f t="shared" si="29"/>
        <v>21477.066144508273</v>
      </c>
      <c r="BC105" s="65">
        <f t="shared" si="30"/>
        <v>22989.011381678989</v>
      </c>
      <c r="BD105" s="66">
        <f t="shared" si="31"/>
        <v>15034.360313805688</v>
      </c>
    </row>
    <row r="106" spans="31:56" x14ac:dyDescent="0.25">
      <c r="AE106" s="71">
        <v>44</v>
      </c>
      <c r="AF106" s="17">
        <v>2.7646015351590183</v>
      </c>
      <c r="AG106" s="18">
        <v>-26973.323644161886</v>
      </c>
      <c r="AH106" s="20">
        <v>12760.934145135083</v>
      </c>
      <c r="AN106" s="23">
        <v>101</v>
      </c>
      <c r="AO106" s="58">
        <v>50.5</v>
      </c>
      <c r="AP106" s="45">
        <f t="shared" si="32"/>
        <v>248.86453568978266</v>
      </c>
      <c r="AQ106" s="45">
        <f t="shared" si="33"/>
        <v>-396.69026810730588</v>
      </c>
      <c r="AR106" s="45">
        <f t="shared" si="34"/>
        <v>24.118455659573897</v>
      </c>
      <c r="AS106" s="45">
        <f t="shared" si="35"/>
        <v>1020.9592648186242</v>
      </c>
      <c r="AT106" s="45">
        <f t="shared" si="21"/>
        <v>90.311350408888813</v>
      </c>
      <c r="AU106" s="45">
        <f t="shared" si="22"/>
        <v>-758.64137587389348</v>
      </c>
      <c r="AV106" s="64">
        <f t="shared" si="23"/>
        <v>796.40403878520499</v>
      </c>
      <c r="AW106" s="64">
        <f t="shared" si="24"/>
        <v>318.40984706527178</v>
      </c>
      <c r="AX106" s="64">
        <f t="shared" si="25"/>
        <v>-269.27443307773814</v>
      </c>
      <c r="AY106" s="64">
        <f t="shared" si="26"/>
        <v>138.25777109106747</v>
      </c>
      <c r="AZ106" s="64">
        <f t="shared" si="27"/>
        <v>-436.81825529857809</v>
      </c>
      <c r="BA106" s="64">
        <f t="shared" si="28"/>
        <v>-1215.3089940302327</v>
      </c>
      <c r="BB106" s="65">
        <f t="shared" si="29"/>
        <v>21271.226323838346</v>
      </c>
      <c r="BC106" s="65">
        <f t="shared" si="30"/>
        <v>22761.978901573399</v>
      </c>
      <c r="BD106" s="66">
        <f t="shared" si="31"/>
        <v>15517.964880731422</v>
      </c>
    </row>
    <row r="107" spans="31:56" x14ac:dyDescent="0.25">
      <c r="AE107" s="71">
        <v>45</v>
      </c>
      <c r="AF107" s="17">
        <v>2.8274333882308142</v>
      </c>
      <c r="AG107" s="18">
        <v>-27132.923872213651</v>
      </c>
      <c r="AH107" s="20">
        <v>12317.627457812103</v>
      </c>
      <c r="AN107" s="23">
        <v>102</v>
      </c>
      <c r="AO107" s="58">
        <v>51</v>
      </c>
      <c r="AP107" s="45">
        <f t="shared" si="32"/>
        <v>283.50160112179179</v>
      </c>
      <c r="AQ107" s="45">
        <f t="shared" si="33"/>
        <v>-75.87097966646715</v>
      </c>
      <c r="AR107" s="45">
        <f t="shared" si="34"/>
        <v>69.274130864018304</v>
      </c>
      <c r="AS107" s="45">
        <f t="shared" si="35"/>
        <v>641.63857688167741</v>
      </c>
      <c r="AT107" s="45">
        <f t="shared" si="21"/>
        <v>114.08289910520904</v>
      </c>
      <c r="AU107" s="45">
        <f t="shared" si="22"/>
        <v>-743.4637400200163</v>
      </c>
      <c r="AV107" s="64">
        <f t="shared" si="23"/>
        <v>808.87131208467827</v>
      </c>
      <c r="AW107" s="64">
        <f t="shared" si="24"/>
        <v>310.80086207679278</v>
      </c>
      <c r="AX107" s="64">
        <f t="shared" si="25"/>
        <v>-273.46173422492262</v>
      </c>
      <c r="AY107" s="64">
        <f t="shared" si="26"/>
        <v>135.84267677794722</v>
      </c>
      <c r="AZ107" s="64">
        <f t="shared" si="27"/>
        <v>-421.32667875454666</v>
      </c>
      <c r="BA107" s="64">
        <f t="shared" si="28"/>
        <v>-1190.1072788747563</v>
      </c>
      <c r="BB107" s="65">
        <f t="shared" si="29"/>
        <v>21121.887468063065</v>
      </c>
      <c r="BC107" s="65">
        <f t="shared" si="30"/>
        <v>22648.25850262212</v>
      </c>
      <c r="BD107" s="66">
        <f t="shared" si="31"/>
        <v>15831.772363971699</v>
      </c>
    </row>
    <row r="108" spans="31:56" x14ac:dyDescent="0.25">
      <c r="AE108" s="71">
        <v>46</v>
      </c>
      <c r="AF108" s="17">
        <v>2.8902652413026098</v>
      </c>
      <c r="AG108" s="18">
        <v>-27264.373708464733</v>
      </c>
      <c r="AH108" s="20">
        <v>11865.174153736411</v>
      </c>
      <c r="AN108" s="23">
        <v>103</v>
      </c>
      <c r="AO108" s="58">
        <v>51.5</v>
      </c>
      <c r="AP108" s="45">
        <f t="shared" si="32"/>
        <v>346.65939133010318</v>
      </c>
      <c r="AQ108" s="45">
        <f t="shared" si="33"/>
        <v>59.082373769367479</v>
      </c>
      <c r="AR108" s="45">
        <f t="shared" si="34"/>
        <v>126.31558041662282</v>
      </c>
      <c r="AS108" s="45">
        <f t="shared" si="35"/>
        <v>269.90670687166926</v>
      </c>
      <c r="AT108" s="45">
        <f t="shared" si="21"/>
        <v>124.06557428507131</v>
      </c>
      <c r="AU108" s="45">
        <f t="shared" si="22"/>
        <v>-733.87544468429564</v>
      </c>
      <c r="AV108" s="64">
        <f t="shared" si="23"/>
        <v>816.37876261325619</v>
      </c>
      <c r="AW108" s="64">
        <f t="shared" si="24"/>
        <v>309.08776504537718</v>
      </c>
      <c r="AX108" s="64">
        <f t="shared" si="25"/>
        <v>-274.41226876253893</v>
      </c>
      <c r="AY108" s="64">
        <f t="shared" si="26"/>
        <v>134.07162851302496</v>
      </c>
      <c r="AZ108" s="64">
        <f t="shared" si="27"/>
        <v>-417.90091956564595</v>
      </c>
      <c r="BA108" s="64">
        <f t="shared" si="28"/>
        <v>-1177.0348382426978</v>
      </c>
      <c r="BB108" s="65">
        <f t="shared" si="29"/>
        <v>21014.781754773066</v>
      </c>
      <c r="BC108" s="65">
        <f t="shared" si="30"/>
        <v>22645.273052853754</v>
      </c>
      <c r="BD108" s="66">
        <f t="shared" si="31"/>
        <v>15980.072859247846</v>
      </c>
    </row>
    <row r="109" spans="31:56" x14ac:dyDescent="0.25">
      <c r="AE109" s="71">
        <v>47</v>
      </c>
      <c r="AF109" s="17">
        <v>2.9530970943744057</v>
      </c>
      <c r="AG109" s="18">
        <v>-27367.154380465166</v>
      </c>
      <c r="AH109" s="20">
        <v>11405.359859392935</v>
      </c>
      <c r="AN109" s="23">
        <v>104</v>
      </c>
      <c r="AO109" s="58">
        <v>52</v>
      </c>
      <c r="AP109" s="45">
        <f t="shared" si="32"/>
        <v>440.83357510968244</v>
      </c>
      <c r="AQ109" s="45">
        <f t="shared" si="33"/>
        <v>10.566866034128196</v>
      </c>
      <c r="AR109" s="45">
        <f t="shared" si="34"/>
        <v>188.34836755915848</v>
      </c>
      <c r="AS109" s="45">
        <f t="shared" si="35"/>
        <v>-97.031015470478565</v>
      </c>
      <c r="AT109" s="45">
        <f t="shared" si="21"/>
        <v>120.95335346442266</v>
      </c>
      <c r="AU109" s="45">
        <f t="shared" si="22"/>
        <v>-728.74679147715869</v>
      </c>
      <c r="AV109" s="64">
        <f t="shared" si="23"/>
        <v>819.19222880588609</v>
      </c>
      <c r="AW109" s="64">
        <f t="shared" si="24"/>
        <v>313.67826666164075</v>
      </c>
      <c r="AX109" s="64">
        <f t="shared" si="25"/>
        <v>-272.18085541064153</v>
      </c>
      <c r="AY109" s="64">
        <f t="shared" si="26"/>
        <v>133.01475428971821</v>
      </c>
      <c r="AZ109" s="64">
        <f t="shared" si="27"/>
        <v>-426.05801993082196</v>
      </c>
      <c r="BA109" s="64">
        <f t="shared" si="28"/>
        <v>-1175.4398124285176</v>
      </c>
      <c r="BB109" s="65">
        <f t="shared" si="29"/>
        <v>20944.034948039563</v>
      </c>
      <c r="BC109" s="65">
        <f t="shared" si="30"/>
        <v>22751.185718184151</v>
      </c>
      <c r="BD109" s="66">
        <f t="shared" si="31"/>
        <v>15966.20767846023</v>
      </c>
    </row>
    <row r="110" spans="31:56" x14ac:dyDescent="0.25">
      <c r="AE110" s="71">
        <v>48</v>
      </c>
      <c r="AF110" s="17">
        <v>3.0159289474462017</v>
      </c>
      <c r="AG110" s="18">
        <v>-27440.860259858586</v>
      </c>
      <c r="AH110" s="20">
        <v>10939.999251732281</v>
      </c>
      <c r="AN110" s="23">
        <v>105</v>
      </c>
      <c r="AO110" s="58">
        <v>52.5</v>
      </c>
      <c r="AP110" s="45">
        <f t="shared" si="32"/>
        <v>565.24609725536743</v>
      </c>
      <c r="AQ110" s="45">
        <f t="shared" si="33"/>
        <v>-220.13533957040076</v>
      </c>
      <c r="AR110" s="45">
        <f t="shared" si="34"/>
        <v>248.82504429136981</v>
      </c>
      <c r="AS110" s="45">
        <f t="shared" si="35"/>
        <v>-461.40441120905791</v>
      </c>
      <c r="AT110" s="45">
        <f t="shared" si="21"/>
        <v>103.988364123385</v>
      </c>
      <c r="AU110" s="45">
        <f t="shared" si="22"/>
        <v>-727.628431871359</v>
      </c>
      <c r="AV110" s="64">
        <f t="shared" si="23"/>
        <v>817.0339486240415</v>
      </c>
      <c r="AW110" s="64">
        <f t="shared" si="24"/>
        <v>324.55325608781857</v>
      </c>
      <c r="AX110" s="64">
        <f t="shared" si="25"/>
        <v>-266.90869322887636</v>
      </c>
      <c r="AY110" s="64">
        <f t="shared" si="26"/>
        <v>132.64334184024432</v>
      </c>
      <c r="AZ110" s="64">
        <f t="shared" si="27"/>
        <v>-446.13689127178014</v>
      </c>
      <c r="BA110" s="64">
        <f t="shared" si="28"/>
        <v>-1184.8250297994218</v>
      </c>
      <c r="BB110" s="65">
        <f t="shared" si="29"/>
        <v>20911.961862090593</v>
      </c>
      <c r="BC110" s="65">
        <f t="shared" si="30"/>
        <v>22964.766783048613</v>
      </c>
      <c r="BD110" s="66">
        <f t="shared" si="31"/>
        <v>15792.921309993026</v>
      </c>
    </row>
    <row r="111" spans="31:56" x14ac:dyDescent="0.25">
      <c r="AE111" s="71">
        <v>49</v>
      </c>
      <c r="AF111" s="17">
        <v>3.0787608005179976</v>
      </c>
      <c r="AG111" s="18">
        <v>-27485.200463212037</v>
      </c>
      <c r="AH111" s="20">
        <v>10470.928896469848</v>
      </c>
      <c r="AN111" s="23">
        <v>106</v>
      </c>
      <c r="AO111" s="58">
        <v>53</v>
      </c>
      <c r="AP111" s="45">
        <f t="shared" si="32"/>
        <v>715.65571043189857</v>
      </c>
      <c r="AQ111" s="45">
        <f t="shared" si="33"/>
        <v>-632.74465314276949</v>
      </c>
      <c r="AR111" s="45">
        <f t="shared" si="34"/>
        <v>300.81922635306228</v>
      </c>
      <c r="AS111" s="45">
        <f t="shared" si="35"/>
        <v>-825.21862714473741</v>
      </c>
      <c r="AT111" s="45">
        <f t="shared" si="21"/>
        <v>70.980503783447887</v>
      </c>
      <c r="AU111" s="45">
        <f t="shared" si="22"/>
        <v>-730.71549659842185</v>
      </c>
      <c r="AV111" s="64">
        <f t="shared" si="23"/>
        <v>809.0899814054701</v>
      </c>
      <c r="AW111" s="64">
        <f t="shared" si="24"/>
        <v>341.21576141669743</v>
      </c>
      <c r="AX111" s="64">
        <f t="shared" si="25"/>
        <v>-258.8193758018823</v>
      </c>
      <c r="AY111" s="64">
        <f t="shared" si="26"/>
        <v>132.84447147870839</v>
      </c>
      <c r="AZ111" s="64">
        <f t="shared" si="27"/>
        <v>-479.29010182013991</v>
      </c>
      <c r="BA111" s="64">
        <f t="shared" si="28"/>
        <v>-1204.7757294938276</v>
      </c>
      <c r="BB111" s="65">
        <f t="shared" si="29"/>
        <v>20929.105816346291</v>
      </c>
      <c r="BC111" s="65">
        <f t="shared" si="30"/>
        <v>23285.05208008103</v>
      </c>
      <c r="BD111" s="66">
        <f t="shared" si="31"/>
        <v>15462.430158354489</v>
      </c>
    </row>
    <row r="112" spans="31:56" x14ac:dyDescent="0.25">
      <c r="AE112" s="71">
        <v>50</v>
      </c>
      <c r="AF112" s="17">
        <v>3.1415926535897936</v>
      </c>
      <c r="AG112" s="18">
        <v>-27500</v>
      </c>
      <c r="AH112" s="20">
        <v>9999.9999999999982</v>
      </c>
      <c r="AN112" s="23">
        <v>107</v>
      </c>
      <c r="AO112" s="58">
        <v>53.5</v>
      </c>
      <c r="AP112" s="45">
        <f t="shared" si="32"/>
        <v>883.81044955429172</v>
      </c>
      <c r="AQ112" s="45">
        <f t="shared" si="33"/>
        <v>-1228.0328408647435</v>
      </c>
      <c r="AR112" s="45">
        <f t="shared" si="34"/>
        <v>336.30947824478619</v>
      </c>
      <c r="AS112" s="45">
        <f t="shared" si="35"/>
        <v>-1190.5763754439483</v>
      </c>
      <c r="AT112" s="45">
        <f t="shared" si="21"/>
        <v>18.332189717571737</v>
      </c>
      <c r="AU112" s="45">
        <f t="shared" si="22"/>
        <v>-738.79727874534285</v>
      </c>
      <c r="AV112" s="64">
        <f t="shared" si="23"/>
        <v>794.09641325385974</v>
      </c>
      <c r="AW112" s="64">
        <f t="shared" si="24"/>
        <v>362.56700402570493</v>
      </c>
      <c r="AX112" s="64">
        <f t="shared" si="25"/>
        <v>-248.21330512254514</v>
      </c>
      <c r="AY112" s="64">
        <f t="shared" si="26"/>
        <v>133.45012626826431</v>
      </c>
      <c r="AZ112" s="64">
        <f t="shared" si="27"/>
        <v>-527.55091841374292</v>
      </c>
      <c r="BA112" s="64">
        <f t="shared" si="28"/>
        <v>-1234.8144090393121</v>
      </c>
      <c r="BB112" s="65">
        <f t="shared" si="29"/>
        <v>21014.45360221824</v>
      </c>
      <c r="BC112" s="65">
        <f t="shared" si="30"/>
        <v>23710.804717859119</v>
      </c>
      <c r="BD112" s="66">
        <f t="shared" si="31"/>
        <v>14976.191266092468</v>
      </c>
    </row>
    <row r="113" spans="31:56" x14ac:dyDescent="0.25">
      <c r="AE113" s="71">
        <v>51</v>
      </c>
      <c r="AF113" s="17">
        <v>3.2044245066615891</v>
      </c>
      <c r="AG113" s="18">
        <v>-27485.200463212037</v>
      </c>
      <c r="AH113" s="20">
        <v>9529.0711035301501</v>
      </c>
      <c r="AN113" s="23">
        <v>108</v>
      </c>
      <c r="AO113" s="58">
        <v>54</v>
      </c>
      <c r="AP113" s="45">
        <f t="shared" si="32"/>
        <v>1056.5482361060779</v>
      </c>
      <c r="AQ113" s="45">
        <f t="shared" si="33"/>
        <v>-2008.0203482730533</v>
      </c>
      <c r="AR113" s="45">
        <f t="shared" si="34"/>
        <v>345.47557310357206</v>
      </c>
      <c r="AS113" s="45">
        <f t="shared" si="35"/>
        <v>-1559.9750148166197</v>
      </c>
      <c r="AT113" s="45">
        <f t="shared" si="21"/>
        <v>-58.886338413581143</v>
      </c>
      <c r="AU113" s="45">
        <f t="shared" si="22"/>
        <v>-753.11046816135524</v>
      </c>
      <c r="AV113" s="64">
        <f t="shared" si="23"/>
        <v>770.53887880364891</v>
      </c>
      <c r="AW113" s="64">
        <f t="shared" si="24"/>
        <v>386.74574360119897</v>
      </c>
      <c r="AX113" s="64">
        <f t="shared" si="25"/>
        <v>-235.45606199530982</v>
      </c>
      <c r="AY113" s="64">
        <f t="shared" si="26"/>
        <v>134.27467559548958</v>
      </c>
      <c r="AZ113" s="64">
        <f t="shared" si="27"/>
        <v>-593.96915522192023</v>
      </c>
      <c r="BA113" s="64">
        <f t="shared" si="28"/>
        <v>-1274.1308873580438</v>
      </c>
      <c r="BB113" s="65">
        <f t="shared" si="29"/>
        <v>21195.679174637226</v>
      </c>
      <c r="BC113" s="65">
        <f t="shared" si="30"/>
        <v>24239.859246786102</v>
      </c>
      <c r="BD113" s="66">
        <f t="shared" si="31"/>
        <v>14334.340298987137</v>
      </c>
    </row>
    <row r="114" spans="31:56" x14ac:dyDescent="0.25">
      <c r="AE114" s="71">
        <v>52</v>
      </c>
      <c r="AF114" s="17">
        <v>3.267256359733385</v>
      </c>
      <c r="AG114" s="18">
        <v>-27440.860259858586</v>
      </c>
      <c r="AH114" s="20">
        <v>9060.0007482677174</v>
      </c>
      <c r="AN114" s="23">
        <v>109</v>
      </c>
      <c r="AO114" s="58">
        <v>54.5</v>
      </c>
      <c r="AP114" s="45">
        <f t="shared" si="32"/>
        <v>1214.5644380544686</v>
      </c>
      <c r="AQ114" s="45">
        <f t="shared" si="33"/>
        <v>-2976.2854727217023</v>
      </c>
      <c r="AR114" s="45">
        <f t="shared" si="34"/>
        <v>316.03240389678149</v>
      </c>
      <c r="AS114" s="45">
        <f t="shared" si="35"/>
        <v>-1936.5302488972973</v>
      </c>
      <c r="AT114" s="45">
        <f t="shared" si="21"/>
        <v>-166.75204771662663</v>
      </c>
      <c r="AU114" s="45">
        <f t="shared" si="22"/>
        <v>-774.88605796264847</v>
      </c>
      <c r="AV114" s="64">
        <f t="shared" si="23"/>
        <v>737.00091326553036</v>
      </c>
      <c r="AW114" s="64">
        <f t="shared" si="24"/>
        <v>411.01160181066717</v>
      </c>
      <c r="AX114" s="64">
        <f t="shared" si="25"/>
        <v>-220.95652369726287</v>
      </c>
      <c r="AY114" s="64">
        <f t="shared" si="26"/>
        <v>135.15219399992657</v>
      </c>
      <c r="AZ114" s="64">
        <f t="shared" si="27"/>
        <v>-682.79643728489407</v>
      </c>
      <c r="BA114" s="64">
        <f t="shared" si="28"/>
        <v>-1321.0498537732421</v>
      </c>
      <c r="BB114" s="65">
        <f t="shared" si="29"/>
        <v>21509.187491813063</v>
      </c>
      <c r="BC114" s="65">
        <f t="shared" si="30"/>
        <v>24868.488674745266</v>
      </c>
      <c r="BD114" s="66">
        <f t="shared" si="31"/>
        <v>13534.789329288225</v>
      </c>
    </row>
    <row r="115" spans="31:56" x14ac:dyDescent="0.25">
      <c r="AE115" s="71">
        <v>53</v>
      </c>
      <c r="AF115" s="17">
        <v>3.330088212805181</v>
      </c>
      <c r="AG115" s="18">
        <v>-27367.154380465166</v>
      </c>
      <c r="AH115" s="20">
        <v>8594.6401406070636</v>
      </c>
      <c r="AN115" s="23">
        <v>110</v>
      </c>
      <c r="AO115" s="58">
        <v>55</v>
      </c>
      <c r="AP115" s="45">
        <f t="shared" si="32"/>
        <v>1330.8926280737028</v>
      </c>
      <c r="AQ115" s="45">
        <f t="shared" si="33"/>
        <v>-4138.2721116610128</v>
      </c>
      <c r="AR115" s="45">
        <f t="shared" si="34"/>
        <v>232.65638003846817</v>
      </c>
      <c r="AS115" s="45">
        <f t="shared" si="35"/>
        <v>-2323.9732778786215</v>
      </c>
      <c r="AT115" s="45">
        <f t="shared" si="21"/>
        <v>-312.10489109792223</v>
      </c>
      <c r="AU115" s="45">
        <f t="shared" si="22"/>
        <v>-804.13619454776187</v>
      </c>
      <c r="AV115" s="64">
        <f t="shared" si="23"/>
        <v>692.6593416762064</v>
      </c>
      <c r="AW115" s="64">
        <f t="shared" si="24"/>
        <v>431.80199987675627</v>
      </c>
      <c r="AX115" s="64">
        <f t="shared" si="25"/>
        <v>-205.13389936312814</v>
      </c>
      <c r="AY115" s="64">
        <f t="shared" si="26"/>
        <v>135.96425330578856</v>
      </c>
      <c r="AZ115" s="64">
        <f t="shared" si="27"/>
        <v>-799.63033341100049</v>
      </c>
      <c r="BA115" s="64">
        <f t="shared" si="28"/>
        <v>-1371.9024477303067</v>
      </c>
      <c r="BB115" s="65">
        <f t="shared" si="29"/>
        <v>21999.657902103369</v>
      </c>
      <c r="BC115" s="65">
        <f t="shared" si="30"/>
        <v>25590.969473894118</v>
      </c>
      <c r="BD115" s="66">
        <f t="shared" si="31"/>
        <v>12572.085514683667</v>
      </c>
    </row>
    <row r="116" spans="31:56" x14ac:dyDescent="0.25">
      <c r="AE116" s="71">
        <v>54</v>
      </c>
      <c r="AF116" s="17">
        <v>3.3929200658769769</v>
      </c>
      <c r="AG116" s="18">
        <v>-27264.373708464733</v>
      </c>
      <c r="AH116" s="20">
        <v>8134.8258462635877</v>
      </c>
      <c r="AN116" s="23">
        <v>111</v>
      </c>
      <c r="AO116" s="58">
        <v>55.5</v>
      </c>
      <c r="AP116" s="45">
        <f t="shared" si="32"/>
        <v>1369.1945953184563</v>
      </c>
      <c r="AQ116" s="45">
        <f t="shared" si="33"/>
        <v>-5501.2927992372643</v>
      </c>
      <c r="AR116" s="45">
        <f t="shared" si="34"/>
        <v>76.603934489507054</v>
      </c>
      <c r="AS116" s="45">
        <f t="shared" si="35"/>
        <v>-2726.0413751525025</v>
      </c>
      <c r="AT116" s="45">
        <f t="shared" si="21"/>
        <v>-501.69638898557162</v>
      </c>
      <c r="AU116" s="45">
        <f t="shared" si="22"/>
        <v>-836.7493237437493</v>
      </c>
      <c r="AV116" s="64">
        <f t="shared" si="23"/>
        <v>637.83829643552201</v>
      </c>
      <c r="AW116" s="64">
        <f t="shared" si="24"/>
        <v>445.10810297235577</v>
      </c>
      <c r="AX116" s="64">
        <f t="shared" si="25"/>
        <v>-188.37859474914706</v>
      </c>
      <c r="AY116" s="64">
        <f t="shared" si="26"/>
        <v>136.65052940063185</v>
      </c>
      <c r="AZ116" s="64">
        <f t="shared" si="27"/>
        <v>-951.15609067194657</v>
      </c>
      <c r="BA116" s="64">
        <f t="shared" si="28"/>
        <v>-1418.507956116737</v>
      </c>
      <c r="BB116" s="65">
        <f t="shared" si="29"/>
        <v>22718.726295252774</v>
      </c>
      <c r="BC116" s="65">
        <f t="shared" si="30"/>
        <v>26399.480224055027</v>
      </c>
      <c r="BD116" s="66">
        <f t="shared" si="31"/>
        <v>11436.436432685476</v>
      </c>
    </row>
    <row r="117" spans="31:56" x14ac:dyDescent="0.25">
      <c r="AE117" s="71">
        <v>55</v>
      </c>
      <c r="AF117" s="17">
        <v>3.4557519189487729</v>
      </c>
      <c r="AG117" s="18">
        <v>-27132.923872213651</v>
      </c>
      <c r="AH117" s="20">
        <v>7682.3725421878917</v>
      </c>
      <c r="AN117" s="23">
        <v>112</v>
      </c>
      <c r="AO117" s="58">
        <v>56</v>
      </c>
      <c r="AP117" s="45">
        <f t="shared" si="32"/>
        <v>1282.072465316817</v>
      </c>
      <c r="AQ117" s="45">
        <f t="shared" si="33"/>
        <v>-7073.5008177494528</v>
      </c>
      <c r="AR117" s="45">
        <f t="shared" si="34"/>
        <v>-174.24426000327875</v>
      </c>
      <c r="AS117" s="45">
        <f t="shared" si="35"/>
        <v>-3144.4160370243771</v>
      </c>
      <c r="AT117" s="45">
        <f t="shared" si="21"/>
        <v>-739.80677884532497</v>
      </c>
      <c r="AU117" s="45">
        <f t="shared" si="22"/>
        <v>-858.02906397241566</v>
      </c>
      <c r="AV117" s="64">
        <f t="shared" si="23"/>
        <v>574.4258868500458</v>
      </c>
      <c r="AW117" s="64">
        <f t="shared" si="24"/>
        <v>447.23947756683583</v>
      </c>
      <c r="AX117" s="64">
        <f t="shared" si="25"/>
        <v>-171.01841663649907</v>
      </c>
      <c r="AY117" s="64">
        <f t="shared" si="26"/>
        <v>137.19918870927575</v>
      </c>
      <c r="AZ117" s="64">
        <f t="shared" si="27"/>
        <v>-1143.2142490588717</v>
      </c>
      <c r="BA117" s="64">
        <f t="shared" si="28"/>
        <v>-1442.4677302485272</v>
      </c>
      <c r="BB117" s="65">
        <f t="shared" si="29"/>
        <v>23722.304636746296</v>
      </c>
      <c r="BC117" s="65">
        <f t="shared" si="30"/>
        <v>27284.263570649793</v>
      </c>
      <c r="BD117" s="66">
        <f t="shared" si="31"/>
        <v>10114.040920705746</v>
      </c>
    </row>
    <row r="118" spans="31:56" x14ac:dyDescent="0.25">
      <c r="AE118" s="71">
        <v>56</v>
      </c>
      <c r="AF118" s="17">
        <v>3.5185837720205688</v>
      </c>
      <c r="AG118" s="18">
        <v>-26973.323644161886</v>
      </c>
      <c r="AH118" s="20">
        <v>7239.0658548649126</v>
      </c>
      <c r="AN118" s="23">
        <v>113</v>
      </c>
      <c r="AO118" s="58">
        <v>56.5</v>
      </c>
      <c r="AP118" s="45">
        <f t="shared" si="32"/>
        <v>1009.9986406038464</v>
      </c>
      <c r="AQ118" s="45">
        <f t="shared" si="33"/>
        <v>-8860.2161022547461</v>
      </c>
      <c r="AR118" s="45">
        <f t="shared" si="34"/>
        <v>-544.14764942594127</v>
      </c>
      <c r="AS118" s="45">
        <f t="shared" si="35"/>
        <v>-3573.4305690105848</v>
      </c>
      <c r="AT118" s="45">
        <f t="shared" si="21"/>
        <v>-1020.5937121469811</v>
      </c>
      <c r="AU118" s="45">
        <f t="shared" si="22"/>
        <v>-829.37927365290363</v>
      </c>
      <c r="AV118" s="64">
        <f t="shared" si="23"/>
        <v>505.91654810774742</v>
      </c>
      <c r="AW118" s="64">
        <f t="shared" si="24"/>
        <v>435.8558959583296</v>
      </c>
      <c r="AX118" s="64">
        <f t="shared" si="25"/>
        <v>-153.30800233197962</v>
      </c>
      <c r="AY118" s="64">
        <f t="shared" si="26"/>
        <v>137.62123947015201</v>
      </c>
      <c r="AZ118" s="64">
        <f t="shared" si="27"/>
        <v>-1373.2022579227489</v>
      </c>
      <c r="BA118" s="64">
        <f t="shared" si="28"/>
        <v>-1402.8564090813852</v>
      </c>
      <c r="BB118" s="65">
        <f t="shared" si="29"/>
        <v>25065.450774768506</v>
      </c>
      <c r="BC118" s="65">
        <f t="shared" si="30"/>
        <v>28233.451689475107</v>
      </c>
      <c r="BD118" s="66">
        <f t="shared" si="31"/>
        <v>8591.683768102268</v>
      </c>
    </row>
    <row r="119" spans="31:56" x14ac:dyDescent="0.25">
      <c r="AE119" s="71">
        <v>57</v>
      </c>
      <c r="AF119" s="17">
        <v>3.5814156250923643</v>
      </c>
      <c r="AG119" s="18">
        <v>-26786.202893495145</v>
      </c>
      <c r="AH119" s="20">
        <v>6806.6553132619556</v>
      </c>
      <c r="AN119" s="23">
        <v>114</v>
      </c>
      <c r="AO119" s="58">
        <v>57</v>
      </c>
      <c r="AP119" s="45">
        <f t="shared" si="32"/>
        <v>482.77638785413058</v>
      </c>
      <c r="AQ119" s="45">
        <f t="shared" si="33"/>
        <v>-10854.276205173266</v>
      </c>
      <c r="AR119" s="45">
        <f t="shared" si="34"/>
        <v>-1054.4445054994319</v>
      </c>
      <c r="AS119" s="45">
        <f t="shared" si="35"/>
        <v>-3988.1202058370368</v>
      </c>
      <c r="AT119" s="45">
        <f t="shared" si="21"/>
        <v>-1305.1686287361695</v>
      </c>
      <c r="AU119" s="45">
        <f t="shared" si="22"/>
        <v>-666.00894390650262</v>
      </c>
      <c r="AV119" s="64">
        <f t="shared" si="23"/>
        <v>436.96316444522984</v>
      </c>
      <c r="AW119" s="64">
        <f t="shared" si="24"/>
        <v>410.92640895517718</v>
      </c>
      <c r="AX119" s="64">
        <f t="shared" si="25"/>
        <v>-135.46559649065918</v>
      </c>
      <c r="AY119" s="64">
        <f t="shared" si="26"/>
        <v>137.92256049770413</v>
      </c>
      <c r="AZ119" s="64">
        <f t="shared" si="27"/>
        <v>-1606.66619669074</v>
      </c>
      <c r="BA119" s="64">
        <f t="shared" si="28"/>
        <v>-1214.8579133593839</v>
      </c>
      <c r="BB119" s="65">
        <f t="shared" si="29"/>
        <v>26791.817268380542</v>
      </c>
      <c r="BC119" s="65">
        <f t="shared" si="30"/>
        <v>29230.890588493716</v>
      </c>
      <c r="BD119" s="66">
        <f t="shared" si="31"/>
        <v>6873.7080751369831</v>
      </c>
    </row>
    <row r="120" spans="31:56" x14ac:dyDescent="0.25">
      <c r="AE120" s="71">
        <v>58</v>
      </c>
      <c r="AF120" s="17">
        <v>3.6442474781641603</v>
      </c>
      <c r="AG120" s="18">
        <v>-26572.300100328976</v>
      </c>
      <c r="AH120" s="20">
        <v>6386.8474442371353</v>
      </c>
      <c r="AN120" s="23">
        <v>115</v>
      </c>
      <c r="AO120" s="58">
        <v>57.5</v>
      </c>
      <c r="AP120" s="45">
        <f t="shared" si="32"/>
        <v>-370.73802207962774</v>
      </c>
      <c r="AQ120" s="45">
        <f t="shared" si="33"/>
        <v>-13014.838544068411</v>
      </c>
      <c r="AR120" s="45">
        <f t="shared" si="34"/>
        <v>-1707.0288198675166</v>
      </c>
      <c r="AS120" s="45">
        <f t="shared" si="35"/>
        <v>-4321.1246777902879</v>
      </c>
      <c r="AT120" s="45">
        <f t="shared" si="21"/>
        <v>-1471.9027710212042</v>
      </c>
      <c r="AU120" s="45">
        <f t="shared" si="22"/>
        <v>-227.14661610943006</v>
      </c>
      <c r="AV120" s="64">
        <f t="shared" si="23"/>
        <v>372.5744131489239</v>
      </c>
      <c r="AW120" s="64">
        <f t="shared" si="24"/>
        <v>375.20996652731566</v>
      </c>
      <c r="AX120" s="64">
        <f t="shared" si="25"/>
        <v>-117.78430796767537</v>
      </c>
      <c r="AY120" s="64">
        <f t="shared" si="26"/>
        <v>138.09927413216349</v>
      </c>
      <c r="AZ120" s="64">
        <f t="shared" si="27"/>
        <v>-1726.6928762024527</v>
      </c>
      <c r="BA120" s="64">
        <f t="shared" si="28"/>
        <v>-740.45585676890926</v>
      </c>
      <c r="BB120" s="65">
        <f t="shared" si="29"/>
        <v>28910.648004729945</v>
      </c>
      <c r="BC120" s="65">
        <f t="shared" si="30"/>
        <v>30248.813514043279</v>
      </c>
      <c r="BD120" s="66">
        <f t="shared" si="31"/>
        <v>5036.9566671091843</v>
      </c>
    </row>
    <row r="121" spans="31:56" x14ac:dyDescent="0.25">
      <c r="AE121" s="71">
        <v>59</v>
      </c>
      <c r="AF121" s="17">
        <v>3.7070793312359562</v>
      </c>
      <c r="AG121" s="18">
        <v>-26332.459441265113</v>
      </c>
      <c r="AH121" s="20">
        <v>5981.2990376575244</v>
      </c>
      <c r="AN121" s="23">
        <v>116</v>
      </c>
      <c r="AO121" s="58">
        <v>58</v>
      </c>
      <c r="AP121" s="45">
        <f t="shared" si="32"/>
        <v>-1592.2281247686872</v>
      </c>
      <c r="AQ121" s="45">
        <f t="shared" si="33"/>
        <v>-15232.187536990912</v>
      </c>
      <c r="AR121" s="45">
        <f t="shared" si="34"/>
        <v>-2442.9802053781186</v>
      </c>
      <c r="AS121" s="45">
        <f t="shared" si="35"/>
        <v>-4434.6979858450031</v>
      </c>
      <c r="AT121" s="45">
        <f t="shared" si="21"/>
        <v>-1295.6971535340444</v>
      </c>
      <c r="AU121" s="45">
        <f t="shared" si="22"/>
        <v>575.18902990538993</v>
      </c>
      <c r="AV121" s="64">
        <f t="shared" si="23"/>
        <v>317.22502003444106</v>
      </c>
      <c r="AW121" s="64">
        <f t="shared" si="24"/>
        <v>333.97288159328696</v>
      </c>
      <c r="AX121" s="64">
        <f t="shared" si="25"/>
        <v>-100.81382074642963</v>
      </c>
      <c r="AY121" s="64">
        <f t="shared" si="26"/>
        <v>138.18908929533509</v>
      </c>
      <c r="AZ121" s="64">
        <f t="shared" si="27"/>
        <v>-1512.1083528220558</v>
      </c>
      <c r="BA121" s="64">
        <f t="shared" si="28"/>
        <v>103.02705901676789</v>
      </c>
      <c r="BB121" s="65">
        <f t="shared" si="29"/>
        <v>31352.458685228768</v>
      </c>
      <c r="BC121" s="65">
        <f t="shared" si="30"/>
        <v>31233.145107600616</v>
      </c>
      <c r="BD121" s="66">
        <f t="shared" si="31"/>
        <v>3415.6727310958008</v>
      </c>
    </row>
    <row r="122" spans="31:56" x14ac:dyDescent="0.25">
      <c r="AE122" s="71">
        <v>60</v>
      </c>
      <c r="AF122" s="17">
        <v>3.7699111843077522</v>
      </c>
      <c r="AG122" s="18">
        <v>-26067.627457812105</v>
      </c>
      <c r="AH122" s="20">
        <v>5591.6106078064495</v>
      </c>
      <c r="AN122" s="23">
        <v>117</v>
      </c>
      <c r="AO122" s="58">
        <v>58.5</v>
      </c>
      <c r="AP122" s="45">
        <f t="shared" si="32"/>
        <v>-3137.6425158412576</v>
      </c>
      <c r="AQ122" s="45">
        <f t="shared" si="33"/>
        <v>-17305.739272437066</v>
      </c>
      <c r="AR122" s="45">
        <f t="shared" si="34"/>
        <v>-3090.8287821451408</v>
      </c>
      <c r="AS122" s="45">
        <f t="shared" si="35"/>
        <v>-4147.103470892308</v>
      </c>
      <c r="AT122" s="45">
        <f t="shared" si="21"/>
        <v>-670.97228084700203</v>
      </c>
      <c r="AU122" s="45">
        <f t="shared" si="22"/>
        <v>1496.0613029189637</v>
      </c>
      <c r="AV122" s="64">
        <f t="shared" si="23"/>
        <v>273.90560585116657</v>
      </c>
      <c r="AW122" s="64">
        <f t="shared" si="24"/>
        <v>293.65269341295783</v>
      </c>
      <c r="AX122" s="64">
        <f t="shared" si="25"/>
        <v>-85.450298768692747</v>
      </c>
      <c r="AY122" s="64">
        <f t="shared" si="26"/>
        <v>138.37232315361393</v>
      </c>
      <c r="AZ122" s="64">
        <f t="shared" si="27"/>
        <v>-859.42758792947586</v>
      </c>
      <c r="BA122" s="64">
        <f t="shared" si="28"/>
        <v>1064.0362863523919</v>
      </c>
      <c r="BB122" s="65">
        <f t="shared" si="29"/>
        <v>33921.603765786072</v>
      </c>
      <c r="BC122" s="65">
        <f t="shared" si="30"/>
        <v>32092.717197798574</v>
      </c>
      <c r="BD122" s="66">
        <f t="shared" si="31"/>
        <v>2963.9178448905577</v>
      </c>
    </row>
    <row r="123" spans="31:56" x14ac:dyDescent="0.25">
      <c r="AE123" s="71">
        <v>61</v>
      </c>
      <c r="AF123" s="17">
        <v>3.8327430373795481</v>
      </c>
      <c r="AG123" s="18">
        <v>-25778.849320818419</v>
      </c>
      <c r="AH123" s="20">
        <v>5219.3200768848255</v>
      </c>
      <c r="AN123" s="23">
        <v>118</v>
      </c>
      <c r="AO123" s="58">
        <v>59</v>
      </c>
      <c r="AP123" s="45">
        <f t="shared" si="32"/>
        <v>-4850.7999771255791</v>
      </c>
      <c r="AQ123" s="45">
        <f t="shared" si="33"/>
        <v>-19005.275682153479</v>
      </c>
      <c r="AR123" s="45">
        <f t="shared" si="34"/>
        <v>-3426.314922568642</v>
      </c>
      <c r="AS123" s="45">
        <f t="shared" si="35"/>
        <v>-3399.0728194328262</v>
      </c>
      <c r="AT123" s="45">
        <f t="shared" si="21"/>
        <v>108.06222041927876</v>
      </c>
      <c r="AU123" s="45">
        <f t="shared" si="22"/>
        <v>2075.5342989484434</v>
      </c>
      <c r="AV123" s="64">
        <f t="shared" si="23"/>
        <v>243.14442788699355</v>
      </c>
      <c r="AW123" s="64">
        <f t="shared" si="24"/>
        <v>259.33209786631909</v>
      </c>
      <c r="AX123" s="64">
        <f t="shared" si="25"/>
        <v>-72.605456160463092</v>
      </c>
      <c r="AY123" s="64">
        <f t="shared" si="26"/>
        <v>139.01336498184</v>
      </c>
      <c r="AZ123" s="64">
        <f t="shared" si="27"/>
        <v>-62.47675130725171</v>
      </c>
      <c r="BA123" s="64">
        <f t="shared" si="28"/>
        <v>1677.1888361002841</v>
      </c>
      <c r="BB123" s="65">
        <f t="shared" si="29"/>
        <v>36333.068938503682</v>
      </c>
      <c r="BC123" s="65">
        <f t="shared" si="30"/>
        <v>32723.145917389764</v>
      </c>
      <c r="BD123" s="66">
        <f t="shared" si="31"/>
        <v>4008.0536344809234</v>
      </c>
    </row>
    <row r="124" spans="31:56" x14ac:dyDescent="0.25">
      <c r="AE124" s="71">
        <v>62</v>
      </c>
      <c r="AF124" s="17">
        <v>3.8955748904513436</v>
      </c>
      <c r="AG124" s="18">
        <v>-25467.264705660586</v>
      </c>
      <c r="AH124" s="20">
        <v>4865.8967055348348</v>
      </c>
      <c r="AN124" s="23">
        <v>119</v>
      </c>
      <c r="AO124" s="58">
        <v>59.5</v>
      </c>
      <c r="AP124" s="45">
        <f t="shared" si="32"/>
        <v>-6536.9418833050795</v>
      </c>
      <c r="AQ124" s="45">
        <f t="shared" si="33"/>
        <v>-20185.928517132779</v>
      </c>
      <c r="AR124" s="45">
        <f t="shared" si="34"/>
        <v>-3372.2838123590027</v>
      </c>
      <c r="AS124" s="45">
        <f t="shared" si="35"/>
        <v>-2361.3056699586045</v>
      </c>
      <c r="AT124" s="45">
        <f t="shared" si="21"/>
        <v>708.12617800806436</v>
      </c>
      <c r="AU124" s="45">
        <f t="shared" si="22"/>
        <v>2221.2192033271294</v>
      </c>
      <c r="AV124" s="64">
        <f t="shared" si="23"/>
        <v>223.2036886014175</v>
      </c>
      <c r="AW124" s="64">
        <f t="shared" si="24"/>
        <v>232.86787884428085</v>
      </c>
      <c r="AX124" s="64">
        <f t="shared" si="25"/>
        <v>-62.698106646269686</v>
      </c>
      <c r="AY124" s="64">
        <f t="shared" si="26"/>
        <v>140.57731527110747</v>
      </c>
      <c r="AZ124" s="64">
        <f t="shared" si="27"/>
        <v>547.62059605291654</v>
      </c>
      <c r="BA124" s="64">
        <f t="shared" si="28"/>
        <v>1847.774009211741</v>
      </c>
      <c r="BB124" s="65">
        <f t="shared" si="29"/>
        <v>38349.966393384202</v>
      </c>
      <c r="BC124" s="65">
        <f t="shared" si="30"/>
        <v>33052.143868362837</v>
      </c>
      <c r="BD124" s="66">
        <f t="shared" si="31"/>
        <v>5408.8857389917521</v>
      </c>
    </row>
    <row r="125" spans="31:56" x14ac:dyDescent="0.25">
      <c r="AE125" s="71">
        <v>63</v>
      </c>
      <c r="AF125" s="17">
        <v>3.9584067435231396</v>
      </c>
      <c r="AG125" s="18">
        <v>-25134.103294465163</v>
      </c>
      <c r="AH125" s="20">
        <v>4532.7352943394135</v>
      </c>
      <c r="AN125" s="23">
        <v>120</v>
      </c>
      <c r="AO125" s="58">
        <v>60</v>
      </c>
      <c r="AP125" s="45">
        <f t="shared" si="32"/>
        <v>-8046.0522449825648</v>
      </c>
      <c r="AQ125" s="45">
        <f t="shared" si="33"/>
        <v>-20811.276551280298</v>
      </c>
      <c r="AR125" s="45">
        <f t="shared" si="34"/>
        <v>-3018.2207233549707</v>
      </c>
      <c r="AS125" s="45">
        <f t="shared" si="35"/>
        <v>-1250.6960682950398</v>
      </c>
      <c r="AT125" s="45">
        <f t="shared" si="21"/>
        <v>1088.2336334951244</v>
      </c>
      <c r="AU125" s="45">
        <f t="shared" si="22"/>
        <v>2135.7038973071067</v>
      </c>
      <c r="AV125" s="64">
        <f t="shared" si="23"/>
        <v>211.72369686832198</v>
      </c>
      <c r="AW125" s="64">
        <f t="shared" si="24"/>
        <v>213.72591344191258</v>
      </c>
      <c r="AX125" s="64">
        <f t="shared" si="25"/>
        <v>-55.685663166900476</v>
      </c>
      <c r="AY125" s="64">
        <f t="shared" si="26"/>
        <v>143.52968600324215</v>
      </c>
      <c r="AZ125" s="64">
        <f t="shared" si="27"/>
        <v>932.19559979370297</v>
      </c>
      <c r="BA125" s="64">
        <f t="shared" si="28"/>
        <v>1778.4482978619517</v>
      </c>
      <c r="BB125" s="65">
        <f t="shared" si="29"/>
        <v>39851.090656233806</v>
      </c>
      <c r="BC125" s="65">
        <f t="shared" si="30"/>
        <v>33048.927813911927</v>
      </c>
      <c r="BD125" s="66">
        <f t="shared" si="31"/>
        <v>6561.2018285237618</v>
      </c>
    </row>
    <row r="126" spans="31:56" x14ac:dyDescent="0.25">
      <c r="AE126" s="71">
        <v>64</v>
      </c>
      <c r="AF126" s="17">
        <v>4.0212385965949355</v>
      </c>
      <c r="AG126" s="18">
        <v>-24780.679923115171</v>
      </c>
      <c r="AH126" s="20">
        <v>4221.15067918158</v>
      </c>
      <c r="AN126" s="23">
        <v>121</v>
      </c>
      <c r="AO126" s="58">
        <v>60.5</v>
      </c>
      <c r="AP126" s="45">
        <f t="shared" si="32"/>
        <v>-9283.1041982862698</v>
      </c>
      <c r="AQ126" s="45">
        <f t="shared" si="33"/>
        <v>-20902.698611101041</v>
      </c>
      <c r="AR126" s="45">
        <f t="shared" si="34"/>
        <v>-2474.1039066074086</v>
      </c>
      <c r="AS126" s="45">
        <f t="shared" si="35"/>
        <v>-182.84411964148649</v>
      </c>
      <c r="AT126" s="45">
        <f t="shared" si="21"/>
        <v>1338.3211768783417</v>
      </c>
      <c r="AU126" s="45">
        <f t="shared" si="22"/>
        <v>1979.1041973319607</v>
      </c>
      <c r="AV126" s="64">
        <f t="shared" si="23"/>
        <v>206.91359721781589</v>
      </c>
      <c r="AW126" s="64">
        <f t="shared" si="24"/>
        <v>200.69267590354414</v>
      </c>
      <c r="AX126" s="64">
        <f t="shared" si="25"/>
        <v>-51.429984061615109</v>
      </c>
      <c r="AY126" s="64">
        <f t="shared" si="26"/>
        <v>148.30090041331505</v>
      </c>
      <c r="AZ126" s="64">
        <f t="shared" si="27"/>
        <v>1182.8375637221409</v>
      </c>
      <c r="BA126" s="64">
        <f t="shared" si="28"/>
        <v>1630.1106210151015</v>
      </c>
      <c r="BB126" s="65">
        <f t="shared" si="29"/>
        <v>40794.772702893344</v>
      </c>
      <c r="BC126" s="65">
        <f t="shared" si="30"/>
        <v>32708.235003945651</v>
      </c>
      <c r="BD126" s="66">
        <f t="shared" si="31"/>
        <v>7292.9303072819521</v>
      </c>
    </row>
    <row r="127" spans="31:56" x14ac:dyDescent="0.25">
      <c r="AE127" s="71">
        <v>65</v>
      </c>
      <c r="AF127" s="17">
        <v>4.0840704496667311</v>
      </c>
      <c r="AG127" s="18">
        <v>-24408.389392193549</v>
      </c>
      <c r="AH127" s="20">
        <v>3932.3725421878953</v>
      </c>
      <c r="AN127" s="23">
        <v>122</v>
      </c>
      <c r="AO127" s="58">
        <v>61</v>
      </c>
      <c r="AP127" s="45">
        <f t="shared" si="32"/>
        <v>-10185.575857370388</v>
      </c>
      <c r="AQ127" s="45">
        <f t="shared" si="33"/>
        <v>-20499.344621588793</v>
      </c>
      <c r="AR127" s="45">
        <f t="shared" si="34"/>
        <v>-1804.9433181682377</v>
      </c>
      <c r="AS127" s="45">
        <f t="shared" si="35"/>
        <v>806.70797902449385</v>
      </c>
      <c r="AT127" s="45">
        <f t="shared" si="21"/>
        <v>1536.2935466051649</v>
      </c>
      <c r="AU127" s="45">
        <f t="shared" si="22"/>
        <v>1809.9139449107274</v>
      </c>
      <c r="AV127" s="64">
        <f t="shared" si="23"/>
        <v>207.80375919831926</v>
      </c>
      <c r="AW127" s="64">
        <f t="shared" si="24"/>
        <v>192.75329034462422</v>
      </c>
      <c r="AX127" s="64">
        <f t="shared" si="25"/>
        <v>-49.971454321488416</v>
      </c>
      <c r="AY127" s="64">
        <f t="shared" si="26"/>
        <v>155.2914959088676</v>
      </c>
      <c r="AZ127" s="64">
        <f t="shared" si="27"/>
        <v>1378.461241728334</v>
      </c>
      <c r="BA127" s="64">
        <f t="shared" si="28"/>
        <v>1461.8691586572356</v>
      </c>
      <c r="BB127" s="65">
        <f t="shared" si="29"/>
        <v>41171.984274255658</v>
      </c>
      <c r="BC127" s="65">
        <f t="shared" si="30"/>
        <v>32039.552799592384</v>
      </c>
      <c r="BD127" s="66">
        <f t="shared" si="31"/>
        <v>7558.6366654007261</v>
      </c>
    </row>
    <row r="128" spans="31:56" x14ac:dyDescent="0.25">
      <c r="AE128" s="71">
        <v>66</v>
      </c>
      <c r="AF128" s="17">
        <v>4.1469023027385274</v>
      </c>
      <c r="AG128" s="18">
        <v>-24018.700962342471</v>
      </c>
      <c r="AH128" s="20">
        <v>3667.5405587348851</v>
      </c>
      <c r="AN128" s="23">
        <v>123</v>
      </c>
      <c r="AO128" s="58">
        <v>61.5</v>
      </c>
      <c r="AP128" s="45">
        <f t="shared" si="32"/>
        <v>-10703.974129803215</v>
      </c>
      <c r="AQ128" s="45">
        <f t="shared" si="33"/>
        <v>-19643.512145848861</v>
      </c>
      <c r="AR128" s="45">
        <f t="shared" si="34"/>
        <v>-1036.7965448656553</v>
      </c>
      <c r="AS128" s="45">
        <f t="shared" si="35"/>
        <v>1711.6649514798576</v>
      </c>
      <c r="AT128" s="45">
        <f t="shared" si="21"/>
        <v>1723.7565431194651</v>
      </c>
      <c r="AU128" s="45">
        <f t="shared" si="22"/>
        <v>1625.1880879116634</v>
      </c>
      <c r="AV128" s="64">
        <f t="shared" si="23"/>
        <v>214.16310700409022</v>
      </c>
      <c r="AW128" s="64">
        <f t="shared" si="24"/>
        <v>189.32854983471509</v>
      </c>
      <c r="AX128" s="64">
        <f t="shared" si="25"/>
        <v>-51.693300571138401</v>
      </c>
      <c r="AY128" s="64">
        <f t="shared" si="26"/>
        <v>164.84151450700716</v>
      </c>
      <c r="AZ128" s="64">
        <f t="shared" si="27"/>
        <v>1561.2867366865132</v>
      </c>
      <c r="BA128" s="64">
        <f t="shared" si="28"/>
        <v>1271.0180235699411</v>
      </c>
      <c r="BB128" s="65">
        <f t="shared" si="29"/>
        <v>40981.755440384317</v>
      </c>
      <c r="BC128" s="65">
        <f t="shared" si="30"/>
        <v>31066.926293414621</v>
      </c>
      <c r="BD128" s="66">
        <f t="shared" si="31"/>
        <v>7355.1020334262012</v>
      </c>
    </row>
    <row r="129" spans="31:56" x14ac:dyDescent="0.25">
      <c r="AE129" s="71">
        <v>67</v>
      </c>
      <c r="AF129" s="17">
        <v>4.209734155810323</v>
      </c>
      <c r="AG129" s="18">
        <v>-23613.152555762863</v>
      </c>
      <c r="AH129" s="20">
        <v>3427.6998996710236</v>
      </c>
      <c r="AN129" s="23">
        <v>124</v>
      </c>
      <c r="AO129" s="58">
        <v>62</v>
      </c>
      <c r="AP129" s="45">
        <f t="shared" si="32"/>
        <v>-10791.433266456175</v>
      </c>
      <c r="AQ129" s="45">
        <f t="shared" si="33"/>
        <v>-18381.382648131017</v>
      </c>
      <c r="AR129" s="45">
        <f t="shared" si="34"/>
        <v>-174.91827330592275</v>
      </c>
      <c r="AS129" s="45">
        <f t="shared" si="35"/>
        <v>2524.258995435689</v>
      </c>
      <c r="AT129" s="45">
        <f t="shared" si="21"/>
        <v>1906.159547030762</v>
      </c>
      <c r="AU129" s="45">
        <f t="shared" si="22"/>
        <v>1381.6470608672862</v>
      </c>
      <c r="AV129" s="64">
        <f t="shared" si="23"/>
        <v>226.41729027612607</v>
      </c>
      <c r="AW129" s="64">
        <f t="shared" si="24"/>
        <v>190.31243128825642</v>
      </c>
      <c r="AX129" s="64">
        <f t="shared" si="25"/>
        <v>-57.448394326433998</v>
      </c>
      <c r="AY129" s="64">
        <f t="shared" si="26"/>
        <v>177.05956953756842</v>
      </c>
      <c r="AZ129" s="64">
        <f t="shared" si="27"/>
        <v>1737.19065108107</v>
      </c>
      <c r="BA129" s="64">
        <f t="shared" si="28"/>
        <v>1014.2750600414614</v>
      </c>
      <c r="BB129" s="65">
        <f t="shared" si="29"/>
        <v>40223.852754076172</v>
      </c>
      <c r="BC129" s="65">
        <f t="shared" si="30"/>
        <v>29837.905125959536</v>
      </c>
      <c r="BD129" s="66">
        <f t="shared" si="31"/>
        <v>6706.2991204461478</v>
      </c>
    </row>
    <row r="130" spans="31:56" x14ac:dyDescent="0.25">
      <c r="AE130" s="71">
        <v>68</v>
      </c>
      <c r="AF130" s="17">
        <v>4.2725660088821193</v>
      </c>
      <c r="AG130" s="18">
        <v>-23193.344686738041</v>
      </c>
      <c r="AH130" s="20">
        <v>3213.7971065048514</v>
      </c>
      <c r="AN130" s="23">
        <v>125</v>
      </c>
      <c r="AO130" s="58">
        <v>62.5</v>
      </c>
      <c r="AP130" s="45">
        <f t="shared" si="32"/>
        <v>-10402.352516351446</v>
      </c>
      <c r="AQ130" s="45">
        <f t="shared" si="33"/>
        <v>-16773.841385196352</v>
      </c>
      <c r="AR130" s="45">
        <f t="shared" si="34"/>
        <v>778.16150020945827</v>
      </c>
      <c r="AS130" s="45">
        <f t="shared" si="35"/>
        <v>3215.0825258693321</v>
      </c>
      <c r="AT130" s="45">
        <f t="shared" si="21"/>
        <v>2035.1846211466836</v>
      </c>
      <c r="AU130" s="45">
        <f t="shared" si="22"/>
        <v>997.56126089303007</v>
      </c>
      <c r="AV130" s="64">
        <f t="shared" si="23"/>
        <v>245.60845237609911</v>
      </c>
      <c r="AW130" s="64">
        <f t="shared" si="24"/>
        <v>196.09866087285468</v>
      </c>
      <c r="AX130" s="64">
        <f t="shared" si="25"/>
        <v>-68.590184707242869</v>
      </c>
      <c r="AY130" s="64">
        <f t="shared" si="26"/>
        <v>191.34092276901623</v>
      </c>
      <c r="AZ130" s="64">
        <f t="shared" si="27"/>
        <v>1858.1663534778274</v>
      </c>
      <c r="BA130" s="64">
        <f t="shared" si="28"/>
        <v>610.1216772511591</v>
      </c>
      <c r="BB130" s="65">
        <f t="shared" si="29"/>
        <v>38904.015398441486</v>
      </c>
      <c r="BC130" s="65">
        <f t="shared" si="30"/>
        <v>28442.106457504837</v>
      </c>
      <c r="BD130" s="66">
        <f t="shared" si="31"/>
        <v>5686.1169501483273</v>
      </c>
    </row>
    <row r="131" spans="31:56" x14ac:dyDescent="0.25">
      <c r="AE131" s="71">
        <v>69</v>
      </c>
      <c r="AF131" s="17">
        <v>4.3353978619539149</v>
      </c>
      <c r="AG131" s="18">
        <v>-22760.934145135085</v>
      </c>
      <c r="AH131" s="20">
        <v>3026.6763558381144</v>
      </c>
      <c r="AN131" s="23">
        <v>126</v>
      </c>
      <c r="AO131" s="58">
        <v>63</v>
      </c>
      <c r="AP131" s="45">
        <f t="shared" si="32"/>
        <v>-9504.4756109600457</v>
      </c>
      <c r="AQ131" s="45">
        <f t="shared" si="33"/>
        <v>-14916.909807038428</v>
      </c>
      <c r="AR131" s="45">
        <f t="shared" si="34"/>
        <v>1795.7538107828</v>
      </c>
      <c r="AS131" s="45">
        <f t="shared" si="35"/>
        <v>3713.8631563158469</v>
      </c>
      <c r="AT131" s="45">
        <f t="shared" si="21"/>
        <v>1974.2844433272496</v>
      </c>
      <c r="AU131" s="45">
        <f t="shared" si="22"/>
        <v>380.05800990636186</v>
      </c>
      <c r="AV131" s="64">
        <f t="shared" si="23"/>
        <v>273.25510410303269</v>
      </c>
      <c r="AW131" s="64">
        <f t="shared" si="24"/>
        <v>207.61375676560488</v>
      </c>
      <c r="AX131" s="64">
        <f t="shared" si="25"/>
        <v>-86.526262112151073</v>
      </c>
      <c r="AY131" s="64">
        <f t="shared" si="26"/>
        <v>205.41775609039817</v>
      </c>
      <c r="AZ131" s="64">
        <f t="shared" si="27"/>
        <v>1787.555601336368</v>
      </c>
      <c r="BA131" s="64">
        <f t="shared" si="28"/>
        <v>-32.973502949641166</v>
      </c>
      <c r="BB131" s="65">
        <f t="shared" si="29"/>
        <v>37054.4454333705</v>
      </c>
      <c r="BC131" s="65">
        <f t="shared" si="30"/>
        <v>27037.167502033572</v>
      </c>
      <c r="BD131" s="66">
        <f t="shared" si="31"/>
        <v>4505.2418924959256</v>
      </c>
    </row>
    <row r="132" spans="31:56" x14ac:dyDescent="0.25">
      <c r="AE132" s="71">
        <v>70</v>
      </c>
      <c r="AF132" s="17">
        <v>4.3982297150257104</v>
      </c>
      <c r="AG132" s="18">
        <v>-22317.627457812108</v>
      </c>
      <c r="AH132" s="20">
        <v>2867.0761277863485</v>
      </c>
      <c r="AN132" s="23">
        <v>127</v>
      </c>
      <c r="AO132" s="58">
        <v>63.5</v>
      </c>
      <c r="AP132" s="45">
        <f t="shared" si="32"/>
        <v>-8113.0275947368327</v>
      </c>
      <c r="AQ132" s="45">
        <f t="shared" si="33"/>
        <v>-12964.963726403914</v>
      </c>
      <c r="AR132" s="45">
        <f t="shared" si="34"/>
        <v>2782.8960324464247</v>
      </c>
      <c r="AS132" s="45">
        <f t="shared" si="35"/>
        <v>3903.8921612690278</v>
      </c>
      <c r="AT132" s="45">
        <f t="shared" si="21"/>
        <v>1541.8155625677916</v>
      </c>
      <c r="AU132" s="45">
        <f t="shared" si="22"/>
        <v>-436.62087532522946</v>
      </c>
      <c r="AV132" s="64">
        <f t="shared" si="23"/>
        <v>310.75534880780992</v>
      </c>
      <c r="AW132" s="64">
        <f t="shared" si="24"/>
        <v>226.21529892882953</v>
      </c>
      <c r="AX132" s="64">
        <f t="shared" si="25"/>
        <v>-111.03475846691633</v>
      </c>
      <c r="AY132" s="64">
        <f t="shared" si="26"/>
        <v>214.51292336084973</v>
      </c>
      <c r="AZ132" s="64">
        <f t="shared" si="27"/>
        <v>1342.0949722268981</v>
      </c>
      <c r="BA132" s="64">
        <f t="shared" si="28"/>
        <v>-877.34909761490871</v>
      </c>
      <c r="BB132" s="65">
        <f t="shared" si="29"/>
        <v>34772.935752758385</v>
      </c>
      <c r="BC132" s="65">
        <f t="shared" si="30"/>
        <v>25859.034628511086</v>
      </c>
      <c r="BD132" s="66">
        <f t="shared" si="31"/>
        <v>3719.1818240635716</v>
      </c>
    </row>
    <row r="133" spans="31:56" x14ac:dyDescent="0.25">
      <c r="AE133" s="71">
        <v>71</v>
      </c>
      <c r="AF133" s="17">
        <v>4.4610615680975068</v>
      </c>
      <c r="AG133" s="18">
        <v>-21865.174153736407</v>
      </c>
      <c r="AH133" s="20">
        <v>2735.6262915352663</v>
      </c>
      <c r="AN133" s="23">
        <v>128</v>
      </c>
      <c r="AO133" s="58">
        <v>64</v>
      </c>
      <c r="AP133" s="45">
        <f t="shared" si="32"/>
        <v>-6336.1256878716731</v>
      </c>
      <c r="AQ133" s="45">
        <f t="shared" si="33"/>
        <v>-11122.172864600707</v>
      </c>
      <c r="AR133" s="45">
        <f t="shared" si="34"/>
        <v>3553.8038137303206</v>
      </c>
      <c r="AS133" s="45">
        <f t="shared" si="35"/>
        <v>3685.5817236064131</v>
      </c>
      <c r="AT133" s="45">
        <f t="shared" si="21"/>
        <v>774.30810142982023</v>
      </c>
      <c r="AU133" s="45">
        <f t="shared" si="22"/>
        <v>-1141.781130995234</v>
      </c>
      <c r="AV133" s="64">
        <f t="shared" si="23"/>
        <v>358.07823689349806</v>
      </c>
      <c r="AW133" s="64">
        <f t="shared" si="24"/>
        <v>253.19573978009242</v>
      </c>
      <c r="AX133" s="64">
        <f t="shared" si="25"/>
        <v>-137.82740549636299</v>
      </c>
      <c r="AY133" s="64">
        <f t="shared" si="26"/>
        <v>213.05921130945595</v>
      </c>
      <c r="AZ133" s="64">
        <f t="shared" si="27"/>
        <v>554.05727003268521</v>
      </c>
      <c r="BA133" s="64">
        <f t="shared" si="28"/>
        <v>-1608.0360820847825</v>
      </c>
      <c r="BB133" s="65">
        <f t="shared" si="29"/>
        <v>32254.87309611441</v>
      </c>
      <c r="BC133" s="65">
        <f t="shared" si="30"/>
        <v>25156.463339263624</v>
      </c>
      <c r="BD133" s="66">
        <f t="shared" si="31"/>
        <v>4101.5576487268399</v>
      </c>
    </row>
    <row r="134" spans="31:56" x14ac:dyDescent="0.25">
      <c r="AE134" s="71">
        <v>72</v>
      </c>
      <c r="AF134" s="17">
        <v>4.5238934211693023</v>
      </c>
      <c r="AG134" s="18">
        <v>-21405.359859392935</v>
      </c>
      <c r="AH134" s="20">
        <v>2632.8456195348344</v>
      </c>
      <c r="AN134" s="23">
        <v>129</v>
      </c>
      <c r="AO134" s="58">
        <v>64.5</v>
      </c>
      <c r="AP134" s="45">
        <f t="shared" si="32"/>
        <v>-4365.6467556490579</v>
      </c>
      <c r="AQ134" s="45">
        <f t="shared" si="33"/>
        <v>-9564.8272855463074</v>
      </c>
      <c r="AR134" s="45">
        <f t="shared" si="34"/>
        <v>3940.9578644452308</v>
      </c>
      <c r="AS134" s="45">
        <f t="shared" si="35"/>
        <v>3114.6911581087961</v>
      </c>
      <c r="AT134" s="45">
        <f t="shared" ref="AT134:AT197" si="36">AV134+AX134+AZ134</f>
        <v>28.845428896883305</v>
      </c>
      <c r="AU134" s="45">
        <f t="shared" ref="AU134:AU197" si="37">AW134+AY134+BA134</f>
        <v>-1432.3330448207969</v>
      </c>
      <c r="AV134" s="64">
        <f t="shared" ref="AV134:AV197" si="38">$K$22*(($K$18-AP134)/((BB134^2+$K$23^2)^(3/2)))</f>
        <v>412.75556952921681</v>
      </c>
      <c r="AW134" s="64">
        <f t="shared" ref="AW134:AW197" si="39">$K$22*(($L$18-AQ134)/((BB134^2+$K$23^2)^(3/2)))</f>
        <v>289.07923421036878</v>
      </c>
      <c r="AX134" s="64">
        <f t="shared" ref="AX134:AX197" si="40">$K$30*(($K$26-AP134)/((BC134^2+$K$31^2)^(3/2)))</f>
        <v>-159.67797316882724</v>
      </c>
      <c r="AY134" s="64">
        <f t="shared" ref="AY134:AY197" si="41">$K$30*(($L$26-AQ134)/((BC134^2+$K$31^2)^(3/2)))</f>
        <v>199.8209914748474</v>
      </c>
      <c r="AZ134" s="64">
        <f t="shared" ref="AZ134:AZ197" si="42">$K$38*(($K$34-AP134)/((BD134^2+$K$39^2)^(3/2)))</f>
        <v>-224.23216746350627</v>
      </c>
      <c r="BA134" s="64">
        <f t="shared" ref="BA134:BA197" si="43">$K$38*(($L$34-AQ134)/((BD134^2+$K$39^2)^(3/2)))</f>
        <v>-1921.233270506013</v>
      </c>
      <c r="BB134" s="65">
        <f t="shared" ref="BB134:BB197" si="44">SQRT(($K$18-AP134)^2+($L$18-AQ134)^2)</f>
        <v>29747.152336090883</v>
      </c>
      <c r="BC134" s="65">
        <f t="shared" ref="BC134:BC197" si="45">SQRT(($K$26-AP134)^2+($L$26-AQ134)^2)</f>
        <v>25044.270164698435</v>
      </c>
      <c r="BD134" s="66">
        <f t="shared" ref="BD134:BD197" si="46">SQRT(($K$34-AP134)^2+($L$34-AQ134)^2)</f>
        <v>5472.0660151866305</v>
      </c>
    </row>
    <row r="135" spans="31:56" x14ac:dyDescent="0.25">
      <c r="AE135" s="71">
        <v>73</v>
      </c>
      <c r="AF135" s="17">
        <v>4.5867252742410987</v>
      </c>
      <c r="AG135" s="18">
        <v>-20939.999251732279</v>
      </c>
      <c r="AH135" s="20">
        <v>2559.139740141416</v>
      </c>
      <c r="AN135" s="23">
        <v>130</v>
      </c>
      <c r="AO135" s="58">
        <v>65</v>
      </c>
      <c r="AP135" s="45">
        <f t="shared" ref="AP135:AP198" si="47">AP134+AR134*$K$5+AT134*$K$5^2</f>
        <v>-2387.9564662022217</v>
      </c>
      <c r="AQ135" s="45">
        <f t="shared" ref="AQ135:AQ198" si="48">AQ134+AS134*$K$5+AU134*$K$5^2</f>
        <v>-8365.5649676971098</v>
      </c>
      <c r="AR135" s="45">
        <f t="shared" ref="AR135:AR198" si="49">AR134+AT134*$K$5</f>
        <v>3955.3805788936725</v>
      </c>
      <c r="AS135" s="45">
        <f t="shared" ref="AS135:AS198" si="50">AS134+AU134*$K$5</f>
        <v>2398.5246356983976</v>
      </c>
      <c r="AT135" s="45">
        <f t="shared" si="36"/>
        <v>-439.76195808688169</v>
      </c>
      <c r="AU135" s="45">
        <f t="shared" si="37"/>
        <v>-1362.2085545551645</v>
      </c>
      <c r="AV135" s="64">
        <f t="shared" si="38"/>
        <v>470.5847382071484</v>
      </c>
      <c r="AW135" s="64">
        <f t="shared" si="39"/>
        <v>333.48701334591976</v>
      </c>
      <c r="AX135" s="64">
        <f t="shared" si="40"/>
        <v>-172.08433506990346</v>
      </c>
      <c r="AY135" s="64">
        <f t="shared" si="41"/>
        <v>179.44686711592348</v>
      </c>
      <c r="AZ135" s="64">
        <f t="shared" si="42"/>
        <v>-738.26236122412661</v>
      </c>
      <c r="BA135" s="64">
        <f t="shared" si="43"/>
        <v>-1875.1424350170078</v>
      </c>
      <c r="BB135" s="65">
        <f t="shared" si="44"/>
        <v>27439.692900555277</v>
      </c>
      <c r="BC135" s="65">
        <f t="shared" si="45"/>
        <v>25445.590070169161</v>
      </c>
      <c r="BD135" s="66">
        <f t="shared" si="46"/>
        <v>7130.1121744543843</v>
      </c>
    </row>
    <row r="136" spans="31:56" x14ac:dyDescent="0.25">
      <c r="AE136" s="71">
        <v>74</v>
      </c>
      <c r="AF136" s="17">
        <v>4.6495571273128942</v>
      </c>
      <c r="AG136" s="18">
        <v>-20470.92889646985</v>
      </c>
      <c r="AH136" s="20">
        <v>2514.799536787963</v>
      </c>
      <c r="AN136" s="23">
        <v>131</v>
      </c>
      <c r="AO136" s="58">
        <v>65.5</v>
      </c>
      <c r="AP136" s="45">
        <f t="shared" si="47"/>
        <v>-520.20666627710591</v>
      </c>
      <c r="AQ136" s="45">
        <f t="shared" si="48"/>
        <v>-7506.8547884867021</v>
      </c>
      <c r="AR136" s="45">
        <f t="shared" si="49"/>
        <v>3735.4995998502318</v>
      </c>
      <c r="AS136" s="45">
        <f t="shared" si="50"/>
        <v>1717.4203584208153</v>
      </c>
      <c r="AT136" s="45">
        <f t="shared" si="36"/>
        <v>-651.31207067943535</v>
      </c>
      <c r="AU136" s="45">
        <f t="shared" si="37"/>
        <v>-1134.0219820019092</v>
      </c>
      <c r="AV136" s="64">
        <f t="shared" si="38"/>
        <v>527.01582620713384</v>
      </c>
      <c r="AW136" s="64">
        <f t="shared" si="39"/>
        <v>385.41765703179783</v>
      </c>
      <c r="AX136" s="64">
        <f t="shared" si="40"/>
        <v>-175.58537760754339</v>
      </c>
      <c r="AY136" s="64">
        <f t="shared" si="41"/>
        <v>157.80186453186496</v>
      </c>
      <c r="AZ136" s="64">
        <f t="shared" si="42"/>
        <v>-1002.7425192790258</v>
      </c>
      <c r="BA136" s="64">
        <f t="shared" si="43"/>
        <v>-1677.241503565572</v>
      </c>
      <c r="BB136" s="65">
        <f t="shared" si="44"/>
        <v>25422.127610989795</v>
      </c>
      <c r="BC136" s="65">
        <f t="shared" si="45"/>
        <v>26190.691340812569</v>
      </c>
      <c r="BD136" s="66">
        <f t="shared" si="46"/>
        <v>8730.1645731161752</v>
      </c>
    </row>
    <row r="137" spans="31:56" x14ac:dyDescent="0.25">
      <c r="AE137" s="71">
        <v>75</v>
      </c>
      <c r="AF137" s="17">
        <v>4.7123889803846897</v>
      </c>
      <c r="AG137" s="18">
        <v>-20000</v>
      </c>
      <c r="AH137" s="20">
        <v>2500</v>
      </c>
      <c r="AN137" s="23">
        <v>132</v>
      </c>
      <c r="AO137" s="58">
        <v>66</v>
      </c>
      <c r="AP137" s="45">
        <f t="shared" si="47"/>
        <v>1184.7151159781513</v>
      </c>
      <c r="AQ137" s="45">
        <f t="shared" si="48"/>
        <v>-6931.6501047767715</v>
      </c>
      <c r="AR137" s="45">
        <f t="shared" si="49"/>
        <v>3409.8435645105142</v>
      </c>
      <c r="AS137" s="45">
        <f t="shared" si="50"/>
        <v>1150.4093674198607</v>
      </c>
      <c r="AT137" s="45">
        <f t="shared" si="36"/>
        <v>-711.89310482386929</v>
      </c>
      <c r="AU137" s="45">
        <f t="shared" si="37"/>
        <v>-875.12403447047564</v>
      </c>
      <c r="AV137" s="64">
        <f t="shared" si="38"/>
        <v>578.01567068728514</v>
      </c>
      <c r="AW137" s="64">
        <f t="shared" si="39"/>
        <v>443.34805270584326</v>
      </c>
      <c r="AX137" s="64">
        <f t="shared" si="40"/>
        <v>-173.16033918811794</v>
      </c>
      <c r="AY137" s="64">
        <f t="shared" si="41"/>
        <v>138.39649290097643</v>
      </c>
      <c r="AZ137" s="64">
        <f t="shared" si="42"/>
        <v>-1116.7484363230365</v>
      </c>
      <c r="BA137" s="64">
        <f t="shared" si="43"/>
        <v>-1456.8685800772953</v>
      </c>
      <c r="BB137" s="65">
        <f t="shared" si="44"/>
        <v>23712.601502441787</v>
      </c>
      <c r="BC137" s="65">
        <f t="shared" si="45"/>
        <v>27119.604160380739</v>
      </c>
      <c r="BD137" s="66">
        <f t="shared" si="46"/>
        <v>10166.06959928749</v>
      </c>
    </row>
    <row r="138" spans="31:56" x14ac:dyDescent="0.25">
      <c r="AE138" s="71">
        <v>76</v>
      </c>
      <c r="AF138" s="17">
        <v>4.7752208334564861</v>
      </c>
      <c r="AG138" s="18">
        <v>-19529.071103530147</v>
      </c>
      <c r="AH138" s="20">
        <v>2514.799536787963</v>
      </c>
      <c r="AN138" s="23">
        <v>133</v>
      </c>
      <c r="AO138" s="58">
        <v>66.5</v>
      </c>
      <c r="AP138" s="45">
        <f t="shared" si="47"/>
        <v>2711.6636220274409</v>
      </c>
      <c r="AQ138" s="45">
        <f t="shared" si="48"/>
        <v>-6575.2264296844596</v>
      </c>
      <c r="AR138" s="45">
        <f t="shared" si="49"/>
        <v>3053.8970120985796</v>
      </c>
      <c r="AS138" s="45">
        <f t="shared" si="50"/>
        <v>712.84735018462288</v>
      </c>
      <c r="AT138" s="45">
        <f t="shared" si="36"/>
        <v>-701.3297353613973</v>
      </c>
      <c r="AU138" s="45">
        <f t="shared" si="37"/>
        <v>-633.3544199798373</v>
      </c>
      <c r="AV138" s="64">
        <f t="shared" si="38"/>
        <v>620.57158481467718</v>
      </c>
      <c r="AW138" s="64">
        <f t="shared" si="39"/>
        <v>505.23574860700683</v>
      </c>
      <c r="AX138" s="64">
        <f t="shared" si="40"/>
        <v>-167.67402581224857</v>
      </c>
      <c r="AY138" s="64">
        <f t="shared" si="41"/>
        <v>122.37038160072387</v>
      </c>
      <c r="AZ138" s="64">
        <f t="shared" si="42"/>
        <v>-1154.2272943638259</v>
      </c>
      <c r="BA138" s="64">
        <f t="shared" si="43"/>
        <v>-1260.9605501875681</v>
      </c>
      <c r="BB138" s="65">
        <f t="shared" si="44"/>
        <v>22293.464821889334</v>
      </c>
      <c r="BC138" s="65">
        <f t="shared" si="45"/>
        <v>28116.85963395334</v>
      </c>
      <c r="BD138" s="66">
        <f t="shared" si="46"/>
        <v>11421.320656140806</v>
      </c>
    </row>
    <row r="139" spans="31:56" x14ac:dyDescent="0.25">
      <c r="AE139" s="71">
        <v>77</v>
      </c>
      <c r="AF139" s="17">
        <v>4.8380526865282816</v>
      </c>
      <c r="AG139" s="18">
        <v>-19060.000748267717</v>
      </c>
      <c r="AH139" s="20">
        <v>2559.139740141416</v>
      </c>
      <c r="AN139" s="23">
        <v>134</v>
      </c>
      <c r="AO139" s="58">
        <v>67</v>
      </c>
      <c r="AP139" s="45">
        <f t="shared" si="47"/>
        <v>4063.2796942363816</v>
      </c>
      <c r="AQ139" s="45">
        <f t="shared" si="48"/>
        <v>-6377.1413595871081</v>
      </c>
      <c r="AR139" s="45">
        <f t="shared" si="49"/>
        <v>2703.232144417881</v>
      </c>
      <c r="AS139" s="45">
        <f t="shared" si="50"/>
        <v>396.17014019470423</v>
      </c>
      <c r="AT139" s="45">
        <f t="shared" si="36"/>
        <v>-663.2241265339984</v>
      </c>
      <c r="AU139" s="45">
        <f t="shared" si="37"/>
        <v>-420.80056670758563</v>
      </c>
      <c r="AV139" s="64">
        <f t="shared" si="38"/>
        <v>653.05210034896231</v>
      </c>
      <c r="AW139" s="64">
        <f t="shared" si="39"/>
        <v>568.65503929565136</v>
      </c>
      <c r="AX139" s="64">
        <f t="shared" si="40"/>
        <v>-161.06538589585637</v>
      </c>
      <c r="AY139" s="64">
        <f t="shared" si="41"/>
        <v>109.6189142324057</v>
      </c>
      <c r="AZ139" s="64">
        <f t="shared" si="42"/>
        <v>-1155.2108409871043</v>
      </c>
      <c r="BA139" s="64">
        <f t="shared" si="43"/>
        <v>-1099.0745202356427</v>
      </c>
      <c r="BB139" s="65">
        <f t="shared" si="44"/>
        <v>21131.826859457786</v>
      </c>
      <c r="BC139" s="65">
        <f t="shared" si="45"/>
        <v>29107.596753338254</v>
      </c>
      <c r="BD139" s="66">
        <f t="shared" si="46"/>
        <v>12509.865304970344</v>
      </c>
    </row>
    <row r="140" spans="31:56" x14ac:dyDescent="0.25">
      <c r="AE140" s="71">
        <v>78</v>
      </c>
      <c r="AF140" s="17">
        <v>4.900884539600078</v>
      </c>
      <c r="AG140" s="18">
        <v>-18594.640140607062</v>
      </c>
      <c r="AH140" s="20">
        <v>2632.8456195348354</v>
      </c>
      <c r="AN140" s="23">
        <v>135</v>
      </c>
      <c r="AO140" s="58">
        <v>67.5</v>
      </c>
      <c r="AP140" s="45">
        <f t="shared" si="47"/>
        <v>5249.0897348118224</v>
      </c>
      <c r="AQ140" s="45">
        <f t="shared" si="48"/>
        <v>-6284.256431166652</v>
      </c>
      <c r="AR140" s="45">
        <f t="shared" si="49"/>
        <v>2371.620081150882</v>
      </c>
      <c r="AS140" s="45">
        <f t="shared" si="50"/>
        <v>185.76985684091142</v>
      </c>
      <c r="AT140" s="45">
        <f t="shared" si="36"/>
        <v>-618.29775370007974</v>
      </c>
      <c r="AU140" s="45">
        <f t="shared" si="37"/>
        <v>-238.05566044500029</v>
      </c>
      <c r="AV140" s="64">
        <f t="shared" si="38"/>
        <v>675.36933662253614</v>
      </c>
      <c r="AW140" s="64">
        <f t="shared" si="39"/>
        <v>631.11116225295461</v>
      </c>
      <c r="AX140" s="64">
        <f t="shared" si="40"/>
        <v>-154.45173319229337</v>
      </c>
      <c r="AY140" s="64">
        <f t="shared" si="41"/>
        <v>99.612764497950877</v>
      </c>
      <c r="AZ140" s="64">
        <f t="shared" si="42"/>
        <v>-1139.2153571303224</v>
      </c>
      <c r="BA140" s="64">
        <f t="shared" si="43"/>
        <v>-968.77958719590583</v>
      </c>
      <c r="BB140" s="65">
        <f t="shared" si="44"/>
        <v>20188.984100538419</v>
      </c>
      <c r="BC140" s="65">
        <f t="shared" si="45"/>
        <v>30044.858794019525</v>
      </c>
      <c r="BD140" s="66">
        <f t="shared" si="46"/>
        <v>13453.922340711089</v>
      </c>
    </row>
    <row r="141" spans="31:56" x14ac:dyDescent="0.25">
      <c r="AE141" s="71">
        <v>79</v>
      </c>
      <c r="AF141" s="17">
        <v>4.9637163926718735</v>
      </c>
      <c r="AG141" s="18">
        <v>-18134.825846263589</v>
      </c>
      <c r="AH141" s="20">
        <v>2735.6262915352672</v>
      </c>
      <c r="AN141" s="23">
        <v>136</v>
      </c>
      <c r="AO141" s="58">
        <v>68</v>
      </c>
      <c r="AP141" s="45">
        <f t="shared" si="47"/>
        <v>6280.3253369622435</v>
      </c>
      <c r="AQ141" s="45">
        <f t="shared" si="48"/>
        <v>-6250.8854178574466</v>
      </c>
      <c r="AR141" s="45">
        <f t="shared" si="49"/>
        <v>2062.4712043008421</v>
      </c>
      <c r="AS141" s="45">
        <f t="shared" si="50"/>
        <v>66.742026618411273</v>
      </c>
      <c r="AT141" s="45">
        <f t="shared" si="36"/>
        <v>-575.01537093732622</v>
      </c>
      <c r="AU141" s="45">
        <f t="shared" si="37"/>
        <v>-82.953138439629242</v>
      </c>
      <c r="AV141" s="64">
        <f t="shared" si="38"/>
        <v>688.86323402862604</v>
      </c>
      <c r="AW141" s="64">
        <f t="shared" si="39"/>
        <v>690.43032231822599</v>
      </c>
      <c r="AX141" s="64">
        <f t="shared" si="40"/>
        <v>-148.4182252694921</v>
      </c>
      <c r="AY141" s="64">
        <f t="shared" si="41"/>
        <v>91.776929769738786</v>
      </c>
      <c r="AZ141" s="64">
        <f t="shared" si="42"/>
        <v>-1115.4603796964602</v>
      </c>
      <c r="BA141" s="64">
        <f t="shared" si="43"/>
        <v>-865.16039052759402</v>
      </c>
      <c r="BB141" s="65">
        <f t="shared" si="44"/>
        <v>19424.631853259016</v>
      </c>
      <c r="BC141" s="65">
        <f t="shared" si="45"/>
        <v>30898.976952011075</v>
      </c>
      <c r="BD141" s="66">
        <f t="shared" si="46"/>
        <v>14275.599660930948</v>
      </c>
    </row>
    <row r="142" spans="31:56" x14ac:dyDescent="0.25">
      <c r="AE142" s="71">
        <v>80</v>
      </c>
      <c r="AF142" s="17">
        <v>5.026548245743669</v>
      </c>
      <c r="AG142" s="18">
        <v>-17682.372542187895</v>
      </c>
      <c r="AH142" s="20">
        <v>2867.0761277863476</v>
      </c>
      <c r="AN142" s="23">
        <v>137</v>
      </c>
      <c r="AO142" s="58">
        <v>68.5</v>
      </c>
      <c r="AP142" s="45">
        <f t="shared" si="47"/>
        <v>7167.807096378333</v>
      </c>
      <c r="AQ142" s="45">
        <f t="shared" si="48"/>
        <v>-6238.2526891581483</v>
      </c>
      <c r="AR142" s="45">
        <f t="shared" si="49"/>
        <v>1774.963518832179</v>
      </c>
      <c r="AS142" s="45">
        <f t="shared" si="50"/>
        <v>25.265457398596652</v>
      </c>
      <c r="AT142" s="45">
        <f t="shared" si="36"/>
        <v>-535.58581969626391</v>
      </c>
      <c r="AU142" s="45">
        <f t="shared" si="37"/>
        <v>47.05377005247999</v>
      </c>
      <c r="AV142" s="64">
        <f t="shared" si="38"/>
        <v>695.93773726718678</v>
      </c>
      <c r="AW142" s="64">
        <f t="shared" si="39"/>
        <v>745.07674271317603</v>
      </c>
      <c r="AX142" s="64">
        <f t="shared" si="40"/>
        <v>-143.24697588400056</v>
      </c>
      <c r="AY142" s="64">
        <f t="shared" si="41"/>
        <v>85.619004254201585</v>
      </c>
      <c r="AZ142" s="64">
        <f t="shared" si="42"/>
        <v>-1088.2765810794501</v>
      </c>
      <c r="BA142" s="64">
        <f t="shared" si="43"/>
        <v>-783.64197691489767</v>
      </c>
      <c r="BB142" s="65">
        <f t="shared" si="44"/>
        <v>18799.062786929549</v>
      </c>
      <c r="BC142" s="65">
        <f t="shared" si="45"/>
        <v>31650.75975111777</v>
      </c>
      <c r="BD142" s="66">
        <f t="shared" si="46"/>
        <v>14994.123698093174</v>
      </c>
    </row>
    <row r="143" spans="31:56" x14ac:dyDescent="0.25">
      <c r="AE143" s="71">
        <v>81</v>
      </c>
      <c r="AF143" s="17">
        <v>5.0893800988154654</v>
      </c>
      <c r="AG143" s="18">
        <v>-17239.065854864912</v>
      </c>
      <c r="AH143" s="20">
        <v>3026.6763558381153</v>
      </c>
      <c r="AN143" s="23">
        <v>138</v>
      </c>
      <c r="AO143" s="58">
        <v>69</v>
      </c>
      <c r="AP143" s="45">
        <f t="shared" si="47"/>
        <v>7921.3924008703561</v>
      </c>
      <c r="AQ143" s="45">
        <f t="shared" si="48"/>
        <v>-6213.85651794573</v>
      </c>
      <c r="AR143" s="45">
        <f t="shared" si="49"/>
        <v>1507.170608984047</v>
      </c>
      <c r="AS143" s="45">
        <f t="shared" si="50"/>
        <v>48.792342424836647</v>
      </c>
      <c r="AT143" s="45">
        <f t="shared" si="36"/>
        <v>-499.14729976926287</v>
      </c>
      <c r="AU143" s="45">
        <f t="shared" si="37"/>
        <v>154.50094242841976</v>
      </c>
      <c r="AV143" s="64">
        <f t="shared" si="38"/>
        <v>699.57939214153555</v>
      </c>
      <c r="AW143" s="64">
        <f t="shared" si="39"/>
        <v>794.29117371376685</v>
      </c>
      <c r="AX143" s="64">
        <f t="shared" si="40"/>
        <v>-139.05871284026799</v>
      </c>
      <c r="AY143" s="64">
        <f t="shared" si="41"/>
        <v>80.750916186115433</v>
      </c>
      <c r="AZ143" s="64">
        <f t="shared" si="42"/>
        <v>-1059.6679790705305</v>
      </c>
      <c r="BA143" s="64">
        <f t="shared" si="43"/>
        <v>-720.54114747146252</v>
      </c>
      <c r="BB143" s="65">
        <f t="shared" si="44"/>
        <v>18274.644240820529</v>
      </c>
      <c r="BC143" s="65">
        <f t="shared" si="45"/>
        <v>32287.664777557264</v>
      </c>
      <c r="BD143" s="66">
        <f t="shared" si="46"/>
        <v>15625.578352960729</v>
      </c>
    </row>
    <row r="144" spans="31:56" x14ac:dyDescent="0.25">
      <c r="AE144" s="71">
        <v>82</v>
      </c>
      <c r="AF144" s="17">
        <v>5.1522119518872609</v>
      </c>
      <c r="AG144" s="18">
        <v>-16806.655313261956</v>
      </c>
      <c r="AH144" s="20">
        <v>3213.7971065048532</v>
      </c>
      <c r="AN144" s="23">
        <v>139</v>
      </c>
      <c r="AO144" s="58">
        <v>69.5</v>
      </c>
      <c r="AP144" s="45">
        <f t="shared" si="47"/>
        <v>8550.1908804200648</v>
      </c>
      <c r="AQ144" s="45">
        <f t="shared" si="48"/>
        <v>-6150.8351111262073</v>
      </c>
      <c r="AR144" s="45">
        <f t="shared" si="49"/>
        <v>1257.5969590994155</v>
      </c>
      <c r="AS144" s="45">
        <f t="shared" si="50"/>
        <v>126.04281363904653</v>
      </c>
      <c r="AT144" s="45">
        <f t="shared" si="36"/>
        <v>-463.44653823155193</v>
      </c>
      <c r="AU144" s="45">
        <f t="shared" si="37"/>
        <v>241.9460403549316</v>
      </c>
      <c r="AV144" s="64">
        <f t="shared" si="38"/>
        <v>702.91114044545486</v>
      </c>
      <c r="AW144" s="64">
        <f t="shared" si="39"/>
        <v>838.03354062784661</v>
      </c>
      <c r="AX144" s="64">
        <f t="shared" si="40"/>
        <v>-135.89218238526499</v>
      </c>
      <c r="AY144" s="64">
        <f t="shared" si="41"/>
        <v>76.874170116343961</v>
      </c>
      <c r="AZ144" s="64">
        <f t="shared" si="42"/>
        <v>-1030.4654962917418</v>
      </c>
      <c r="BA144" s="64">
        <f t="shared" si="43"/>
        <v>-672.96167038925898</v>
      </c>
      <c r="BB144" s="65">
        <f t="shared" si="44"/>
        <v>17816.942164860164</v>
      </c>
      <c r="BC144" s="65">
        <f t="shared" si="45"/>
        <v>32801.873027240508</v>
      </c>
      <c r="BD144" s="66">
        <f t="shared" si="46"/>
        <v>16183.800299259003</v>
      </c>
    </row>
    <row r="145" spans="31:56" x14ac:dyDescent="0.25">
      <c r="AE145" s="71">
        <v>83</v>
      </c>
      <c r="AF145" s="17">
        <v>5.2150438049590573</v>
      </c>
      <c r="AG145" s="18">
        <v>-16386.847444237133</v>
      </c>
      <c r="AH145" s="20">
        <v>3427.6998996710245</v>
      </c>
      <c r="AN145" s="23">
        <v>140</v>
      </c>
      <c r="AO145" s="58">
        <v>70</v>
      </c>
      <c r="AP145" s="45">
        <f t="shared" si="47"/>
        <v>9063.1277254118831</v>
      </c>
      <c r="AQ145" s="45">
        <f t="shared" si="48"/>
        <v>-6027.3271942179508</v>
      </c>
      <c r="AR145" s="45">
        <f t="shared" si="49"/>
        <v>1025.8736899836395</v>
      </c>
      <c r="AS145" s="45">
        <f t="shared" si="50"/>
        <v>247.01583381651233</v>
      </c>
      <c r="AT145" s="45">
        <f t="shared" si="36"/>
        <v>-425.69135891117958</v>
      </c>
      <c r="AU145" s="45">
        <f t="shared" si="37"/>
        <v>311.98617556928775</v>
      </c>
      <c r="AV145" s="64">
        <f t="shared" si="38"/>
        <v>708.88376304982319</v>
      </c>
      <c r="AW145" s="64">
        <f t="shared" si="39"/>
        <v>876.78655877917004</v>
      </c>
      <c r="AX145" s="64">
        <f t="shared" si="40"/>
        <v>-133.74641945488298</v>
      </c>
      <c r="AY145" s="64">
        <f t="shared" si="41"/>
        <v>73.75660479185909</v>
      </c>
      <c r="AZ145" s="64">
        <f t="shared" si="42"/>
        <v>-1000.8287025061197</v>
      </c>
      <c r="BA145" s="64">
        <f t="shared" si="43"/>
        <v>-638.55698800174139</v>
      </c>
      <c r="BB145" s="65">
        <f t="shared" si="44"/>
        <v>17395.509655370341</v>
      </c>
      <c r="BC145" s="65">
        <f t="shared" si="45"/>
        <v>33189.465349326179</v>
      </c>
      <c r="BD145" s="66">
        <f t="shared" si="46"/>
        <v>16681.739079030973</v>
      </c>
    </row>
    <row r="146" spans="31:56" x14ac:dyDescent="0.25">
      <c r="AE146" s="71">
        <v>84</v>
      </c>
      <c r="AF146" s="17">
        <v>5.2778756580308528</v>
      </c>
      <c r="AG146" s="18">
        <v>-15981.299037657525</v>
      </c>
      <c r="AH146" s="20">
        <v>3667.5405587348878</v>
      </c>
      <c r="AN146" s="23">
        <v>141</v>
      </c>
      <c r="AO146" s="58">
        <v>70.5</v>
      </c>
      <c r="AP146" s="45">
        <f t="shared" si="47"/>
        <v>9469.6417306759085</v>
      </c>
      <c r="AQ146" s="45">
        <f t="shared" si="48"/>
        <v>-5825.8227334173725</v>
      </c>
      <c r="AR146" s="45">
        <f t="shared" si="49"/>
        <v>813.02801052804966</v>
      </c>
      <c r="AS146" s="45">
        <f t="shared" si="50"/>
        <v>403.0089216011562</v>
      </c>
      <c r="AT146" s="45">
        <f t="shared" si="36"/>
        <v>-382.93409877806539</v>
      </c>
      <c r="AU146" s="45">
        <f t="shared" si="37"/>
        <v>367.21089308434159</v>
      </c>
      <c r="AV146" s="64">
        <f t="shared" si="38"/>
        <v>720.13223966009627</v>
      </c>
      <c r="AW146" s="64">
        <f t="shared" si="39"/>
        <v>911.30371112674743</v>
      </c>
      <c r="AX146" s="64">
        <f t="shared" si="40"/>
        <v>-132.60195766069938</v>
      </c>
      <c r="AY146" s="64">
        <f t="shared" si="41"/>
        <v>71.210064079534121</v>
      </c>
      <c r="AZ146" s="64">
        <f t="shared" si="42"/>
        <v>-970.46438077746234</v>
      </c>
      <c r="BA146" s="64">
        <f t="shared" si="43"/>
        <v>-615.30288212194</v>
      </c>
      <c r="BB146" s="65">
        <f t="shared" si="44"/>
        <v>16984.286761674317</v>
      </c>
      <c r="BC146" s="65">
        <f t="shared" si="45"/>
        <v>33450.208503445014</v>
      </c>
      <c r="BD146" s="66">
        <f t="shared" si="46"/>
        <v>17132.894102655253</v>
      </c>
    </row>
    <row r="147" spans="31:56" x14ac:dyDescent="0.25">
      <c r="AE147" s="71">
        <v>85</v>
      </c>
      <c r="AF147" s="17">
        <v>5.3407075111026492</v>
      </c>
      <c r="AG147" s="18">
        <v>-15591.610607806448</v>
      </c>
      <c r="AH147" s="20">
        <v>3932.3725421878971</v>
      </c>
      <c r="AN147" s="23">
        <v>142</v>
      </c>
      <c r="AO147" s="58">
        <v>71</v>
      </c>
      <c r="AP147" s="45">
        <f t="shared" si="47"/>
        <v>9780.4222112454172</v>
      </c>
      <c r="AQ147" s="45">
        <f t="shared" si="48"/>
        <v>-5532.5155493457087</v>
      </c>
      <c r="AR147" s="45">
        <f t="shared" si="49"/>
        <v>621.56096113901697</v>
      </c>
      <c r="AS147" s="45">
        <f t="shared" si="50"/>
        <v>586.61436814332706</v>
      </c>
      <c r="AT147" s="45">
        <f t="shared" si="36"/>
        <v>-332.20058339824595</v>
      </c>
      <c r="AU147" s="45">
        <f t="shared" si="37"/>
        <v>410.13829841377094</v>
      </c>
      <c r="AV147" s="64">
        <f t="shared" si="38"/>
        <v>738.96828283902573</v>
      </c>
      <c r="AW147" s="64">
        <f t="shared" si="39"/>
        <v>942.36922851844577</v>
      </c>
      <c r="AX147" s="64">
        <f t="shared" si="40"/>
        <v>-132.42973788212936</v>
      </c>
      <c r="AY147" s="64">
        <f t="shared" si="41"/>
        <v>69.071114850521411</v>
      </c>
      <c r="AZ147" s="64">
        <f t="shared" si="42"/>
        <v>-938.73912835514238</v>
      </c>
      <c r="BA147" s="64">
        <f t="shared" si="43"/>
        <v>-601.30204495519627</v>
      </c>
      <c r="BB147" s="65">
        <f t="shared" si="44"/>
        <v>16561.58904587189</v>
      </c>
      <c r="BC147" s="65">
        <f t="shared" si="45"/>
        <v>33587.685040364209</v>
      </c>
      <c r="BD147" s="66">
        <f t="shared" si="46"/>
        <v>17552.610705136078</v>
      </c>
    </row>
    <row r="148" spans="31:56" x14ac:dyDescent="0.25">
      <c r="AE148" s="71">
        <v>86</v>
      </c>
      <c r="AF148" s="17">
        <v>5.4035393641744447</v>
      </c>
      <c r="AG148" s="18">
        <v>-15219.320076884826</v>
      </c>
      <c r="AH148" s="20">
        <v>4221.1506791815818</v>
      </c>
      <c r="AN148" s="23">
        <v>143</v>
      </c>
      <c r="AO148" s="58">
        <v>71.5</v>
      </c>
      <c r="AP148" s="45">
        <f t="shared" si="47"/>
        <v>10008.152545965364</v>
      </c>
      <c r="AQ148" s="45">
        <f t="shared" si="48"/>
        <v>-5136.6737906706021</v>
      </c>
      <c r="AR148" s="45">
        <f t="shared" si="49"/>
        <v>455.46066943989399</v>
      </c>
      <c r="AS148" s="45">
        <f t="shared" si="50"/>
        <v>791.68351735021247</v>
      </c>
      <c r="AT148" s="45">
        <f t="shared" si="36"/>
        <v>-270.50611460401365</v>
      </c>
      <c r="AU148" s="45">
        <f t="shared" si="37"/>
        <v>443.17370030814641</v>
      </c>
      <c r="AV148" s="64">
        <f t="shared" si="38"/>
        <v>767.4590862697803</v>
      </c>
      <c r="AW148" s="64">
        <f t="shared" si="39"/>
        <v>970.60430170611812</v>
      </c>
      <c r="AX148" s="64">
        <f t="shared" si="40"/>
        <v>-133.19191466003576</v>
      </c>
      <c r="AY148" s="64">
        <f t="shared" si="41"/>
        <v>67.184494636103949</v>
      </c>
      <c r="AZ148" s="64">
        <f t="shared" si="42"/>
        <v>-904.77328621375818</v>
      </c>
      <c r="BA148" s="64">
        <f t="shared" si="43"/>
        <v>-594.61509603407558</v>
      </c>
      <c r="BB148" s="65">
        <f t="shared" si="44"/>
        <v>16109.703288283114</v>
      </c>
      <c r="BC148" s="65">
        <f t="shared" si="45"/>
        <v>33609.6431499518</v>
      </c>
      <c r="BD148" s="66">
        <f t="shared" si="46"/>
        <v>17959.115979207076</v>
      </c>
    </row>
    <row r="149" spans="31:56" x14ac:dyDescent="0.25">
      <c r="AE149" s="71">
        <v>87</v>
      </c>
      <c r="AF149" s="17">
        <v>5.4663712172462402</v>
      </c>
      <c r="AG149" s="18">
        <v>-14865.896705534837</v>
      </c>
      <c r="AH149" s="20">
        <v>4532.7352943394135</v>
      </c>
      <c r="AN149" s="23">
        <v>144</v>
      </c>
      <c r="AO149" s="58">
        <v>72</v>
      </c>
      <c r="AP149" s="45">
        <f t="shared" si="47"/>
        <v>10168.256352034306</v>
      </c>
      <c r="AQ149" s="45">
        <f t="shared" si="48"/>
        <v>-4630.0386069184588</v>
      </c>
      <c r="AR149" s="45">
        <f t="shared" si="49"/>
        <v>320.20761213788717</v>
      </c>
      <c r="AS149" s="45">
        <f t="shared" si="50"/>
        <v>1013.2703675042857</v>
      </c>
      <c r="AT149" s="45">
        <f t="shared" si="36"/>
        <v>-194.84948716318183</v>
      </c>
      <c r="AU149" s="45">
        <f t="shared" si="37"/>
        <v>468.59237060351029</v>
      </c>
      <c r="AV149" s="64">
        <f t="shared" si="38"/>
        <v>807.54815227902327</v>
      </c>
      <c r="AW149" s="64">
        <f t="shared" si="39"/>
        <v>996.32279022216426</v>
      </c>
      <c r="AX149" s="64">
        <f t="shared" si="40"/>
        <v>-134.83608252081675</v>
      </c>
      <c r="AY149" s="64">
        <f t="shared" si="41"/>
        <v>65.388502068737296</v>
      </c>
      <c r="AZ149" s="64">
        <f t="shared" si="42"/>
        <v>-867.56155692138839</v>
      </c>
      <c r="BA149" s="64">
        <f t="shared" si="43"/>
        <v>-593.11892168739132</v>
      </c>
      <c r="BB149" s="65">
        <f t="shared" si="44"/>
        <v>15614.128850648251</v>
      </c>
      <c r="BC149" s="65">
        <f t="shared" si="45"/>
        <v>33528.521007673196</v>
      </c>
      <c r="BD149" s="66">
        <f t="shared" si="46"/>
        <v>18374.223794626829</v>
      </c>
    </row>
    <row r="150" spans="31:56" x14ac:dyDescent="0.25">
      <c r="AE150" s="71">
        <v>88</v>
      </c>
      <c r="AF150" s="17">
        <v>5.5292030703180366</v>
      </c>
      <c r="AG150" s="18">
        <v>-14532.735294339411</v>
      </c>
      <c r="AH150" s="20">
        <v>4865.8967055348376</v>
      </c>
      <c r="AN150" s="23">
        <v>145</v>
      </c>
      <c r="AO150" s="58">
        <v>72.5</v>
      </c>
      <c r="AP150" s="45">
        <f t="shared" si="47"/>
        <v>10279.647786312455</v>
      </c>
      <c r="AQ150" s="45">
        <f t="shared" si="48"/>
        <v>-4006.2553305154388</v>
      </c>
      <c r="AR150" s="45">
        <f t="shared" si="49"/>
        <v>222.78286855629625</v>
      </c>
      <c r="AS150" s="45">
        <f t="shared" si="50"/>
        <v>1247.5665528060408</v>
      </c>
      <c r="AT150" s="45">
        <f t="shared" si="36"/>
        <v>-102.23337739946851</v>
      </c>
      <c r="AU150" s="45">
        <f t="shared" si="37"/>
        <v>488.50749562767089</v>
      </c>
      <c r="AV150" s="64">
        <f t="shared" si="38"/>
        <v>861.19158268213255</v>
      </c>
      <c r="AW150" s="64">
        <f t="shared" si="39"/>
        <v>1019.4167887124505</v>
      </c>
      <c r="AX150" s="64">
        <f t="shared" si="40"/>
        <v>-137.28284946638126</v>
      </c>
      <c r="AY150" s="64">
        <f t="shared" si="41"/>
        <v>63.502014808641142</v>
      </c>
      <c r="AZ150" s="64">
        <f t="shared" si="42"/>
        <v>-826.14211061521974</v>
      </c>
      <c r="BA150" s="64">
        <f t="shared" si="43"/>
        <v>-594.41130789342071</v>
      </c>
      <c r="BB150" s="65">
        <f t="shared" si="44"/>
        <v>15062.508386359668</v>
      </c>
      <c r="BC150" s="65">
        <f t="shared" si="45"/>
        <v>33362.138097650888</v>
      </c>
      <c r="BD150" s="66">
        <f t="shared" si="46"/>
        <v>18823.656879883441</v>
      </c>
    </row>
    <row r="151" spans="31:56" x14ac:dyDescent="0.25">
      <c r="AE151" s="71">
        <v>89</v>
      </c>
      <c r="AF151" s="17">
        <v>5.5920349233898321</v>
      </c>
      <c r="AG151" s="18">
        <v>-14221.150679181581</v>
      </c>
      <c r="AH151" s="20">
        <v>5219.3200768848274</v>
      </c>
      <c r="AN151" s="23">
        <v>146</v>
      </c>
      <c r="AO151" s="58">
        <v>73</v>
      </c>
      <c r="AP151" s="45">
        <f t="shared" si="47"/>
        <v>10365.480876240736</v>
      </c>
      <c r="AQ151" s="45">
        <f t="shared" si="48"/>
        <v>-3260.3451802055006</v>
      </c>
      <c r="AR151" s="45">
        <f t="shared" si="49"/>
        <v>171.666179856562</v>
      </c>
      <c r="AS151" s="45">
        <f t="shared" si="50"/>
        <v>1491.8203006198762</v>
      </c>
      <c r="AT151" s="45">
        <f t="shared" si="36"/>
        <v>10.279645459117205</v>
      </c>
      <c r="AU151" s="45">
        <f t="shared" si="37"/>
        <v>504.7456296439143</v>
      </c>
      <c r="AV151" s="64">
        <f t="shared" si="38"/>
        <v>930.49878764806419</v>
      </c>
      <c r="AW151" s="64">
        <f t="shared" si="39"/>
        <v>1039.2307095187089</v>
      </c>
      <c r="AX151" s="64">
        <f t="shared" si="40"/>
        <v>-140.40579740720179</v>
      </c>
      <c r="AY151" s="64">
        <f t="shared" si="41"/>
        <v>61.314008051104963</v>
      </c>
      <c r="AZ151" s="64">
        <f t="shared" si="42"/>
        <v>-779.81334478174517</v>
      </c>
      <c r="BA151" s="64">
        <f t="shared" si="43"/>
        <v>-595.79908792589958</v>
      </c>
      <c r="BB151" s="65">
        <f t="shared" si="44"/>
        <v>14443.302501272165</v>
      </c>
      <c r="BC151" s="65">
        <f t="shared" si="45"/>
        <v>33134.561761754761</v>
      </c>
      <c r="BD151" s="66">
        <f t="shared" si="46"/>
        <v>19336.946445756217</v>
      </c>
    </row>
    <row r="152" spans="31:56" x14ac:dyDescent="0.25">
      <c r="AE152" s="71">
        <v>90</v>
      </c>
      <c r="AF152" s="17">
        <v>5.6548667764616285</v>
      </c>
      <c r="AG152" s="18">
        <v>-13932.372542187892</v>
      </c>
      <c r="AH152" s="20">
        <v>5591.6106078064558</v>
      </c>
      <c r="AN152" s="23">
        <v>147</v>
      </c>
      <c r="AO152" s="58">
        <v>73.5</v>
      </c>
      <c r="AP152" s="45">
        <f t="shared" si="47"/>
        <v>10453.883877533795</v>
      </c>
      <c r="AQ152" s="45">
        <f t="shared" si="48"/>
        <v>-2388.2486224845838</v>
      </c>
      <c r="AR152" s="45">
        <f t="shared" si="49"/>
        <v>176.8060025861206</v>
      </c>
      <c r="AS152" s="45">
        <f t="shared" si="50"/>
        <v>1744.1931154418335</v>
      </c>
      <c r="AT152" s="45">
        <f t="shared" si="36"/>
        <v>145.49608572918589</v>
      </c>
      <c r="AU152" s="45">
        <f t="shared" si="37"/>
        <v>518.51225228506121</v>
      </c>
      <c r="AV152" s="64">
        <f t="shared" si="38"/>
        <v>1017.8668210560136</v>
      </c>
      <c r="AW152" s="64">
        <f t="shared" si="39"/>
        <v>1054.3471357416981</v>
      </c>
      <c r="AX152" s="64">
        <f t="shared" si="40"/>
        <v>-144.00280450263307</v>
      </c>
      <c r="AY152" s="64">
        <f t="shared" si="41"/>
        <v>58.578490404952831</v>
      </c>
      <c r="AZ152" s="64">
        <f t="shared" si="42"/>
        <v>-728.36793082419456</v>
      </c>
      <c r="BA152" s="64">
        <f t="shared" si="43"/>
        <v>-594.41337386158978</v>
      </c>
      <c r="BB152" s="65">
        <f t="shared" si="44"/>
        <v>13744.300413032213</v>
      </c>
      <c r="BC152" s="65">
        <f t="shared" si="45"/>
        <v>32877.16148268892</v>
      </c>
      <c r="BD152" s="66">
        <f t="shared" si="46"/>
        <v>19946.899501139545</v>
      </c>
    </row>
    <row r="153" spans="31:56" x14ac:dyDescent="0.25">
      <c r="AE153" s="71">
        <v>91</v>
      </c>
      <c r="AF153" s="17">
        <v>5.717698629533424</v>
      </c>
      <c r="AG153" s="18">
        <v>-13667.540558734885</v>
      </c>
      <c r="AH153" s="20">
        <v>5981.2990376575272</v>
      </c>
      <c r="AN153" s="23">
        <v>148</v>
      </c>
      <c r="AO153" s="58">
        <v>74</v>
      </c>
      <c r="AP153" s="45">
        <f t="shared" si="47"/>
        <v>10578.660900259152</v>
      </c>
      <c r="AQ153" s="45">
        <f t="shared" si="48"/>
        <v>-1386.5240016924017</v>
      </c>
      <c r="AR153" s="45">
        <f t="shared" si="49"/>
        <v>249.55404545071355</v>
      </c>
      <c r="AS153" s="45">
        <f t="shared" si="50"/>
        <v>2003.449241584364</v>
      </c>
      <c r="AT153" s="45">
        <f t="shared" si="36"/>
        <v>306.01742017093227</v>
      </c>
      <c r="AU153" s="45">
        <f t="shared" si="37"/>
        <v>529.68086107280055</v>
      </c>
      <c r="AV153" s="64">
        <f t="shared" si="38"/>
        <v>1126.0585753030443</v>
      </c>
      <c r="AW153" s="64">
        <f t="shared" si="39"/>
        <v>1062.1363322988034</v>
      </c>
      <c r="AX153" s="64">
        <f t="shared" si="40"/>
        <v>-147.75919927279958</v>
      </c>
      <c r="AY153" s="64">
        <f t="shared" si="41"/>
        <v>55.020841968142697</v>
      </c>
      <c r="AZ153" s="64">
        <f t="shared" si="42"/>
        <v>-672.28195585931246</v>
      </c>
      <c r="BA153" s="64">
        <f t="shared" si="43"/>
        <v>-587.47631319414563</v>
      </c>
      <c r="BB153" s="65">
        <f t="shared" si="44"/>
        <v>12951.136601277929</v>
      </c>
      <c r="BC153" s="65">
        <f t="shared" si="45"/>
        <v>32629.854907647918</v>
      </c>
      <c r="BD153" s="66">
        <f t="shared" si="46"/>
        <v>20688.678164681289</v>
      </c>
    </row>
    <row r="154" spans="31:56" x14ac:dyDescent="0.25">
      <c r="AE154" s="71">
        <v>92</v>
      </c>
      <c r="AF154" s="17">
        <v>5.7805304826052195</v>
      </c>
      <c r="AG154" s="18">
        <v>-13427.699899671024</v>
      </c>
      <c r="AH154" s="20">
        <v>6386.8474442371353</v>
      </c>
      <c r="AN154" s="23">
        <v>149</v>
      </c>
      <c r="AO154" s="58">
        <v>74.5</v>
      </c>
      <c r="AP154" s="45">
        <f t="shared" si="47"/>
        <v>10779.942278027242</v>
      </c>
      <c r="AQ154" s="45">
        <f t="shared" si="48"/>
        <v>-252.37916563201958</v>
      </c>
      <c r="AR154" s="45">
        <f t="shared" si="49"/>
        <v>402.56275553617968</v>
      </c>
      <c r="AS154" s="45">
        <f t="shared" si="50"/>
        <v>2268.2896721207644</v>
      </c>
      <c r="AT154" s="45">
        <f t="shared" si="36"/>
        <v>494.0490494534256</v>
      </c>
      <c r="AU154" s="45">
        <f t="shared" si="37"/>
        <v>535.45162666340445</v>
      </c>
      <c r="AV154" s="64">
        <f t="shared" si="38"/>
        <v>1258.0380633795007</v>
      </c>
      <c r="AW154" s="64">
        <f t="shared" si="39"/>
        <v>1057.7795027110258</v>
      </c>
      <c r="AX154" s="64">
        <f t="shared" si="40"/>
        <v>-151.20782086572072</v>
      </c>
      <c r="AY154" s="64">
        <f t="shared" si="41"/>
        <v>50.365263791641269</v>
      </c>
      <c r="AZ154" s="64">
        <f t="shared" si="42"/>
        <v>-612.78119306035433</v>
      </c>
      <c r="BA154" s="64">
        <f t="shared" si="43"/>
        <v>-572.6931398392627</v>
      </c>
      <c r="BB154" s="65">
        <f t="shared" si="44"/>
        <v>12046.113361754276</v>
      </c>
      <c r="BC154" s="65">
        <f t="shared" si="45"/>
        <v>32442.504915535952</v>
      </c>
      <c r="BD154" s="66">
        <f t="shared" si="46"/>
        <v>21598.585568785657</v>
      </c>
    </row>
    <row r="155" spans="31:56" x14ac:dyDescent="0.25">
      <c r="AE155" s="71">
        <v>93</v>
      </c>
      <c r="AF155" s="17">
        <v>5.8433623356770159</v>
      </c>
      <c r="AG155" s="18">
        <v>-13213.797106504851</v>
      </c>
      <c r="AH155" s="20">
        <v>6806.6553132619583</v>
      </c>
      <c r="AN155" s="23">
        <v>150</v>
      </c>
      <c r="AO155" s="58">
        <v>75</v>
      </c>
      <c r="AP155" s="45">
        <f t="shared" si="47"/>
        <v>11104.735918158687</v>
      </c>
      <c r="AQ155" s="45">
        <f t="shared" si="48"/>
        <v>1015.6285770942138</v>
      </c>
      <c r="AR155" s="45">
        <f t="shared" si="49"/>
        <v>649.58728026289248</v>
      </c>
      <c r="AS155" s="45">
        <f t="shared" si="50"/>
        <v>2536.0154854524667</v>
      </c>
      <c r="AT155" s="45">
        <f t="shared" si="36"/>
        <v>710.55864267866934</v>
      </c>
      <c r="AU155" s="45">
        <f t="shared" si="37"/>
        <v>527.93070849171329</v>
      </c>
      <c r="AV155" s="64">
        <f t="shared" si="38"/>
        <v>1415.989087465631</v>
      </c>
      <c r="AW155" s="64">
        <f t="shared" si="39"/>
        <v>1032.2120950464184</v>
      </c>
      <c r="AX155" s="64">
        <f t="shared" si="40"/>
        <v>-153.70096501828439</v>
      </c>
      <c r="AY155" s="64">
        <f t="shared" si="41"/>
        <v>44.395379578746216</v>
      </c>
      <c r="AZ155" s="64">
        <f t="shared" si="42"/>
        <v>-551.72947976867715</v>
      </c>
      <c r="BA155" s="64">
        <f t="shared" si="43"/>
        <v>-548.67676613345145</v>
      </c>
      <c r="BB155" s="65">
        <f t="shared" si="44"/>
        <v>11007.851554045112</v>
      </c>
      <c r="BC155" s="65">
        <f t="shared" si="45"/>
        <v>32376.28030523453</v>
      </c>
      <c r="BD155" s="66">
        <f t="shared" si="46"/>
        <v>22712.614946612102</v>
      </c>
    </row>
    <row r="156" spans="31:56" x14ac:dyDescent="0.25">
      <c r="AE156" s="71">
        <v>94</v>
      </c>
      <c r="AF156" s="17">
        <v>5.9061941887488114</v>
      </c>
      <c r="AG156" s="18">
        <v>-13026.676355838114</v>
      </c>
      <c r="AH156" s="20">
        <v>7239.0658548649162</v>
      </c>
      <c r="AN156" s="23">
        <v>151</v>
      </c>
      <c r="AO156" s="58">
        <v>75.5</v>
      </c>
      <c r="AP156" s="45">
        <f t="shared" si="47"/>
        <v>11607.1692189598</v>
      </c>
      <c r="AQ156" s="45">
        <f t="shared" si="48"/>
        <v>2415.6189969433754</v>
      </c>
      <c r="AR156" s="45">
        <f t="shared" si="49"/>
        <v>1004.8666016022271</v>
      </c>
      <c r="AS156" s="45">
        <f t="shared" si="50"/>
        <v>2799.9808396983235</v>
      </c>
      <c r="AT156" s="45">
        <f t="shared" si="36"/>
        <v>952.15454308702294</v>
      </c>
      <c r="AU156" s="45">
        <f t="shared" si="37"/>
        <v>489.81263402154423</v>
      </c>
      <c r="AV156" s="64">
        <f t="shared" si="38"/>
        <v>1597.9310610228185</v>
      </c>
      <c r="AW156" s="64">
        <f t="shared" si="39"/>
        <v>968.02742040410737</v>
      </c>
      <c r="AX156" s="64">
        <f t="shared" si="40"/>
        <v>-154.42550175840407</v>
      </c>
      <c r="AY156" s="64">
        <f t="shared" si="41"/>
        <v>37.055575392096834</v>
      </c>
      <c r="AZ156" s="64">
        <f t="shared" si="42"/>
        <v>-491.35101617739144</v>
      </c>
      <c r="BA156" s="64">
        <f t="shared" si="43"/>
        <v>-515.27036177465993</v>
      </c>
      <c r="BB156" s="65">
        <f t="shared" si="44"/>
        <v>9812.7742613095379</v>
      </c>
      <c r="BC156" s="65">
        <f t="shared" si="45"/>
        <v>32504.399413548406</v>
      </c>
      <c r="BD156" s="66">
        <f t="shared" si="46"/>
        <v>24064.535202531148</v>
      </c>
    </row>
    <row r="157" spans="31:56" x14ac:dyDescent="0.25">
      <c r="AE157" s="71">
        <v>95</v>
      </c>
      <c r="AF157" s="17">
        <v>5.9690260418206078</v>
      </c>
      <c r="AG157" s="18">
        <v>-12867.076127786346</v>
      </c>
      <c r="AH157" s="20">
        <v>7682.3725421878989</v>
      </c>
      <c r="AN157" s="23">
        <v>152</v>
      </c>
      <c r="AO157" s="58">
        <v>76</v>
      </c>
      <c r="AP157" s="45">
        <f t="shared" si="47"/>
        <v>12347.641155532669</v>
      </c>
      <c r="AQ157" s="45">
        <f t="shared" si="48"/>
        <v>3938.0625752979231</v>
      </c>
      <c r="AR157" s="45">
        <f t="shared" si="49"/>
        <v>1480.9438731457385</v>
      </c>
      <c r="AS157" s="45">
        <f t="shared" si="50"/>
        <v>3044.8871567090955</v>
      </c>
      <c r="AT157" s="45">
        <f t="shared" si="36"/>
        <v>1201.5928750969128</v>
      </c>
      <c r="AU157" s="45">
        <f t="shared" si="37"/>
        <v>387.17357318824929</v>
      </c>
      <c r="AV157" s="64">
        <f t="shared" si="38"/>
        <v>1787.9827238883659</v>
      </c>
      <c r="AW157" s="64">
        <f t="shared" si="39"/>
        <v>832.2509056855456</v>
      </c>
      <c r="AX157" s="64">
        <f t="shared" si="40"/>
        <v>-152.51002995943156</v>
      </c>
      <c r="AY157" s="64">
        <f t="shared" si="41"/>
        <v>28.580329978570557</v>
      </c>
      <c r="AZ157" s="64">
        <f t="shared" si="42"/>
        <v>-433.87981883202161</v>
      </c>
      <c r="BA157" s="64">
        <f t="shared" si="43"/>
        <v>-473.65766247586691</v>
      </c>
      <c r="BB157" s="65">
        <f t="shared" si="44"/>
        <v>8440.7342158126648</v>
      </c>
      <c r="BC157" s="65">
        <f t="shared" si="45"/>
        <v>32910.742526842427</v>
      </c>
      <c r="BD157" s="66">
        <f t="shared" si="46"/>
        <v>25682.50119764488</v>
      </c>
    </row>
    <row r="158" spans="31:56" x14ac:dyDescent="0.25">
      <c r="AE158" s="71">
        <v>96</v>
      </c>
      <c r="AF158" s="17">
        <v>6.0318578948924033</v>
      </c>
      <c r="AG158" s="18">
        <v>-12735.626291535267</v>
      </c>
      <c r="AH158" s="20">
        <v>8134.8258462635913</v>
      </c>
      <c r="AN158" s="23">
        <v>153</v>
      </c>
      <c r="AO158" s="58">
        <v>76.5</v>
      </c>
      <c r="AP158" s="45">
        <f t="shared" si="47"/>
        <v>13388.511310879765</v>
      </c>
      <c r="AQ158" s="45">
        <f t="shared" si="48"/>
        <v>5557.2995469495336</v>
      </c>
      <c r="AR158" s="45">
        <f t="shared" si="49"/>
        <v>2081.7403106941947</v>
      </c>
      <c r="AS158" s="45">
        <f t="shared" si="50"/>
        <v>3238.47394330322</v>
      </c>
      <c r="AT158" s="45">
        <f t="shared" si="36"/>
        <v>1404.1885483898852</v>
      </c>
      <c r="AU158" s="45">
        <f t="shared" si="37"/>
        <v>161.26275737856474</v>
      </c>
      <c r="AV158" s="64">
        <f t="shared" si="38"/>
        <v>1932.7348159070398</v>
      </c>
      <c r="AW158" s="64">
        <f t="shared" si="39"/>
        <v>567.9091319732172</v>
      </c>
      <c r="AX158" s="64">
        <f t="shared" si="40"/>
        <v>-147.27218844538365</v>
      </c>
      <c r="AY158" s="64">
        <f t="shared" si="41"/>
        <v>19.596148274955823</v>
      </c>
      <c r="AZ158" s="64">
        <f t="shared" si="42"/>
        <v>-381.27407907177104</v>
      </c>
      <c r="BA158" s="64">
        <f t="shared" si="43"/>
        <v>-426.24252286960825</v>
      </c>
      <c r="BB158" s="65">
        <f t="shared" si="44"/>
        <v>6890.9990376321548</v>
      </c>
      <c r="BC158" s="65">
        <f t="shared" si="45"/>
        <v>33682.789000798031</v>
      </c>
      <c r="BD158" s="66">
        <f t="shared" si="46"/>
        <v>27581.513970291126</v>
      </c>
    </row>
    <row r="159" spans="31:56" x14ac:dyDescent="0.25">
      <c r="AE159" s="71">
        <v>97</v>
      </c>
      <c r="AF159" s="17">
        <v>6.0946897479641988</v>
      </c>
      <c r="AG159" s="18">
        <v>-12632.845619534834</v>
      </c>
      <c r="AH159" s="20">
        <v>8594.6401406070654</v>
      </c>
      <c r="AN159" s="23">
        <v>154</v>
      </c>
      <c r="AO159" s="58">
        <v>77</v>
      </c>
      <c r="AP159" s="45">
        <f t="shared" si="47"/>
        <v>14780.428603324335</v>
      </c>
      <c r="AQ159" s="45">
        <f t="shared" si="48"/>
        <v>7216.8522079457853</v>
      </c>
      <c r="AR159" s="45">
        <f t="shared" si="49"/>
        <v>2783.8345848891372</v>
      </c>
      <c r="AS159" s="45">
        <f t="shared" si="50"/>
        <v>3319.1053219925025</v>
      </c>
      <c r="AT159" s="45">
        <f t="shared" si="36"/>
        <v>1428.5495052086831</v>
      </c>
      <c r="AU159" s="45">
        <f t="shared" si="37"/>
        <v>-262.09462406947597</v>
      </c>
      <c r="AV159" s="64">
        <f t="shared" si="38"/>
        <v>1902.2498184754272</v>
      </c>
      <c r="AW159" s="64">
        <f t="shared" si="39"/>
        <v>103.19196637101135</v>
      </c>
      <c r="AX159" s="64">
        <f t="shared" si="40"/>
        <v>-138.59862092467043</v>
      </c>
      <c r="AY159" s="64">
        <f t="shared" si="41"/>
        <v>11.090732958115023</v>
      </c>
      <c r="AZ159" s="64">
        <f t="shared" si="42"/>
        <v>-335.10169234207365</v>
      </c>
      <c r="BA159" s="64">
        <f t="shared" si="43"/>
        <v>-376.37732339860236</v>
      </c>
      <c r="BB159" s="65">
        <f t="shared" si="44"/>
        <v>5227.2457601627957</v>
      </c>
      <c r="BC159" s="65">
        <f t="shared" si="45"/>
        <v>34891.605372400933</v>
      </c>
      <c r="BD159" s="66">
        <f t="shared" si="46"/>
        <v>29746.493537237577</v>
      </c>
    </row>
    <row r="160" spans="31:56" x14ac:dyDescent="0.25">
      <c r="AE160" s="71">
        <v>98</v>
      </c>
      <c r="AF160" s="17">
        <v>6.1575216010359952</v>
      </c>
      <c r="AG160" s="18">
        <v>-12559.139740141416</v>
      </c>
      <c r="AH160" s="20">
        <v>9060.0007482677211</v>
      </c>
      <c r="AN160" s="23">
        <v>155</v>
      </c>
      <c r="AO160" s="58">
        <v>77.5</v>
      </c>
      <c r="AP160" s="45">
        <f t="shared" si="47"/>
        <v>16529.483272071073</v>
      </c>
      <c r="AQ160" s="45">
        <f t="shared" si="48"/>
        <v>8810.8812129246671</v>
      </c>
      <c r="AR160" s="45">
        <f t="shared" si="49"/>
        <v>3498.109337493479</v>
      </c>
      <c r="AS160" s="45">
        <f t="shared" si="50"/>
        <v>3188.0580099577646</v>
      </c>
      <c r="AT160" s="45">
        <f t="shared" si="36"/>
        <v>1073.7018959655052</v>
      </c>
      <c r="AU160" s="45">
        <f t="shared" si="37"/>
        <v>-889.52901955178027</v>
      </c>
      <c r="AV160" s="64">
        <f t="shared" si="38"/>
        <v>1497.5861196727328</v>
      </c>
      <c r="AW160" s="64">
        <f t="shared" si="39"/>
        <v>-565.66720834890646</v>
      </c>
      <c r="AX160" s="64">
        <f t="shared" si="40"/>
        <v>-127.30563295786082</v>
      </c>
      <c r="AY160" s="64">
        <f t="shared" si="41"/>
        <v>4.1440914650563654</v>
      </c>
      <c r="AZ160" s="64">
        <f t="shared" si="42"/>
        <v>-296.57859074936698</v>
      </c>
      <c r="BA160" s="64">
        <f t="shared" si="43"/>
        <v>-328.00590266793012</v>
      </c>
      <c r="BB160" s="65">
        <f t="shared" si="44"/>
        <v>3709.8377206063005</v>
      </c>
      <c r="BC160" s="65">
        <f t="shared" si="45"/>
        <v>36548.832424775152</v>
      </c>
      <c r="BD160" s="66">
        <f t="shared" si="46"/>
        <v>32101.039143591548</v>
      </c>
    </row>
    <row r="161" spans="31:56" x14ac:dyDescent="0.25">
      <c r="AE161" s="71">
        <v>99</v>
      </c>
      <c r="AF161" s="17">
        <v>6.2203534541077907</v>
      </c>
      <c r="AG161" s="18">
        <v>-12514.799536787963</v>
      </c>
      <c r="AH161" s="20">
        <v>9529.0711035301501</v>
      </c>
      <c r="AN161" s="23">
        <v>156</v>
      </c>
      <c r="AO161" s="58">
        <v>78</v>
      </c>
      <c r="AP161" s="45">
        <f t="shared" si="47"/>
        <v>18546.96341480919</v>
      </c>
      <c r="AQ161" s="45">
        <f t="shared" si="48"/>
        <v>10182.527963015604</v>
      </c>
      <c r="AR161" s="45">
        <f t="shared" si="49"/>
        <v>4034.9602854762315</v>
      </c>
      <c r="AS161" s="45">
        <f t="shared" si="50"/>
        <v>2743.2935001818746</v>
      </c>
      <c r="AT161" s="45">
        <f t="shared" si="36"/>
        <v>284.08198911537818</v>
      </c>
      <c r="AU161" s="45">
        <f t="shared" si="37"/>
        <v>-1514.6378576921966</v>
      </c>
      <c r="AV161" s="64">
        <f t="shared" si="38"/>
        <v>665.73530751488624</v>
      </c>
      <c r="AW161" s="64">
        <f t="shared" si="39"/>
        <v>-1229.0492865607782</v>
      </c>
      <c r="AX161" s="64">
        <f t="shared" si="40"/>
        <v>-115.12299015212717</v>
      </c>
      <c r="AY161" s="64">
        <f t="shared" si="41"/>
        <v>-0.54513152339933035</v>
      </c>
      <c r="AZ161" s="64">
        <f t="shared" si="42"/>
        <v>-266.53032824738091</v>
      </c>
      <c r="BA161" s="64">
        <f t="shared" si="43"/>
        <v>-285.04343960801907</v>
      </c>
      <c r="BB161" s="65">
        <f t="shared" si="44"/>
        <v>3050.7821276295058</v>
      </c>
      <c r="BC161" s="65">
        <f t="shared" si="45"/>
        <v>38547.395566496067</v>
      </c>
      <c r="BD161" s="66">
        <f t="shared" si="46"/>
        <v>34476.357125810515</v>
      </c>
    </row>
    <row r="162" spans="31:56" x14ac:dyDescent="0.25">
      <c r="AE162" s="71">
        <v>100</v>
      </c>
      <c r="AF162" s="17">
        <v>6.2831853071795871</v>
      </c>
      <c r="AG162" s="18">
        <v>-12500</v>
      </c>
      <c r="AH162" s="20">
        <v>10000.000000000005</v>
      </c>
      <c r="AN162" s="23">
        <v>157</v>
      </c>
      <c r="AO162" s="58">
        <v>78.5</v>
      </c>
      <c r="AP162" s="45">
        <f t="shared" si="47"/>
        <v>20635.464054826152</v>
      </c>
      <c r="AQ162" s="45">
        <f t="shared" si="48"/>
        <v>11175.51524868349</v>
      </c>
      <c r="AR162" s="45">
        <f t="shared" si="49"/>
        <v>4177.0012800339209</v>
      </c>
      <c r="AS162" s="45">
        <f t="shared" si="50"/>
        <v>1985.9745713357763</v>
      </c>
      <c r="AT162" s="45">
        <f t="shared" si="36"/>
        <v>-622.68168244609751</v>
      </c>
      <c r="AU162" s="45">
        <f t="shared" si="37"/>
        <v>-1836.1197720016776</v>
      </c>
      <c r="AV162" s="64">
        <f t="shared" si="38"/>
        <v>-273.67074848488721</v>
      </c>
      <c r="AW162" s="64">
        <f t="shared" si="39"/>
        <v>-1582.9078002689105</v>
      </c>
      <c r="AX162" s="64">
        <f t="shared" si="40"/>
        <v>-103.96880004385602</v>
      </c>
      <c r="AY162" s="64">
        <f t="shared" si="41"/>
        <v>-3.0076415437013364</v>
      </c>
      <c r="AZ162" s="64">
        <f t="shared" si="42"/>
        <v>-245.04213391735425</v>
      </c>
      <c r="BA162" s="64">
        <f t="shared" si="43"/>
        <v>-250.20433018906576</v>
      </c>
      <c r="BB162" s="65">
        <f t="shared" si="44"/>
        <v>3730.0438212279701</v>
      </c>
      <c r="BC162" s="65">
        <f t="shared" si="45"/>
        <v>40652.46333312356</v>
      </c>
      <c r="BD162" s="66">
        <f t="shared" si="46"/>
        <v>36637.884980445393</v>
      </c>
    </row>
    <row r="163" spans="31:56" x14ac:dyDescent="0.25">
      <c r="AE163" s="71">
        <v>101</v>
      </c>
      <c r="AF163" s="17" cm="1">
        <f t="array" ref="AF163:AF263">$AL$35*AE62:AE162</f>
        <v>0</v>
      </c>
      <c r="AG163" s="18" cm="1">
        <f t="array" ref="AG163:AG262">COS(AF63:AF162)*$AL$36+$K$26</f>
        <v>-12514.799536787963</v>
      </c>
      <c r="AH163" s="20" cm="1">
        <f t="array" ref="AH163:AH262">SIN(AF63:AF162)*$AL$36+$L$26</f>
        <v>10470.92889646985</v>
      </c>
      <c r="AN163" s="23">
        <v>158</v>
      </c>
      <c r="AO163" s="58">
        <v>79</v>
      </c>
      <c r="AP163" s="45">
        <f t="shared" si="47"/>
        <v>22568.294274231586</v>
      </c>
      <c r="AQ163" s="45">
        <f t="shared" si="48"/>
        <v>11709.472591350959</v>
      </c>
      <c r="AR163" s="45">
        <f t="shared" si="49"/>
        <v>3865.6604388108722</v>
      </c>
      <c r="AS163" s="45">
        <f t="shared" si="50"/>
        <v>1067.9146853349375</v>
      </c>
      <c r="AT163" s="45">
        <f t="shared" si="36"/>
        <v>-1296.4667993508347</v>
      </c>
      <c r="AU163" s="45">
        <f t="shared" si="37"/>
        <v>-1818.04004116428</v>
      </c>
      <c r="AV163" s="64">
        <f t="shared" si="38"/>
        <v>-970.18362124526493</v>
      </c>
      <c r="AW163" s="64">
        <f t="shared" si="39"/>
        <v>-1590.1454140925703</v>
      </c>
      <c r="AX163" s="64">
        <f t="shared" si="40"/>
        <v>-94.998430101354273</v>
      </c>
      <c r="AY163" s="64">
        <f t="shared" si="41"/>
        <v>-3.8149804977725186</v>
      </c>
      <c r="AZ163" s="64">
        <f t="shared" si="42"/>
        <v>-231.28474800421554</v>
      </c>
      <c r="BA163" s="64">
        <f t="shared" si="43"/>
        <v>-224.07964657393714</v>
      </c>
      <c r="BB163" s="65">
        <f t="shared" si="44"/>
        <v>4931.1048433779742</v>
      </c>
      <c r="BC163" s="65">
        <f t="shared" si="45"/>
        <v>42602.605248484018</v>
      </c>
      <c r="BD163" s="66">
        <f t="shared" si="46"/>
        <v>38384.98111630066</v>
      </c>
    </row>
    <row r="164" spans="31:56" x14ac:dyDescent="0.25">
      <c r="AE164" s="71">
        <v>102</v>
      </c>
      <c r="AF164" s="17">
        <v>6.2831853071795868E-2</v>
      </c>
      <c r="AG164" s="18">
        <v>-12559.139740141416</v>
      </c>
      <c r="AH164" s="20">
        <v>10939.999251732283</v>
      </c>
      <c r="AN164" s="23">
        <v>159</v>
      </c>
      <c r="AO164" s="58">
        <v>79.5</v>
      </c>
      <c r="AP164" s="45">
        <f t="shared" si="47"/>
        <v>24177.007793799316</v>
      </c>
      <c r="AQ164" s="45">
        <f t="shared" si="48"/>
        <v>11788.919923727359</v>
      </c>
      <c r="AR164" s="45">
        <f t="shared" si="49"/>
        <v>3217.4270391354548</v>
      </c>
      <c r="AS164" s="45">
        <f t="shared" si="50"/>
        <v>158.89466475279755</v>
      </c>
      <c r="AT164" s="45">
        <f t="shared" si="36"/>
        <v>-1693.8931944889109</v>
      </c>
      <c r="AU164" s="45">
        <f t="shared" si="37"/>
        <v>-1627.6944961577442</v>
      </c>
      <c r="AV164" s="64">
        <f t="shared" si="38"/>
        <v>-1381.3753847283208</v>
      </c>
      <c r="AW164" s="64">
        <f t="shared" si="39"/>
        <v>-1418.3857685165929</v>
      </c>
      <c r="AX164" s="64">
        <f t="shared" si="40"/>
        <v>-88.451417659203827</v>
      </c>
      <c r="AY164" s="64">
        <f t="shared" si="41"/>
        <v>-3.5817840825944116</v>
      </c>
      <c r="AZ164" s="64">
        <f t="shared" si="42"/>
        <v>-224.06639210138621</v>
      </c>
      <c r="BA164" s="64">
        <f t="shared" si="43"/>
        <v>-205.72694355855708</v>
      </c>
      <c r="BB164" s="65">
        <f t="shared" si="44"/>
        <v>5986.8379150938872</v>
      </c>
      <c r="BC164" s="65">
        <f t="shared" si="45"/>
        <v>44213.213546483079</v>
      </c>
      <c r="BD164" s="66">
        <f t="shared" si="46"/>
        <v>39609.89793573448</v>
      </c>
    </row>
    <row r="165" spans="31:56" x14ac:dyDescent="0.25">
      <c r="AE165" s="71">
        <v>103</v>
      </c>
      <c r="AF165" s="17">
        <v>0.12566370614359174</v>
      </c>
      <c r="AG165" s="18">
        <v>-12632.845619534834</v>
      </c>
      <c r="AH165" s="20">
        <v>11405.359859392935</v>
      </c>
      <c r="AN165" s="23">
        <v>160</v>
      </c>
      <c r="AO165" s="58">
        <v>80</v>
      </c>
      <c r="AP165" s="45">
        <f t="shared" si="47"/>
        <v>25362.248014744819</v>
      </c>
      <c r="AQ165" s="45">
        <f t="shared" si="48"/>
        <v>11461.443632064322</v>
      </c>
      <c r="AR165" s="45">
        <f t="shared" si="49"/>
        <v>2370.4804418909994</v>
      </c>
      <c r="AS165" s="45">
        <f t="shared" si="50"/>
        <v>-654.95258332607455</v>
      </c>
      <c r="AT165" s="45">
        <f t="shared" si="36"/>
        <v>-1923.8592032896086</v>
      </c>
      <c r="AU165" s="45">
        <f t="shared" si="37"/>
        <v>-1391.37781426634</v>
      </c>
      <c r="AV165" s="64">
        <f t="shared" si="38"/>
        <v>-1617.2751178952203</v>
      </c>
      <c r="AW165" s="64">
        <f t="shared" si="39"/>
        <v>-1194.7869996809509</v>
      </c>
      <c r="AX165" s="64">
        <f t="shared" si="40"/>
        <v>-84.122620886230152</v>
      </c>
      <c r="AY165" s="64">
        <f t="shared" si="41"/>
        <v>-2.7101934755698363</v>
      </c>
      <c r="AZ165" s="64">
        <f t="shared" si="42"/>
        <v>-222.46146450815803</v>
      </c>
      <c r="BA165" s="64">
        <f t="shared" si="43"/>
        <v>-193.88062110981926</v>
      </c>
      <c r="BB165" s="65">
        <f t="shared" si="44"/>
        <v>6666.8387877357372</v>
      </c>
      <c r="BC165" s="65">
        <f t="shared" si="45"/>
        <v>45385.783704161389</v>
      </c>
      <c r="BD165" s="66">
        <f t="shared" si="46"/>
        <v>40274.981112370413</v>
      </c>
    </row>
    <row r="166" spans="31:56" x14ac:dyDescent="0.25">
      <c r="AE166" s="71">
        <v>104</v>
      </c>
      <c r="AF166" s="17">
        <v>0.1884955592153876</v>
      </c>
      <c r="AG166" s="18">
        <v>-12735.626291535267</v>
      </c>
      <c r="AH166" s="20">
        <v>11865.174153736411</v>
      </c>
      <c r="AN166" s="23">
        <v>161</v>
      </c>
      <c r="AO166" s="58">
        <v>80.5</v>
      </c>
      <c r="AP166" s="45">
        <f t="shared" si="47"/>
        <v>26066.523434867915</v>
      </c>
      <c r="AQ166" s="45">
        <f t="shared" si="48"/>
        <v>10786.122886834699</v>
      </c>
      <c r="AR166" s="45">
        <f t="shared" si="49"/>
        <v>1408.5508402461951</v>
      </c>
      <c r="AS166" s="45">
        <f t="shared" si="50"/>
        <v>-1350.6414904592446</v>
      </c>
      <c r="AT166" s="45">
        <f t="shared" si="36"/>
        <v>-2079.139728406034</v>
      </c>
      <c r="AU166" s="45">
        <f t="shared" si="37"/>
        <v>-1148.5267770795481</v>
      </c>
      <c r="AV166" s="64">
        <f t="shared" si="38"/>
        <v>-1771.345111087714</v>
      </c>
      <c r="AW166" s="64">
        <f t="shared" si="39"/>
        <v>-959.50469367218807</v>
      </c>
      <c r="AX166" s="64">
        <f t="shared" si="40"/>
        <v>-81.745840513466547</v>
      </c>
      <c r="AY166" s="64">
        <f t="shared" si="41"/>
        <v>-1.3949886238329601</v>
      </c>
      <c r="AZ166" s="64">
        <f t="shared" si="42"/>
        <v>-226.04877680485356</v>
      </c>
      <c r="BA166" s="64">
        <f t="shared" si="43"/>
        <v>-187.62709478352696</v>
      </c>
      <c r="BB166" s="65">
        <f t="shared" si="44"/>
        <v>6899.3702765673061</v>
      </c>
      <c r="BC166" s="65">
        <f t="shared" si="45"/>
        <v>46073.230520210323</v>
      </c>
      <c r="BD166" s="66">
        <f t="shared" si="46"/>
        <v>40373.914993026592</v>
      </c>
    </row>
    <row r="167" spans="31:56" x14ac:dyDescent="0.25">
      <c r="AE167" s="71">
        <v>105</v>
      </c>
      <c r="AF167" s="17">
        <v>0.25132741228718347</v>
      </c>
      <c r="AG167" s="18">
        <v>-12867.076127786349</v>
      </c>
      <c r="AH167" s="20">
        <v>12317.627457812105</v>
      </c>
      <c r="AN167" s="23">
        <v>162</v>
      </c>
      <c r="AO167" s="58">
        <v>81</v>
      </c>
      <c r="AP167" s="45">
        <f t="shared" si="47"/>
        <v>26251.013922889502</v>
      </c>
      <c r="AQ167" s="45">
        <f t="shared" si="48"/>
        <v>9823.6704473351892</v>
      </c>
      <c r="AR167" s="45">
        <f t="shared" si="49"/>
        <v>368.98097604317809</v>
      </c>
      <c r="AS167" s="45">
        <f t="shared" si="50"/>
        <v>-1924.9048789990186</v>
      </c>
      <c r="AT167" s="45">
        <f t="shared" si="36"/>
        <v>-2200.8645774752367</v>
      </c>
      <c r="AU167" s="45">
        <f t="shared" si="37"/>
        <v>-886.92835287146374</v>
      </c>
      <c r="AV167" s="64">
        <f t="shared" si="38"/>
        <v>-1884.7847096320086</v>
      </c>
      <c r="AW167" s="64">
        <f t="shared" si="39"/>
        <v>-700.62530389256847</v>
      </c>
      <c r="AX167" s="64">
        <f t="shared" si="40"/>
        <v>-81.149759382572086</v>
      </c>
      <c r="AY167" s="64">
        <f t="shared" si="41"/>
        <v>0.30937918019791627</v>
      </c>
      <c r="AZ167" s="64">
        <f t="shared" si="42"/>
        <v>-234.93010846065596</v>
      </c>
      <c r="BA167" s="64">
        <f t="shared" si="43"/>
        <v>-186.61242815909313</v>
      </c>
      <c r="BB167" s="65">
        <f t="shared" si="44"/>
        <v>6668.9294052326959</v>
      </c>
      <c r="BC167" s="65">
        <f t="shared" si="45"/>
        <v>46251.350045230691</v>
      </c>
      <c r="BD167" s="66">
        <f t="shared" si="46"/>
        <v>39910.405731920793</v>
      </c>
    </row>
    <row r="168" spans="31:56" x14ac:dyDescent="0.25">
      <c r="AE168" s="71">
        <v>106</v>
      </c>
      <c r="AF168" s="17">
        <v>0.31415926535897931</v>
      </c>
      <c r="AG168" s="18">
        <v>-13026.676355838115</v>
      </c>
      <c r="AH168" s="20">
        <v>12760.934145135085</v>
      </c>
      <c r="AN168" s="23">
        <v>163</v>
      </c>
      <c r="AO168" s="58">
        <v>81.5</v>
      </c>
      <c r="AP168" s="45">
        <f t="shared" si="47"/>
        <v>25885.28826654228</v>
      </c>
      <c r="AQ168" s="45">
        <f t="shared" si="48"/>
        <v>8639.4859196178131</v>
      </c>
      <c r="AR168" s="45">
        <f t="shared" si="49"/>
        <v>-731.45131269444028</v>
      </c>
      <c r="AS168" s="45">
        <f t="shared" si="50"/>
        <v>-2368.3690554347504</v>
      </c>
      <c r="AT168" s="45">
        <f t="shared" si="36"/>
        <v>-2276.3210860862359</v>
      </c>
      <c r="AU168" s="45">
        <f t="shared" si="37"/>
        <v>-565.12786980656779</v>
      </c>
      <c r="AV168" s="64">
        <f t="shared" si="38"/>
        <v>-1944.3265372463918</v>
      </c>
      <c r="AW168" s="64">
        <f t="shared" si="39"/>
        <v>-376.45270919468334</v>
      </c>
      <c r="AX168" s="64">
        <f t="shared" si="40"/>
        <v>-82.299880866072542</v>
      </c>
      <c r="AY168" s="64">
        <f t="shared" si="41"/>
        <v>2.4402188797779085</v>
      </c>
      <c r="AZ168" s="64">
        <f t="shared" si="42"/>
        <v>-249.69466797377149</v>
      </c>
      <c r="BA168" s="64">
        <f t="shared" si="43"/>
        <v>-191.1153794916624</v>
      </c>
      <c r="BB168" s="65">
        <f t="shared" si="44"/>
        <v>5994.5847346840874</v>
      </c>
      <c r="BC168" s="65">
        <f t="shared" si="45"/>
        <v>45905.453683267318</v>
      </c>
      <c r="BD168" s="66">
        <f t="shared" si="46"/>
        <v>38893.782611764866</v>
      </c>
    </row>
    <row r="169" spans="31:56" x14ac:dyDescent="0.25">
      <c r="AE169" s="71">
        <v>107</v>
      </c>
      <c r="AF169" s="17">
        <v>0.37699111843077521</v>
      </c>
      <c r="AG169" s="18">
        <v>-13213.797106504855</v>
      </c>
      <c r="AH169" s="20">
        <v>13193.344686738044</v>
      </c>
      <c r="AN169" s="23">
        <v>164</v>
      </c>
      <c r="AO169" s="58">
        <v>82</v>
      </c>
      <c r="AP169" s="45">
        <f t="shared" si="47"/>
        <v>24950.482338673504</v>
      </c>
      <c r="AQ169" s="45">
        <f t="shared" si="48"/>
        <v>7314.0194244487957</v>
      </c>
      <c r="AR169" s="45">
        <f t="shared" si="49"/>
        <v>-1869.6118557375582</v>
      </c>
      <c r="AS169" s="45">
        <f t="shared" si="50"/>
        <v>-2650.9329903380344</v>
      </c>
      <c r="AT169" s="45">
        <f t="shared" si="36"/>
        <v>-2221.5838057706628</v>
      </c>
      <c r="AU169" s="45">
        <f t="shared" si="37"/>
        <v>-126.97253601822011</v>
      </c>
      <c r="AV169" s="64">
        <f t="shared" si="38"/>
        <v>-1864.9753447764213</v>
      </c>
      <c r="AW169" s="64">
        <f t="shared" si="39"/>
        <v>70.063715872838301</v>
      </c>
      <c r="AX169" s="64">
        <f t="shared" si="40"/>
        <v>-85.299703585111104</v>
      </c>
      <c r="AY169" s="64">
        <f t="shared" si="41"/>
        <v>5.0970164280698791</v>
      </c>
      <c r="AZ169" s="64">
        <f t="shared" si="42"/>
        <v>-271.30875740913052</v>
      </c>
      <c r="BA169" s="64">
        <f t="shared" si="43"/>
        <v>-202.13326831912829</v>
      </c>
      <c r="BB169" s="65">
        <f t="shared" si="44"/>
        <v>4953.9745820906919</v>
      </c>
      <c r="BC169" s="65">
        <f t="shared" si="45"/>
        <v>45030.660156515994</v>
      </c>
      <c r="BD169" s="66">
        <f t="shared" si="46"/>
        <v>37348.987338264895</v>
      </c>
    </row>
    <row r="170" spans="31:56" x14ac:dyDescent="0.25">
      <c r="AE170" s="71">
        <v>108</v>
      </c>
      <c r="AF170" s="17">
        <v>0.4398229715025711</v>
      </c>
      <c r="AG170" s="18">
        <v>-13427.699899671024</v>
      </c>
      <c r="AH170" s="20">
        <v>13613.152555762865</v>
      </c>
      <c r="AN170" s="23">
        <v>165</v>
      </c>
      <c r="AO170" s="58">
        <v>82.5</v>
      </c>
      <c r="AP170" s="45">
        <f t="shared" si="47"/>
        <v>23460.28045936206</v>
      </c>
      <c r="AQ170" s="45">
        <f t="shared" si="48"/>
        <v>5956.8097952752232</v>
      </c>
      <c r="AR170" s="45">
        <f t="shared" si="49"/>
        <v>-2980.4037586228897</v>
      </c>
      <c r="AS170" s="45">
        <f t="shared" si="50"/>
        <v>-2714.4192583471445</v>
      </c>
      <c r="AT170" s="45">
        <f t="shared" si="36"/>
        <v>-1872.6434134334927</v>
      </c>
      <c r="AU170" s="45">
        <f t="shared" si="37"/>
        <v>447.73108461435277</v>
      </c>
      <c r="AV170" s="64">
        <f t="shared" si="38"/>
        <v>-1481.5875400617817</v>
      </c>
      <c r="AW170" s="64">
        <f t="shared" si="39"/>
        <v>660.74741805383496</v>
      </c>
      <c r="AX170" s="64">
        <f t="shared" si="40"/>
        <v>-90.354676113872827</v>
      </c>
      <c r="AY170" s="64">
        <f t="shared" si="41"/>
        <v>8.4058624922194713</v>
      </c>
      <c r="AZ170" s="64">
        <f t="shared" si="42"/>
        <v>-300.70119725783809</v>
      </c>
      <c r="BA170" s="64">
        <f t="shared" si="43"/>
        <v>-221.42219593170174</v>
      </c>
      <c r="BB170" s="65">
        <f t="shared" si="44"/>
        <v>3788.7962290681999</v>
      </c>
      <c r="BC170" s="65">
        <f t="shared" si="45"/>
        <v>43647.948000312572</v>
      </c>
      <c r="BD170" s="66">
        <f t="shared" si="46"/>
        <v>35343.67610508122</v>
      </c>
    </row>
    <row r="171" spans="31:56" x14ac:dyDescent="0.25">
      <c r="AE171" s="71">
        <v>109</v>
      </c>
      <c r="AF171" s="17">
        <v>0.50265482457436694</v>
      </c>
      <c r="AG171" s="18">
        <v>-13667.540558734887</v>
      </c>
      <c r="AH171" s="20">
        <v>14018.700962342475</v>
      </c>
      <c r="AN171" s="23">
        <v>166</v>
      </c>
      <c r="AO171" s="58">
        <v>83</v>
      </c>
      <c r="AP171" s="45">
        <f t="shared" si="47"/>
        <v>21501.917726692242</v>
      </c>
      <c r="AQ171" s="45">
        <f t="shared" si="48"/>
        <v>4711.5329372552387</v>
      </c>
      <c r="AR171" s="45">
        <f t="shared" si="49"/>
        <v>-3916.7254653396358</v>
      </c>
      <c r="AS171" s="45">
        <f t="shared" si="50"/>
        <v>-2490.5537160399681</v>
      </c>
      <c r="AT171" s="45">
        <f t="shared" si="36"/>
        <v>-1116.6500736818696</v>
      </c>
      <c r="AU171" s="45">
        <f t="shared" si="37"/>
        <v>1026.3055898961122</v>
      </c>
      <c r="AV171" s="64">
        <f t="shared" si="38"/>
        <v>-681.35016787043799</v>
      </c>
      <c r="AW171" s="64">
        <f t="shared" si="39"/>
        <v>1264.9977209381748</v>
      </c>
      <c r="AX171" s="64">
        <f t="shared" si="40"/>
        <v>-97.65121218877276</v>
      </c>
      <c r="AY171" s="64">
        <f t="shared" si="41"/>
        <v>12.443406174584606</v>
      </c>
      <c r="AZ171" s="64">
        <f t="shared" si="42"/>
        <v>-337.64869362265887</v>
      </c>
      <c r="BA171" s="64">
        <f t="shared" si="43"/>
        <v>-251.13553721664726</v>
      </c>
      <c r="BB171" s="65">
        <f t="shared" si="44"/>
        <v>3167.2236134767604</v>
      </c>
      <c r="BC171" s="65">
        <f t="shared" si="45"/>
        <v>41837.507799424042</v>
      </c>
      <c r="BD171" s="66">
        <f t="shared" si="46"/>
        <v>33028.717412713173</v>
      </c>
    </row>
    <row r="172" spans="31:56" x14ac:dyDescent="0.25">
      <c r="AE172" s="71">
        <v>110</v>
      </c>
      <c r="AF172" s="17">
        <v>0.56548667764616278</v>
      </c>
      <c r="AG172" s="18">
        <v>-13932.372542187895</v>
      </c>
      <c r="AH172" s="20">
        <v>14408.389392193549</v>
      </c>
      <c r="AN172" s="23">
        <v>167</v>
      </c>
      <c r="AO172" s="58">
        <v>83.5</v>
      </c>
      <c r="AP172" s="45">
        <f t="shared" si="47"/>
        <v>19264.392475601955</v>
      </c>
      <c r="AQ172" s="45">
        <f t="shared" si="48"/>
        <v>3722.8324767092827</v>
      </c>
      <c r="AR172" s="45">
        <f t="shared" si="49"/>
        <v>-4475.0505021805702</v>
      </c>
      <c r="AS172" s="45">
        <f t="shared" si="50"/>
        <v>-1977.4009210919121</v>
      </c>
      <c r="AT172" s="45">
        <f t="shared" si="36"/>
        <v>-173.22995685383711</v>
      </c>
      <c r="AU172" s="45">
        <f t="shared" si="37"/>
        <v>1332.2455219747169</v>
      </c>
      <c r="AV172" s="64">
        <f t="shared" si="38"/>
        <v>313.10205445095022</v>
      </c>
      <c r="AW172" s="64">
        <f t="shared" si="39"/>
        <v>1607.7036630579553</v>
      </c>
      <c r="AX172" s="64">
        <f t="shared" si="40"/>
        <v>-107.1450500952766</v>
      </c>
      <c r="AY172" s="64">
        <f t="shared" si="41"/>
        <v>17.12919483364848</v>
      </c>
      <c r="AZ172" s="64">
        <f t="shared" si="42"/>
        <v>-379.18696120951074</v>
      </c>
      <c r="BA172" s="64">
        <f t="shared" si="43"/>
        <v>-292.58733591688679</v>
      </c>
      <c r="BB172" s="65">
        <f t="shared" si="44"/>
        <v>3848.1310956038324</v>
      </c>
      <c r="BC172" s="65">
        <f t="shared" si="45"/>
        <v>39762.989683794694</v>
      </c>
      <c r="BD172" s="66">
        <f t="shared" si="46"/>
        <v>30648.086370293473</v>
      </c>
    </row>
    <row r="173" spans="31:56" x14ac:dyDescent="0.25">
      <c r="AE173" s="71">
        <v>111</v>
      </c>
      <c r="AF173" s="17">
        <v>0.62831853071795862</v>
      </c>
      <c r="AG173" s="18">
        <v>-14221.150679181581</v>
      </c>
      <c r="AH173" s="20">
        <v>14780.679923115173</v>
      </c>
      <c r="AN173" s="23">
        <v>168</v>
      </c>
      <c r="AO173" s="58">
        <v>84</v>
      </c>
      <c r="AP173" s="45">
        <f t="shared" si="47"/>
        <v>16983.559735298208</v>
      </c>
      <c r="AQ173" s="45">
        <f t="shared" si="48"/>
        <v>3067.1933966570059</v>
      </c>
      <c r="AR173" s="45">
        <f t="shared" si="49"/>
        <v>-4561.6654806074885</v>
      </c>
      <c r="AS173" s="45">
        <f t="shared" si="50"/>
        <v>-1311.2781601045535</v>
      </c>
      <c r="AT173" s="45">
        <f t="shared" si="36"/>
        <v>543.14530280026975</v>
      </c>
      <c r="AU173" s="45">
        <f t="shared" si="37"/>
        <v>1266.2063644437601</v>
      </c>
      <c r="AV173" s="64">
        <f t="shared" si="38"/>
        <v>1081.1330461535106</v>
      </c>
      <c r="AW173" s="64">
        <f t="shared" si="39"/>
        <v>1588.7779254781276</v>
      </c>
      <c r="AX173" s="64">
        <f t="shared" si="40"/>
        <v>-118.47121224710402</v>
      </c>
      <c r="AY173" s="64">
        <f t="shared" si="41"/>
        <v>22.208192192728884</v>
      </c>
      <c r="AZ173" s="64">
        <f t="shared" si="42"/>
        <v>-419.51653110613677</v>
      </c>
      <c r="BA173" s="64">
        <f t="shared" si="43"/>
        <v>-344.77975322709636</v>
      </c>
      <c r="BB173" s="65">
        <f t="shared" si="44"/>
        <v>5361.7801384573268</v>
      </c>
      <c r="BC173" s="65">
        <f t="shared" si="45"/>
        <v>37627.74904367423</v>
      </c>
      <c r="BD173" s="66">
        <f t="shared" si="46"/>
        <v>28455.23459519586</v>
      </c>
    </row>
    <row r="174" spans="31:56" x14ac:dyDescent="0.25">
      <c r="AE174" s="71">
        <v>112</v>
      </c>
      <c r="AF174" s="17">
        <v>0.69115038378975457</v>
      </c>
      <c r="AG174" s="18">
        <v>-14532.735294339414</v>
      </c>
      <c r="AH174" s="20">
        <v>15134.103294465165</v>
      </c>
      <c r="AN174" s="23">
        <v>169</v>
      </c>
      <c r="AO174" s="58">
        <v>84.5</v>
      </c>
      <c r="AP174" s="45">
        <f t="shared" si="47"/>
        <v>14838.513320694532</v>
      </c>
      <c r="AQ174" s="45">
        <f t="shared" si="48"/>
        <v>2728.1059077156692</v>
      </c>
      <c r="AR174" s="45">
        <f t="shared" si="49"/>
        <v>-4290.0928292073531</v>
      </c>
      <c r="AS174" s="45">
        <f t="shared" si="50"/>
        <v>-678.17497788267349</v>
      </c>
      <c r="AT174" s="45">
        <f t="shared" si="36"/>
        <v>896.26907258705387</v>
      </c>
      <c r="AU174" s="45">
        <f t="shared" si="37"/>
        <v>991.18679673294605</v>
      </c>
      <c r="AV174" s="64">
        <f t="shared" si="38"/>
        <v>1479.7746122354558</v>
      </c>
      <c r="AW174" s="64">
        <f t="shared" si="39"/>
        <v>1368.0802002939361</v>
      </c>
      <c r="AX174" s="64">
        <f t="shared" si="40"/>
        <v>-131.11891410216708</v>
      </c>
      <c r="AY174" s="64">
        <f t="shared" si="41"/>
        <v>27.368643663675059</v>
      </c>
      <c r="AZ174" s="64">
        <f t="shared" si="42"/>
        <v>-452.38662554623494</v>
      </c>
      <c r="BA174" s="64">
        <f t="shared" si="43"/>
        <v>-404.2620472246652</v>
      </c>
      <c r="BB174" s="65">
        <f t="shared" si="44"/>
        <v>7029.3611351691043</v>
      </c>
      <c r="BC174" s="65">
        <f t="shared" si="45"/>
        <v>35589.358719786032</v>
      </c>
      <c r="BD174" s="66">
        <f t="shared" si="46"/>
        <v>26605.494730422841</v>
      </c>
    </row>
    <row r="175" spans="31:56" x14ac:dyDescent="0.25">
      <c r="AE175" s="71">
        <v>113</v>
      </c>
      <c r="AF175" s="17">
        <v>0.75398223686155041</v>
      </c>
      <c r="AG175" s="18">
        <v>-14865.896705534837</v>
      </c>
      <c r="AH175" s="20">
        <v>15467.264705660586</v>
      </c>
      <c r="AN175" s="23">
        <v>170</v>
      </c>
      <c r="AO175" s="58">
        <v>85</v>
      </c>
      <c r="AP175" s="45">
        <f t="shared" si="47"/>
        <v>12917.53417423762</v>
      </c>
      <c r="AQ175" s="45">
        <f t="shared" si="48"/>
        <v>2636.8151179575689</v>
      </c>
      <c r="AR175" s="45">
        <f t="shared" si="49"/>
        <v>-3841.958292913826</v>
      </c>
      <c r="AS175" s="45">
        <f t="shared" si="50"/>
        <v>-182.58157951620046</v>
      </c>
      <c r="AT175" s="45">
        <f t="shared" si="36"/>
        <v>1000.1043780688669</v>
      </c>
      <c r="AU175" s="45">
        <f t="shared" si="37"/>
        <v>677.3702691230078</v>
      </c>
      <c r="AV175" s="64">
        <f t="shared" si="38"/>
        <v>1618.318091652767</v>
      </c>
      <c r="AW175" s="64">
        <f t="shared" si="39"/>
        <v>1111.2203392544179</v>
      </c>
      <c r="AX175" s="64">
        <f t="shared" si="40"/>
        <v>-144.59870668056166</v>
      </c>
      <c r="AY175" s="64">
        <f t="shared" si="41"/>
        <v>32.344677014916734</v>
      </c>
      <c r="AZ175" s="64">
        <f t="shared" si="42"/>
        <v>-473.61500690333827</v>
      </c>
      <c r="BA175" s="64">
        <f t="shared" si="43"/>
        <v>-466.19474714632673</v>
      </c>
      <c r="BB175" s="65">
        <f t="shared" si="44"/>
        <v>8591.3846014491774</v>
      </c>
      <c r="BC175" s="65">
        <f t="shared" si="45"/>
        <v>33731.002767768994</v>
      </c>
      <c r="BD175" s="66">
        <f t="shared" si="46"/>
        <v>25141.505093967418</v>
      </c>
    </row>
    <row r="176" spans="31:56" x14ac:dyDescent="0.25">
      <c r="AE176" s="71">
        <v>114</v>
      </c>
      <c r="AF176" s="17">
        <v>0.81681408993334625</v>
      </c>
      <c r="AG176" s="18">
        <v>-15219.320076884827</v>
      </c>
      <c r="AH176" s="20">
        <v>15778.849320818419</v>
      </c>
      <c r="AN176" s="23">
        <v>171</v>
      </c>
      <c r="AO176" s="58">
        <v>85.5</v>
      </c>
      <c r="AP176" s="45">
        <f t="shared" si="47"/>
        <v>11246.581122297925</v>
      </c>
      <c r="AQ176" s="45">
        <f t="shared" si="48"/>
        <v>2714.8668954802206</v>
      </c>
      <c r="AR176" s="45">
        <f t="shared" si="49"/>
        <v>-3341.9061038793925</v>
      </c>
      <c r="AS176" s="45">
        <f t="shared" si="50"/>
        <v>156.10355504530344</v>
      </c>
      <c r="AT176" s="45">
        <f t="shared" si="36"/>
        <v>985.72758192319066</v>
      </c>
      <c r="AU176" s="45">
        <f t="shared" si="37"/>
        <v>400.29611925104678</v>
      </c>
      <c r="AV176" s="64">
        <f t="shared" si="38"/>
        <v>1626.2870319138954</v>
      </c>
      <c r="AW176" s="64">
        <f t="shared" si="39"/>
        <v>889.02405135504114</v>
      </c>
      <c r="AX176" s="64">
        <f t="shared" si="40"/>
        <v>-158.45725990759504</v>
      </c>
      <c r="AY176" s="64">
        <f t="shared" si="41"/>
        <v>36.944273208198602</v>
      </c>
      <c r="AZ176" s="64">
        <f t="shared" si="42"/>
        <v>-482.10219008310975</v>
      </c>
      <c r="BA176" s="64">
        <f t="shared" si="43"/>
        <v>-525.672205312193</v>
      </c>
      <c r="BB176" s="65">
        <f t="shared" si="44"/>
        <v>9975.9631553290219</v>
      </c>
      <c r="BC176" s="65">
        <f t="shared" si="45"/>
        <v>32084.606841644716</v>
      </c>
      <c r="BD176" s="66">
        <f t="shared" si="46"/>
        <v>24036.803183617998</v>
      </c>
    </row>
    <row r="177" spans="31:56" x14ac:dyDescent="0.25">
      <c r="AE177" s="71">
        <v>115</v>
      </c>
      <c r="AF177" s="17">
        <v>0.87964594300514221</v>
      </c>
      <c r="AG177" s="18">
        <v>-15591.610607806451</v>
      </c>
      <c r="AH177" s="20">
        <v>16067.627457812105</v>
      </c>
      <c r="AN177" s="23">
        <v>172</v>
      </c>
      <c r="AO177" s="58">
        <v>86</v>
      </c>
      <c r="AP177" s="45">
        <f t="shared" si="47"/>
        <v>9822.0599658390256</v>
      </c>
      <c r="AQ177" s="45">
        <f t="shared" si="48"/>
        <v>2892.9927028156339</v>
      </c>
      <c r="AR177" s="45">
        <f t="shared" si="49"/>
        <v>-2849.0423129177971</v>
      </c>
      <c r="AS177" s="45">
        <f t="shared" si="50"/>
        <v>356.25161467082683</v>
      </c>
      <c r="AT177" s="45">
        <f t="shared" si="36"/>
        <v>929.22423124819807</v>
      </c>
      <c r="AU177" s="45">
        <f t="shared" si="37"/>
        <v>177.81752171660025</v>
      </c>
      <c r="AV177" s="64">
        <f t="shared" si="38"/>
        <v>1580.9591276193451</v>
      </c>
      <c r="AW177" s="64">
        <f t="shared" si="39"/>
        <v>715.61536156102636</v>
      </c>
      <c r="AX177" s="64">
        <f t="shared" si="40"/>
        <v>-172.23642237970449</v>
      </c>
      <c r="AY177" s="64">
        <f t="shared" si="41"/>
        <v>41.046309748410081</v>
      </c>
      <c r="AZ177" s="64">
        <f t="shared" si="42"/>
        <v>-479.49847399144249</v>
      </c>
      <c r="BA177" s="64">
        <f t="shared" si="43"/>
        <v>-578.84414959283617</v>
      </c>
      <c r="BB177" s="65">
        <f t="shared" si="44"/>
        <v>11172.062458440101</v>
      </c>
      <c r="BC177" s="65">
        <f t="shared" si="45"/>
        <v>30657.214702714446</v>
      </c>
      <c r="BD177" s="66">
        <f t="shared" si="46"/>
        <v>23234.729382842863</v>
      </c>
    </row>
    <row r="178" spans="31:56" x14ac:dyDescent="0.25">
      <c r="AE178" s="71">
        <v>116</v>
      </c>
      <c r="AF178" s="17">
        <v>0.94247779607693805</v>
      </c>
      <c r="AG178" s="18">
        <v>-15981.299037657525</v>
      </c>
      <c r="AH178" s="20">
        <v>16332.459441265113</v>
      </c>
      <c r="AN178" s="23">
        <v>173</v>
      </c>
      <c r="AO178" s="58">
        <v>86.5</v>
      </c>
      <c r="AP178" s="45">
        <f t="shared" si="47"/>
        <v>8629.844867192176</v>
      </c>
      <c r="AQ178" s="45">
        <f t="shared" si="48"/>
        <v>3115.5728905801975</v>
      </c>
      <c r="AR178" s="45">
        <f t="shared" si="49"/>
        <v>-2384.4301972936983</v>
      </c>
      <c r="AS178" s="45">
        <f t="shared" si="50"/>
        <v>445.16037552912695</v>
      </c>
      <c r="AT178" s="45">
        <f t="shared" si="36"/>
        <v>865.14918844857607</v>
      </c>
      <c r="AU178" s="45">
        <f t="shared" si="37"/>
        <v>7.0872379746937213</v>
      </c>
      <c r="AV178" s="64">
        <f t="shared" si="38"/>
        <v>1519.7281570481962</v>
      </c>
      <c r="AW178" s="64">
        <f t="shared" si="39"/>
        <v>586.01991379032904</v>
      </c>
      <c r="AX178" s="64">
        <f t="shared" si="40"/>
        <v>-185.44856290726474</v>
      </c>
      <c r="AY178" s="64">
        <f t="shared" si="41"/>
        <v>44.593574285997448</v>
      </c>
      <c r="AZ178" s="64">
        <f t="shared" si="42"/>
        <v>-469.13040569235545</v>
      </c>
      <c r="BA178" s="64">
        <f t="shared" si="43"/>
        <v>-623.52625010163274</v>
      </c>
      <c r="BB178" s="65">
        <f t="shared" si="44"/>
        <v>12186.206498411693</v>
      </c>
      <c r="BC178" s="65">
        <f t="shared" si="45"/>
        <v>29445.939512000707</v>
      </c>
      <c r="BD178" s="66">
        <f t="shared" si="46"/>
        <v>22670.39153295878</v>
      </c>
    </row>
    <row r="179" spans="31:56" x14ac:dyDescent="0.25">
      <c r="AE179" s="71">
        <v>117</v>
      </c>
      <c r="AF179" s="17">
        <v>1.0053096491487339</v>
      </c>
      <c r="AG179" s="18">
        <v>-16386.847444237137</v>
      </c>
      <c r="AH179" s="20">
        <v>16572.300100328976</v>
      </c>
      <c r="AN179" s="23">
        <v>174</v>
      </c>
      <c r="AO179" s="58">
        <v>87</v>
      </c>
      <c r="AP179" s="45">
        <f t="shared" si="47"/>
        <v>7653.9170656574706</v>
      </c>
      <c r="AQ179" s="45">
        <f t="shared" si="48"/>
        <v>3339.9248878384346</v>
      </c>
      <c r="AR179" s="45">
        <f t="shared" si="49"/>
        <v>-1951.8556030694103</v>
      </c>
      <c r="AS179" s="45">
        <f t="shared" si="50"/>
        <v>448.70399451647381</v>
      </c>
      <c r="AT179" s="45">
        <f t="shared" si="36"/>
        <v>806.85070850072509</v>
      </c>
      <c r="AU179" s="45">
        <f t="shared" si="37"/>
        <v>-119.90081045295449</v>
      </c>
      <c r="AV179" s="64">
        <f t="shared" si="38"/>
        <v>1459.248080025784</v>
      </c>
      <c r="AW179" s="64">
        <f t="shared" si="39"/>
        <v>491.7010239173556</v>
      </c>
      <c r="AX179" s="64">
        <f t="shared" si="40"/>
        <v>-197.5812767313061</v>
      </c>
      <c r="AY179" s="64">
        <f t="shared" si="41"/>
        <v>47.584801121048457</v>
      </c>
      <c r="AZ179" s="64">
        <f t="shared" si="42"/>
        <v>-454.81609479375277</v>
      </c>
      <c r="BA179" s="64">
        <f t="shared" si="43"/>
        <v>-659.18663549135852</v>
      </c>
      <c r="BB179" s="65">
        <f t="shared" si="44"/>
        <v>13028.122994525722</v>
      </c>
      <c r="BC179" s="65">
        <f t="shared" si="45"/>
        <v>28444.608093167597</v>
      </c>
      <c r="BD179" s="66">
        <f t="shared" si="46"/>
        <v>22281.706891441081</v>
      </c>
    </row>
    <row r="180" spans="31:56" x14ac:dyDescent="0.25">
      <c r="AE180" s="71">
        <v>118</v>
      </c>
      <c r="AF180" s="17">
        <v>1.0681415022205298</v>
      </c>
      <c r="AG180" s="18">
        <v>-16806.655313261956</v>
      </c>
      <c r="AH180" s="20">
        <v>16786.202893495145</v>
      </c>
      <c r="AN180" s="23">
        <v>175</v>
      </c>
      <c r="AO180" s="58">
        <v>87.5</v>
      </c>
      <c r="AP180" s="45">
        <f t="shared" si="47"/>
        <v>6879.7019412479467</v>
      </c>
      <c r="AQ180" s="45">
        <f t="shared" si="48"/>
        <v>3534.3016824834326</v>
      </c>
      <c r="AR180" s="45">
        <f t="shared" si="49"/>
        <v>-1548.4302488190478</v>
      </c>
      <c r="AS180" s="45">
        <f t="shared" si="50"/>
        <v>388.75358928999657</v>
      </c>
      <c r="AT180" s="45">
        <f t="shared" si="36"/>
        <v>758.39899796934367</v>
      </c>
      <c r="AU180" s="45">
        <f t="shared" si="37"/>
        <v>-211.29221143894341</v>
      </c>
      <c r="AV180" s="64">
        <f t="shared" si="38"/>
        <v>1406.5332730058451</v>
      </c>
      <c r="AW180" s="64">
        <f t="shared" si="39"/>
        <v>425.1341401935266</v>
      </c>
      <c r="AX180" s="64">
        <f t="shared" si="40"/>
        <v>-208.12397147379716</v>
      </c>
      <c r="AY180" s="64">
        <f t="shared" si="41"/>
        <v>50.062564500688104</v>
      </c>
      <c r="AZ180" s="64">
        <f t="shared" si="42"/>
        <v>-440.01030356270428</v>
      </c>
      <c r="BA180" s="64">
        <f t="shared" si="43"/>
        <v>-686.48891613315811</v>
      </c>
      <c r="BB180" s="65">
        <f t="shared" si="44"/>
        <v>13706.530716999348</v>
      </c>
      <c r="BC180" s="65">
        <f t="shared" si="45"/>
        <v>27646.403584977652</v>
      </c>
      <c r="BD180" s="66">
        <f t="shared" si="46"/>
        <v>22014.714557999578</v>
      </c>
    </row>
    <row r="181" spans="31:56" x14ac:dyDescent="0.25">
      <c r="AE181" s="71">
        <v>119</v>
      </c>
      <c r="AF181" s="17">
        <v>1.1309733552923256</v>
      </c>
      <c r="AG181" s="18">
        <v>-17239.065854864915</v>
      </c>
      <c r="AH181" s="20">
        <v>16973.323644161886</v>
      </c>
      <c r="AN181" s="23">
        <v>176</v>
      </c>
      <c r="AO181" s="58">
        <v>88</v>
      </c>
      <c r="AP181" s="45">
        <f t="shared" si="47"/>
        <v>6295.0865663307586</v>
      </c>
      <c r="AQ181" s="45">
        <f t="shared" si="48"/>
        <v>3675.8554242686951</v>
      </c>
      <c r="AR181" s="45">
        <f t="shared" si="49"/>
        <v>-1169.230749834376</v>
      </c>
      <c r="AS181" s="45">
        <f t="shared" si="50"/>
        <v>283.10748357052489</v>
      </c>
      <c r="AT181" s="45">
        <f t="shared" si="36"/>
        <v>720.24946850020319</v>
      </c>
      <c r="AU181" s="45">
        <f t="shared" si="37"/>
        <v>-273.92241846420831</v>
      </c>
      <c r="AV181" s="64">
        <f t="shared" si="38"/>
        <v>1364.2603669105501</v>
      </c>
      <c r="AW181" s="64">
        <f t="shared" si="39"/>
        <v>380.67579976018783</v>
      </c>
      <c r="AX181" s="64">
        <f t="shared" si="40"/>
        <v>-216.60547706074195</v>
      </c>
      <c r="AY181" s="64">
        <f t="shared" si="41"/>
        <v>52.095069144263029</v>
      </c>
      <c r="AZ181" s="64">
        <f t="shared" si="42"/>
        <v>-427.40542134960486</v>
      </c>
      <c r="BA181" s="64">
        <f t="shared" si="43"/>
        <v>-706.69328736865918</v>
      </c>
      <c r="BB181" s="65">
        <f t="shared" si="44"/>
        <v>14228.44805171888</v>
      </c>
      <c r="BC181" s="65">
        <f t="shared" si="45"/>
        <v>27044.895676367105</v>
      </c>
      <c r="BD181" s="66">
        <f t="shared" si="46"/>
        <v>21825.823154444646</v>
      </c>
    </row>
    <row r="182" spans="31:56" x14ac:dyDescent="0.25">
      <c r="AE182" s="71">
        <v>120</v>
      </c>
      <c r="AF182" s="17">
        <v>1.1938052083641215</v>
      </c>
      <c r="AG182" s="18">
        <v>-17682.372542187895</v>
      </c>
      <c r="AH182" s="20">
        <v>17132.923872213651</v>
      </c>
      <c r="AN182" s="23">
        <v>177</v>
      </c>
      <c r="AO182" s="58">
        <v>88.5</v>
      </c>
      <c r="AP182" s="45">
        <f t="shared" si="47"/>
        <v>5890.533558538621</v>
      </c>
      <c r="AQ182" s="45">
        <f t="shared" si="48"/>
        <v>3748.9285614379055</v>
      </c>
      <c r="AR182" s="45">
        <f t="shared" si="49"/>
        <v>-809.10601558427436</v>
      </c>
      <c r="AS182" s="45">
        <f t="shared" si="50"/>
        <v>146.14627433842074</v>
      </c>
      <c r="AT182" s="45">
        <f t="shared" si="36"/>
        <v>691.65526367482676</v>
      </c>
      <c r="AU182" s="45">
        <f t="shared" si="37"/>
        <v>-312.95561554039728</v>
      </c>
      <c r="AV182" s="64">
        <f t="shared" si="38"/>
        <v>1333.1702787812901</v>
      </c>
      <c r="AW182" s="64">
        <f t="shared" si="39"/>
        <v>354.42991244383336</v>
      </c>
      <c r="AX182" s="64">
        <f t="shared" si="40"/>
        <v>-222.63324526241357</v>
      </c>
      <c r="AY182" s="64">
        <f t="shared" si="41"/>
        <v>53.753095415651856</v>
      </c>
      <c r="AZ182" s="64">
        <f t="shared" si="42"/>
        <v>-418.88176984404976</v>
      </c>
      <c r="BA182" s="64">
        <f t="shared" si="43"/>
        <v>-721.13862339988248</v>
      </c>
      <c r="BB182" s="65">
        <f t="shared" si="44"/>
        <v>14599.57465818512</v>
      </c>
      <c r="BC182" s="65">
        <f t="shared" si="45"/>
        <v>26634.481824804127</v>
      </c>
      <c r="BD182" s="66">
        <f t="shared" si="46"/>
        <v>21682.390167865669</v>
      </c>
    </row>
    <row r="183" spans="31:56" x14ac:dyDescent="0.25">
      <c r="AE183" s="71">
        <v>121</v>
      </c>
      <c r="AF183" s="17">
        <v>1.2566370614359172</v>
      </c>
      <c r="AG183" s="18">
        <v>-18134.825846263589</v>
      </c>
      <c r="AH183" s="20">
        <v>17264.373708464733</v>
      </c>
      <c r="AN183" s="23">
        <v>178</v>
      </c>
      <c r="AO183" s="58">
        <v>89</v>
      </c>
      <c r="AP183" s="45">
        <f t="shared" si="47"/>
        <v>5658.8943666651903</v>
      </c>
      <c r="AQ183" s="45">
        <f t="shared" si="48"/>
        <v>3743.7627947220167</v>
      </c>
      <c r="AR183" s="45">
        <f t="shared" si="49"/>
        <v>-463.27838374686098</v>
      </c>
      <c r="AS183" s="45">
        <f t="shared" si="50"/>
        <v>-10.331533431777899</v>
      </c>
      <c r="AT183" s="45">
        <f t="shared" si="36"/>
        <v>671.58331557636984</v>
      </c>
      <c r="AU183" s="45">
        <f t="shared" si="37"/>
        <v>-331.86302063758114</v>
      </c>
      <c r="AV183" s="64">
        <f t="shared" si="38"/>
        <v>1313.1404441310615</v>
      </c>
      <c r="AW183" s="64">
        <f t="shared" si="39"/>
        <v>343.93910191521098</v>
      </c>
      <c r="AX183" s="64">
        <f t="shared" si="40"/>
        <v>-225.92748354067663</v>
      </c>
      <c r="AY183" s="64">
        <f t="shared" si="41"/>
        <v>55.086392578875284</v>
      </c>
      <c r="AZ183" s="64">
        <f t="shared" si="42"/>
        <v>-415.62964501401513</v>
      </c>
      <c r="BA183" s="64">
        <f t="shared" si="43"/>
        <v>-730.88851513166742</v>
      </c>
      <c r="BB183" s="65">
        <f t="shared" si="44"/>
        <v>14824.865217895978</v>
      </c>
      <c r="BC183" s="65">
        <f t="shared" si="45"/>
        <v>26410.59189204943</v>
      </c>
      <c r="BD183" s="66">
        <f t="shared" si="46"/>
        <v>21562.482993025926</v>
      </c>
    </row>
    <row r="184" spans="31:56" x14ac:dyDescent="0.25">
      <c r="AE184" s="71">
        <v>122</v>
      </c>
      <c r="AF184" s="17">
        <v>1.3194689145077132</v>
      </c>
      <c r="AG184" s="18">
        <v>-18594.640140607065</v>
      </c>
      <c r="AH184" s="20">
        <v>17367.154380465166</v>
      </c>
      <c r="AN184" s="23">
        <v>179</v>
      </c>
      <c r="AO184" s="58">
        <v>89.5</v>
      </c>
      <c r="AP184" s="45">
        <f t="shared" si="47"/>
        <v>5595.1510036858517</v>
      </c>
      <c r="AQ184" s="45">
        <f t="shared" si="48"/>
        <v>3655.6312728467324</v>
      </c>
      <c r="AR184" s="45">
        <f t="shared" si="49"/>
        <v>-127.48672595867606</v>
      </c>
      <c r="AS184" s="45">
        <f t="shared" si="50"/>
        <v>-176.26304375056847</v>
      </c>
      <c r="AT184" s="45">
        <f t="shared" si="36"/>
        <v>659.00065871054517</v>
      </c>
      <c r="AU184" s="45">
        <f t="shared" si="37"/>
        <v>-332.50580643845228</v>
      </c>
      <c r="AV184" s="64">
        <f t="shared" si="38"/>
        <v>1303.645871071582</v>
      </c>
      <c r="AW184" s="64">
        <f t="shared" si="39"/>
        <v>347.91724781790089</v>
      </c>
      <c r="AX184" s="64">
        <f t="shared" si="40"/>
        <v>-226.34633870541205</v>
      </c>
      <c r="AY184" s="64">
        <f t="shared" si="41"/>
        <v>56.105339350467652</v>
      </c>
      <c r="AZ184" s="64">
        <f t="shared" si="42"/>
        <v>-418.29887365562473</v>
      </c>
      <c r="BA184" s="64">
        <f t="shared" si="43"/>
        <v>-736.52839360682083</v>
      </c>
      <c r="BB184" s="65">
        <f t="shared" si="44"/>
        <v>14909.018932073523</v>
      </c>
      <c r="BC184" s="65">
        <f t="shared" si="45"/>
        <v>26369.732070075366</v>
      </c>
      <c r="BD184" s="66">
        <f t="shared" si="46"/>
        <v>21454.365592562328</v>
      </c>
    </row>
    <row r="185" spans="31:56" x14ac:dyDescent="0.25">
      <c r="AE185" s="71">
        <v>123</v>
      </c>
      <c r="AF185" s="17">
        <v>1.3823007675795091</v>
      </c>
      <c r="AG185" s="18">
        <v>-19060.000748267717</v>
      </c>
      <c r="AH185" s="20">
        <v>17440.860259858586</v>
      </c>
      <c r="AN185" s="23">
        <v>180</v>
      </c>
      <c r="AO185" s="58">
        <v>90</v>
      </c>
      <c r="AP185" s="45">
        <f t="shared" si="47"/>
        <v>5696.1578053841504</v>
      </c>
      <c r="AQ185" s="45">
        <f t="shared" si="48"/>
        <v>3484.3732993618351</v>
      </c>
      <c r="AR185" s="45">
        <f t="shared" si="49"/>
        <v>202.01360339659652</v>
      </c>
      <c r="AS185" s="45">
        <f t="shared" si="50"/>
        <v>-342.51594696979464</v>
      </c>
      <c r="AT185" s="45">
        <f t="shared" si="36"/>
        <v>652.9311471438607</v>
      </c>
      <c r="AU185" s="45">
        <f t="shared" si="37"/>
        <v>-315.23693310400495</v>
      </c>
      <c r="AV185" s="64">
        <f t="shared" si="38"/>
        <v>1303.9225262526704</v>
      </c>
      <c r="AW185" s="64">
        <f t="shared" si="39"/>
        <v>366.06011453025644</v>
      </c>
      <c r="AX185" s="64">
        <f t="shared" si="40"/>
        <v>-223.90011460135278</v>
      </c>
      <c r="AY185" s="64">
        <f t="shared" si="41"/>
        <v>56.773062183905353</v>
      </c>
      <c r="AZ185" s="64">
        <f t="shared" si="42"/>
        <v>-427.09126450745708</v>
      </c>
      <c r="BA185" s="64">
        <f t="shared" si="43"/>
        <v>-738.07010981816677</v>
      </c>
      <c r="BB185" s="65">
        <f t="shared" si="44"/>
        <v>14856.821979392191</v>
      </c>
      <c r="BC185" s="65">
        <f t="shared" si="45"/>
        <v>26509.355278114061</v>
      </c>
      <c r="BD185" s="66">
        <f t="shared" si="46"/>
        <v>21356.026036410451</v>
      </c>
    </row>
    <row r="186" spans="31:56" x14ac:dyDescent="0.25">
      <c r="AE186" s="71">
        <v>124</v>
      </c>
      <c r="AF186" s="17">
        <v>1.4451326206513049</v>
      </c>
      <c r="AG186" s="18">
        <v>-19529.07110353015</v>
      </c>
      <c r="AH186" s="20">
        <v>17485.200463212037</v>
      </c>
      <c r="AN186" s="23">
        <v>181</v>
      </c>
      <c r="AO186" s="58">
        <v>90.5</v>
      </c>
      <c r="AP186" s="45">
        <f t="shared" si="47"/>
        <v>5960.3973938684139</v>
      </c>
      <c r="AQ186" s="45">
        <f t="shared" si="48"/>
        <v>3234.3060926009366</v>
      </c>
      <c r="AR186" s="45">
        <f t="shared" si="49"/>
        <v>528.47917696852687</v>
      </c>
      <c r="AS186" s="45">
        <f t="shared" si="50"/>
        <v>-500.13441352179711</v>
      </c>
      <c r="AT186" s="45">
        <f t="shared" si="36"/>
        <v>652.45562276154453</v>
      </c>
      <c r="AU186" s="45">
        <f t="shared" si="37"/>
        <v>-278.99962649331439</v>
      </c>
      <c r="AV186" s="64">
        <f t="shared" si="38"/>
        <v>1312.9671927733325</v>
      </c>
      <c r="AW186" s="64">
        <f t="shared" si="39"/>
        <v>398.92269830928313</v>
      </c>
      <c r="AX186" s="64">
        <f t="shared" si="40"/>
        <v>-218.75323290334805</v>
      </c>
      <c r="AY186" s="64">
        <f t="shared" si="41"/>
        <v>57.010583953063659</v>
      </c>
      <c r="AZ186" s="64">
        <f t="shared" si="42"/>
        <v>-441.75833710843983</v>
      </c>
      <c r="BA186" s="64">
        <f t="shared" si="43"/>
        <v>-734.93290875566117</v>
      </c>
      <c r="BB186" s="65">
        <f t="shared" si="44"/>
        <v>14673.32906499811</v>
      </c>
      <c r="BC186" s="65">
        <f t="shared" si="45"/>
        <v>26827.538964582396</v>
      </c>
      <c r="BD186" s="66">
        <f t="shared" si="46"/>
        <v>21274.873200801481</v>
      </c>
    </row>
    <row r="187" spans="31:56" x14ac:dyDescent="0.25">
      <c r="AE187" s="71">
        <v>125</v>
      </c>
      <c r="AF187" s="17">
        <v>1.5079644737231008</v>
      </c>
      <c r="AG187" s="18">
        <v>-20000</v>
      </c>
      <c r="AH187" s="20">
        <v>17500</v>
      </c>
      <c r="AN187" s="23">
        <v>182</v>
      </c>
      <c r="AO187" s="58">
        <v>91</v>
      </c>
      <c r="AP187" s="45">
        <f t="shared" si="47"/>
        <v>6387.7508880430632</v>
      </c>
      <c r="AQ187" s="45">
        <f t="shared" si="48"/>
        <v>2914.4889792167096</v>
      </c>
      <c r="AR187" s="45">
        <f t="shared" si="49"/>
        <v>854.70698834929908</v>
      </c>
      <c r="AS187" s="45">
        <f t="shared" si="50"/>
        <v>-639.63422676845425</v>
      </c>
      <c r="AT187" s="45">
        <f t="shared" si="36"/>
        <v>656.71676005610379</v>
      </c>
      <c r="AU187" s="45">
        <f t="shared" si="37"/>
        <v>-221.44711662159233</v>
      </c>
      <c r="AV187" s="64">
        <f t="shared" si="38"/>
        <v>1329.4284734418563</v>
      </c>
      <c r="AW187" s="64">
        <f t="shared" si="39"/>
        <v>447.83994666656105</v>
      </c>
      <c r="AX187" s="64">
        <f t="shared" si="40"/>
        <v>-211.2127901007845</v>
      </c>
      <c r="AY187" s="64">
        <f t="shared" si="41"/>
        <v>56.713835079730885</v>
      </c>
      <c r="AZ187" s="64">
        <f t="shared" si="42"/>
        <v>-461.49892328496793</v>
      </c>
      <c r="BA187" s="64">
        <f t="shared" si="43"/>
        <v>-726.00089836788425</v>
      </c>
      <c r="BB187" s="65">
        <f t="shared" si="44"/>
        <v>14363.851753888906</v>
      </c>
      <c r="BC187" s="65">
        <f t="shared" si="45"/>
        <v>27322.479085087773</v>
      </c>
      <c r="BD187" s="66">
        <f t="shared" si="46"/>
        <v>21227.571356012504</v>
      </c>
    </row>
    <row r="188" spans="31:56" x14ac:dyDescent="0.25">
      <c r="AE188" s="71">
        <v>126</v>
      </c>
      <c r="AF188" s="17">
        <v>1.5707963267948968</v>
      </c>
      <c r="AG188" s="18">
        <v>-20470.92889646985</v>
      </c>
      <c r="AH188" s="20">
        <v>17485.200463212037</v>
      </c>
      <c r="AN188" s="23">
        <v>183</v>
      </c>
      <c r="AO188" s="58">
        <v>91.5</v>
      </c>
      <c r="AP188" s="45">
        <f t="shared" si="47"/>
        <v>6979.2835722317386</v>
      </c>
      <c r="AQ188" s="45">
        <f t="shared" si="48"/>
        <v>2539.3100866770847</v>
      </c>
      <c r="AR188" s="45">
        <f t="shared" si="49"/>
        <v>1183.065368377351</v>
      </c>
      <c r="AS188" s="45">
        <f t="shared" si="50"/>
        <v>-750.35778507925045</v>
      </c>
      <c r="AT188" s="45">
        <f t="shared" si="36"/>
        <v>664.91931506696301</v>
      </c>
      <c r="AU188" s="45">
        <f t="shared" si="37"/>
        <v>-139.14676895081379</v>
      </c>
      <c r="AV188" s="64">
        <f t="shared" si="38"/>
        <v>1351.4057393830028</v>
      </c>
      <c r="AW188" s="64">
        <f t="shared" si="39"/>
        <v>514.86451282105077</v>
      </c>
      <c r="AX188" s="64">
        <f t="shared" si="40"/>
        <v>-201.70313443496264</v>
      </c>
      <c r="AY188" s="64">
        <f t="shared" si="41"/>
        <v>55.777779885652464</v>
      </c>
      <c r="AZ188" s="64">
        <f t="shared" si="42"/>
        <v>-484.78328988107705</v>
      </c>
      <c r="BA188" s="64">
        <f t="shared" si="43"/>
        <v>-709.78906165751698</v>
      </c>
      <c r="BB188" s="65">
        <f t="shared" si="44"/>
        <v>13933.682237962008</v>
      </c>
      <c r="BC188" s="65">
        <f t="shared" si="45"/>
        <v>27991.849457541237</v>
      </c>
      <c r="BD188" s="66">
        <f t="shared" si="46"/>
        <v>21239.835997967442</v>
      </c>
    </row>
    <row r="189" spans="31:56" x14ac:dyDescent="0.25">
      <c r="AE189" s="71">
        <v>127</v>
      </c>
      <c r="AF189" s="17">
        <v>1.6336281798666925</v>
      </c>
      <c r="AG189" s="18">
        <v>-20939.999251732283</v>
      </c>
      <c r="AH189" s="20">
        <v>17440.860259858582</v>
      </c>
      <c r="AN189" s="23">
        <v>184</v>
      </c>
      <c r="AO189" s="58">
        <v>92</v>
      </c>
      <c r="AP189" s="45">
        <f t="shared" si="47"/>
        <v>7737.0460851871549</v>
      </c>
      <c r="AQ189" s="45">
        <f t="shared" si="48"/>
        <v>2129.3445018997559</v>
      </c>
      <c r="AR189" s="45">
        <f t="shared" si="49"/>
        <v>1515.5250259108325</v>
      </c>
      <c r="AS189" s="45">
        <f t="shared" si="50"/>
        <v>-819.93116955465734</v>
      </c>
      <c r="AT189" s="45">
        <f t="shared" si="36"/>
        <v>676.24139866435917</v>
      </c>
      <c r="AU189" s="45">
        <f t="shared" si="37"/>
        <v>-27.949586449959156</v>
      </c>
      <c r="AV189" s="64">
        <f t="shared" si="38"/>
        <v>1376.1464388737677</v>
      </c>
      <c r="AW189" s="64">
        <f t="shared" si="39"/>
        <v>602.69397483430635</v>
      </c>
      <c r="AX189" s="64">
        <f t="shared" si="40"/>
        <v>-190.72762450607939</v>
      </c>
      <c r="AY189" s="64">
        <f t="shared" si="41"/>
        <v>54.120810912884345</v>
      </c>
      <c r="AZ189" s="64">
        <f t="shared" si="42"/>
        <v>-509.17741570332913</v>
      </c>
      <c r="BA189" s="64">
        <f t="shared" si="43"/>
        <v>-684.7643721971499</v>
      </c>
      <c r="BB189" s="65">
        <f t="shared" si="44"/>
        <v>13387.456038997778</v>
      </c>
      <c r="BC189" s="65">
        <f t="shared" si="45"/>
        <v>28832.116528301762</v>
      </c>
      <c r="BD189" s="66">
        <f t="shared" si="46"/>
        <v>21345.884522336964</v>
      </c>
    </row>
    <row r="190" spans="31:56" x14ac:dyDescent="0.25">
      <c r="AE190" s="71">
        <v>128</v>
      </c>
      <c r="AF190" s="17">
        <v>1.6964600329384885</v>
      </c>
      <c r="AG190" s="18">
        <v>-21405.359859392935</v>
      </c>
      <c r="AH190" s="20">
        <v>17367.154380465166</v>
      </c>
      <c r="AN190" s="23">
        <v>185</v>
      </c>
      <c r="AO190" s="58">
        <v>92.5</v>
      </c>
      <c r="AP190" s="45">
        <f t="shared" si="47"/>
        <v>8663.8689478086617</v>
      </c>
      <c r="AQ190" s="45">
        <f t="shared" si="48"/>
        <v>1712.3915205099372</v>
      </c>
      <c r="AR190" s="45">
        <f t="shared" si="49"/>
        <v>1853.6457252430121</v>
      </c>
      <c r="AS190" s="45">
        <f t="shared" si="50"/>
        <v>-833.90596277963687</v>
      </c>
      <c r="AT190" s="45">
        <f t="shared" si="36"/>
        <v>689.46663514757074</v>
      </c>
      <c r="AU190" s="45">
        <f t="shared" si="37"/>
        <v>116.41706278333788</v>
      </c>
      <c r="AV190" s="64">
        <f t="shared" si="38"/>
        <v>1399.5902346926923</v>
      </c>
      <c r="AW190" s="64">
        <f t="shared" si="39"/>
        <v>714.55422249666753</v>
      </c>
      <c r="AX190" s="64">
        <f t="shared" si="40"/>
        <v>-178.82152494599399</v>
      </c>
      <c r="AY190" s="64">
        <f t="shared" si="41"/>
        <v>51.702817549026712</v>
      </c>
      <c r="AZ190" s="64">
        <f t="shared" si="42"/>
        <v>-531.30207459912754</v>
      </c>
      <c r="BA190" s="64">
        <f t="shared" si="43"/>
        <v>-649.83997726235634</v>
      </c>
      <c r="BB190" s="65">
        <f t="shared" si="44"/>
        <v>12728.090160912672</v>
      </c>
      <c r="BC190" s="65">
        <f t="shared" si="45"/>
        <v>29837.926157266109</v>
      </c>
      <c r="BD190" s="66">
        <f t="shared" si="46"/>
        <v>21587.156944760052</v>
      </c>
    </row>
    <row r="191" spans="31:56" x14ac:dyDescent="0.25">
      <c r="AE191" s="71">
        <v>129</v>
      </c>
      <c r="AF191" s="17">
        <v>1.7592918860102844</v>
      </c>
      <c r="AG191" s="18">
        <v>-21865.174153736411</v>
      </c>
      <c r="AH191" s="20">
        <v>17264.373708464733</v>
      </c>
      <c r="AN191" s="23">
        <v>186</v>
      </c>
      <c r="AO191" s="58">
        <v>93</v>
      </c>
      <c r="AP191" s="45">
        <f t="shared" si="47"/>
        <v>9763.0584692170596</v>
      </c>
      <c r="AQ191" s="45">
        <f t="shared" si="48"/>
        <v>1324.5428048159533</v>
      </c>
      <c r="AR191" s="45">
        <f t="shared" si="49"/>
        <v>2198.3790428167977</v>
      </c>
      <c r="AS191" s="45">
        <f t="shared" si="50"/>
        <v>-775.69743138796798</v>
      </c>
      <c r="AT191" s="45">
        <f t="shared" si="36"/>
        <v>702.00778572489753</v>
      </c>
      <c r="AU191" s="45">
        <f t="shared" si="37"/>
        <v>297.53656336022129</v>
      </c>
      <c r="AV191" s="64">
        <f t="shared" si="38"/>
        <v>1415.6105328420772</v>
      </c>
      <c r="AW191" s="64">
        <f t="shared" si="39"/>
        <v>853.97012616807615</v>
      </c>
      <c r="AX191" s="64">
        <f t="shared" si="40"/>
        <v>-166.50285126197414</v>
      </c>
      <c r="AY191" s="64">
        <f t="shared" si="41"/>
        <v>48.532927504521709</v>
      </c>
      <c r="AZ191" s="64">
        <f t="shared" si="42"/>
        <v>-547.09989585520543</v>
      </c>
      <c r="BA191" s="64">
        <f t="shared" si="43"/>
        <v>-604.96649031237655</v>
      </c>
      <c r="BB191" s="65">
        <f t="shared" si="44"/>
        <v>11955.385542684056</v>
      </c>
      <c r="BC191" s="65">
        <f t="shared" si="45"/>
        <v>31001.664584139733</v>
      </c>
      <c r="BD191" s="66">
        <f t="shared" si="46"/>
        <v>22009.965768982693</v>
      </c>
    </row>
    <row r="192" spans="31:56" x14ac:dyDescent="0.25">
      <c r="AE192" s="71">
        <v>130</v>
      </c>
      <c r="AF192" s="17">
        <v>1.8221237390820801</v>
      </c>
      <c r="AG192" s="18">
        <v>-22317.627457812108</v>
      </c>
      <c r="AH192" s="20">
        <v>17132.923872213651</v>
      </c>
      <c r="AN192" s="23">
        <v>187</v>
      </c>
      <c r="AO192" s="58">
        <v>93.5</v>
      </c>
      <c r="AP192" s="45">
        <f t="shared" si="47"/>
        <v>11037.749937056684</v>
      </c>
      <c r="AQ192" s="45">
        <f t="shared" si="48"/>
        <v>1011.0782299620247</v>
      </c>
      <c r="AR192" s="45">
        <f t="shared" si="49"/>
        <v>2549.3829356792467</v>
      </c>
      <c r="AS192" s="45">
        <f t="shared" si="50"/>
        <v>-626.92914970785728</v>
      </c>
      <c r="AT192" s="45">
        <f t="shared" si="36"/>
        <v>707.83772281730137</v>
      </c>
      <c r="AU192" s="45">
        <f t="shared" si="37"/>
        <v>517.26534197034493</v>
      </c>
      <c r="AV192" s="64">
        <f t="shared" si="38"/>
        <v>1414.5926619583015</v>
      </c>
      <c r="AW192" s="64">
        <f t="shared" si="39"/>
        <v>1024.2049770370538</v>
      </c>
      <c r="AX192" s="64">
        <f t="shared" si="40"/>
        <v>-154.22959639998697</v>
      </c>
      <c r="AY192" s="64">
        <f t="shared" si="41"/>
        <v>44.666826025581479</v>
      </c>
      <c r="AZ192" s="64">
        <f t="shared" si="42"/>
        <v>-552.52534274101311</v>
      </c>
      <c r="BA192" s="64">
        <f t="shared" si="43"/>
        <v>-551.60646109229037</v>
      </c>
      <c r="BB192" s="65">
        <f t="shared" si="44"/>
        <v>11064.720146863194</v>
      </c>
      <c r="BC192" s="65">
        <f t="shared" si="45"/>
        <v>32313.196000134758</v>
      </c>
      <c r="BD192" s="66">
        <f t="shared" si="46"/>
        <v>22661.951573717688</v>
      </c>
    </row>
    <row r="193" spans="31:56" x14ac:dyDescent="0.25">
      <c r="AE193" s="71">
        <v>131</v>
      </c>
      <c r="AF193" s="17">
        <v>1.8849555921538761</v>
      </c>
      <c r="AG193" s="18">
        <v>-22760.934145135085</v>
      </c>
      <c r="AH193" s="20">
        <v>16973.323644161886</v>
      </c>
      <c r="AN193" s="23">
        <v>188</v>
      </c>
      <c r="AO193" s="58">
        <v>94</v>
      </c>
      <c r="AP193" s="45">
        <f t="shared" si="47"/>
        <v>12489.400835600634</v>
      </c>
      <c r="AQ193" s="45">
        <f t="shared" si="48"/>
        <v>826.92999060068223</v>
      </c>
      <c r="AR193" s="45">
        <f t="shared" si="49"/>
        <v>2903.3017970878973</v>
      </c>
      <c r="AS193" s="45">
        <f t="shared" si="50"/>
        <v>-368.29647872268481</v>
      </c>
      <c r="AT193" s="45">
        <f t="shared" si="36"/>
        <v>693.69273291948355</v>
      </c>
      <c r="AU193" s="45">
        <f t="shared" si="37"/>
        <v>774.06733017499312</v>
      </c>
      <c r="AV193" s="64">
        <f t="shared" si="38"/>
        <v>1380.6289363283661</v>
      </c>
      <c r="AW193" s="64">
        <f t="shared" si="39"/>
        <v>1226.6709149906392</v>
      </c>
      <c r="AX193" s="64">
        <f t="shared" si="40"/>
        <v>-142.37133391561895</v>
      </c>
      <c r="AY193" s="64">
        <f t="shared" si="41"/>
        <v>40.197177533310956</v>
      </c>
      <c r="AZ193" s="64">
        <f t="shared" si="42"/>
        <v>-544.56486949326347</v>
      </c>
      <c r="BA193" s="64">
        <f t="shared" si="43"/>
        <v>-492.80076234895694</v>
      </c>
      <c r="BB193" s="65">
        <f t="shared" si="44"/>
        <v>10046.838465836956</v>
      </c>
      <c r="BC193" s="65">
        <f t="shared" si="45"/>
        <v>33759.537616111811</v>
      </c>
      <c r="BD193" s="66">
        <f t="shared" si="46"/>
        <v>23587.514801599667</v>
      </c>
    </row>
    <row r="194" spans="31:56" x14ac:dyDescent="0.25">
      <c r="AE194" s="71">
        <v>132</v>
      </c>
      <c r="AF194" s="17">
        <v>1.9477874452256718</v>
      </c>
      <c r="AG194" s="18">
        <v>-23193.344686738044</v>
      </c>
      <c r="AH194" s="20">
        <v>16786.202893495145</v>
      </c>
      <c r="AN194" s="23">
        <v>189</v>
      </c>
      <c r="AO194" s="58">
        <v>94.5</v>
      </c>
      <c r="AP194" s="45">
        <f t="shared" si="47"/>
        <v>14114.474917374453</v>
      </c>
      <c r="AQ194" s="45">
        <f t="shared" si="48"/>
        <v>836.29858378308813</v>
      </c>
      <c r="AR194" s="45">
        <f t="shared" si="49"/>
        <v>3250.1481635476389</v>
      </c>
      <c r="AS194" s="45">
        <f t="shared" si="50"/>
        <v>18.737186364811748</v>
      </c>
      <c r="AT194" s="45">
        <f t="shared" si="36"/>
        <v>632.88119618565986</v>
      </c>
      <c r="AU194" s="45">
        <f t="shared" si="37"/>
        <v>1058.9598277408879</v>
      </c>
      <c r="AV194" s="64">
        <f t="shared" si="38"/>
        <v>1286.3021859520743</v>
      </c>
      <c r="AW194" s="64">
        <f t="shared" si="39"/>
        <v>1456.3753578275405</v>
      </c>
      <c r="AX194" s="64">
        <f t="shared" si="40"/>
        <v>-131.2008316783176</v>
      </c>
      <c r="AY194" s="64">
        <f t="shared" si="41"/>
        <v>35.242671914821521</v>
      </c>
      <c r="AZ194" s="64">
        <f t="shared" si="42"/>
        <v>-522.22015808809681</v>
      </c>
      <c r="BA194" s="64">
        <f t="shared" si="43"/>
        <v>-432.65820200147419</v>
      </c>
      <c r="BB194" s="65">
        <f t="shared" si="44"/>
        <v>8890.6873785273619</v>
      </c>
      <c r="BC194" s="65">
        <f t="shared" si="45"/>
        <v>35323.799661612655</v>
      </c>
      <c r="BD194" s="66">
        <f t="shared" si="46"/>
        <v>24822.399243458865</v>
      </c>
    </row>
    <row r="195" spans="31:56" x14ac:dyDescent="0.25">
      <c r="AE195" s="71">
        <v>133</v>
      </c>
      <c r="AF195" s="17">
        <v>2.0106192982974678</v>
      </c>
      <c r="AG195" s="18">
        <v>-23613.152555762867</v>
      </c>
      <c r="AH195" s="20">
        <v>16572.300100328976</v>
      </c>
      <c r="AN195" s="23">
        <v>190</v>
      </c>
      <c r="AO195" s="58">
        <v>95</v>
      </c>
      <c r="AP195" s="45">
        <f t="shared" si="47"/>
        <v>15897.769298194688</v>
      </c>
      <c r="AQ195" s="45">
        <f t="shared" si="48"/>
        <v>1110.407133900716</v>
      </c>
      <c r="AR195" s="45">
        <f t="shared" si="49"/>
        <v>3566.5887616404689</v>
      </c>
      <c r="AS195" s="45">
        <f t="shared" si="50"/>
        <v>548.21710023525566</v>
      </c>
      <c r="AT195" s="45">
        <f t="shared" si="36"/>
        <v>477.17444272706496</v>
      </c>
      <c r="AU195" s="45">
        <f t="shared" si="37"/>
        <v>1344.606220679741</v>
      </c>
      <c r="AV195" s="64">
        <f t="shared" si="38"/>
        <v>1085.0663094340216</v>
      </c>
      <c r="AW195" s="64">
        <f t="shared" si="39"/>
        <v>1690.0882602612198</v>
      </c>
      <c r="AX195" s="64">
        <f t="shared" si="40"/>
        <v>-120.90798866059853</v>
      </c>
      <c r="AY195" s="64">
        <f t="shared" si="41"/>
        <v>29.941214021499743</v>
      </c>
      <c r="AZ195" s="64">
        <f t="shared" si="42"/>
        <v>-486.98387804635809</v>
      </c>
      <c r="BA195" s="64">
        <f t="shared" si="43"/>
        <v>-375.42325360297855</v>
      </c>
      <c r="BB195" s="65">
        <f t="shared" si="44"/>
        <v>7593.1017196756275</v>
      </c>
      <c r="BC195" s="65">
        <f t="shared" si="45"/>
        <v>36982.086229841232</v>
      </c>
      <c r="BD195" s="66">
        <f t="shared" si="46"/>
        <v>26386.776606107229</v>
      </c>
    </row>
    <row r="196" spans="31:56" x14ac:dyDescent="0.25">
      <c r="AE196" s="71">
        <v>134</v>
      </c>
      <c r="AF196" s="17">
        <v>2.0734511513692637</v>
      </c>
      <c r="AG196" s="18">
        <v>-24018.700962342475</v>
      </c>
      <c r="AH196" s="20">
        <v>16332.459441265113</v>
      </c>
      <c r="AN196" s="23">
        <v>191</v>
      </c>
      <c r="AO196" s="58">
        <v>95.5</v>
      </c>
      <c r="AP196" s="45">
        <f t="shared" si="47"/>
        <v>17800.357289696687</v>
      </c>
      <c r="AQ196" s="45">
        <f t="shared" si="48"/>
        <v>1720.6672391882789</v>
      </c>
      <c r="AR196" s="45">
        <f t="shared" si="49"/>
        <v>3805.1759830040014</v>
      </c>
      <c r="AS196" s="45">
        <f t="shared" si="50"/>
        <v>1220.5202105751262</v>
      </c>
      <c r="AT196" s="45">
        <f t="shared" si="36"/>
        <v>154.39814285797775</v>
      </c>
      <c r="AU196" s="45">
        <f t="shared" si="37"/>
        <v>1561.6769441894953</v>
      </c>
      <c r="AV196" s="64">
        <f t="shared" si="38"/>
        <v>708.60522092764518</v>
      </c>
      <c r="AW196" s="64">
        <f t="shared" si="39"/>
        <v>1861.7866204392183</v>
      </c>
      <c r="AX196" s="64">
        <f t="shared" si="40"/>
        <v>-111.63486085586646</v>
      </c>
      <c r="AY196" s="64">
        <f t="shared" si="41"/>
        <v>24.451148798653318</v>
      </c>
      <c r="AZ196" s="64">
        <f t="shared" si="42"/>
        <v>-442.57221721380097</v>
      </c>
      <c r="BA196" s="64">
        <f t="shared" si="43"/>
        <v>-324.56082504837639</v>
      </c>
      <c r="BB196" s="65">
        <f t="shared" si="44"/>
        <v>6183.7783929554062</v>
      </c>
      <c r="BC196" s="65">
        <f t="shared" si="45"/>
        <v>38696.438624154755</v>
      </c>
      <c r="BD196" s="66">
        <f t="shared" si="46"/>
        <v>28274.317064457791</v>
      </c>
    </row>
    <row r="197" spans="31:56" x14ac:dyDescent="0.25">
      <c r="AE197" s="71">
        <v>135</v>
      </c>
      <c r="AF197" s="17">
        <v>2.1362830044410597</v>
      </c>
      <c r="AG197" s="18">
        <v>-24408.389392193549</v>
      </c>
      <c r="AH197" s="20">
        <v>16067.627457812105</v>
      </c>
      <c r="AN197" s="23">
        <v>192</v>
      </c>
      <c r="AO197" s="58">
        <v>96</v>
      </c>
      <c r="AP197" s="45">
        <f t="shared" si="47"/>
        <v>19741.544816913181</v>
      </c>
      <c r="AQ197" s="45">
        <f t="shared" si="48"/>
        <v>2721.3465805232158</v>
      </c>
      <c r="AR197" s="45">
        <f t="shared" si="49"/>
        <v>3882.3750544329905</v>
      </c>
      <c r="AS197" s="45">
        <f t="shared" si="50"/>
        <v>2001.3586826698738</v>
      </c>
      <c r="AT197" s="45">
        <f t="shared" si="36"/>
        <v>-398.28217026242106</v>
      </c>
      <c r="AU197" s="45">
        <f t="shared" si="37"/>
        <v>1573.0838106379249</v>
      </c>
      <c r="AV197" s="64">
        <f t="shared" si="38"/>
        <v>99.321599863386922</v>
      </c>
      <c r="AW197" s="64">
        <f t="shared" si="39"/>
        <v>1836.3860888626341</v>
      </c>
      <c r="AX197" s="64">
        <f t="shared" si="40"/>
        <v>-103.52443371120992</v>
      </c>
      <c r="AY197" s="64">
        <f t="shared" si="41"/>
        <v>18.960472646519108</v>
      </c>
      <c r="AZ197" s="64">
        <f t="shared" si="42"/>
        <v>-394.07933641459806</v>
      </c>
      <c r="BA197" s="64">
        <f t="shared" si="43"/>
        <v>-282.26275087122832</v>
      </c>
      <c r="BB197" s="65">
        <f t="shared" si="44"/>
        <v>4785.6376362133406</v>
      </c>
      <c r="BC197" s="65">
        <f t="shared" si="45"/>
        <v>40402.588778883714</v>
      </c>
      <c r="BD197" s="66">
        <f t="shared" si="46"/>
        <v>30433.372546504692</v>
      </c>
    </row>
    <row r="198" spans="31:56" x14ac:dyDescent="0.25">
      <c r="AE198" s="71">
        <v>136</v>
      </c>
      <c r="AF198" s="17">
        <v>2.1991148575128552</v>
      </c>
      <c r="AG198" s="18">
        <v>-24780.679923115174</v>
      </c>
      <c r="AH198" s="20">
        <v>15778.849320818419</v>
      </c>
      <c r="AN198" s="23">
        <v>193</v>
      </c>
      <c r="AO198" s="58">
        <v>96.5</v>
      </c>
      <c r="AP198" s="45">
        <f t="shared" si="47"/>
        <v>21583.161801564071</v>
      </c>
      <c r="AQ198" s="45">
        <f t="shared" si="48"/>
        <v>4115.296874517634</v>
      </c>
      <c r="AR198" s="45">
        <f t="shared" si="49"/>
        <v>3683.2339693017798</v>
      </c>
      <c r="AS198" s="45">
        <f t="shared" si="50"/>
        <v>2787.9005879888364</v>
      </c>
      <c r="AT198" s="45">
        <f t="shared" ref="AT198:AT261" si="51">AV198+AX198+AZ198</f>
        <v>-1125.0057059023666</v>
      </c>
      <c r="AU198" s="45">
        <f t="shared" ref="AU198:AU261" si="52">AW198+AY198+BA198</f>
        <v>1220.9773979620988</v>
      </c>
      <c r="AV198" s="64">
        <f t="shared" ref="AV198:AV261" si="53">$K$22*(($K$18-AP198)/((BB198^2+$K$23^2)^(3/2)))</f>
        <v>-681.36576238717851</v>
      </c>
      <c r="AW198" s="64">
        <f t="shared" ref="AW198:AW261" si="54">$K$22*(($L$18-AQ198)/((BB198^2+$K$23^2)^(3/2)))</f>
        <v>1456.7183362244768</v>
      </c>
      <c r="AX198" s="64">
        <f t="shared" ref="AX198:AX261" si="55">$K$30*(($K$26-AP198)/((BC198^2+$K$31^2)^(3/2)))</f>
        <v>-96.758546811397196</v>
      </c>
      <c r="AY198" s="64">
        <f t="shared" ref="AY198:AY261" si="56">$K$30*(($L$26-AQ198)/((BC198^2+$K$31^2)^(3/2)))</f>
        <v>13.692929978613222</v>
      </c>
      <c r="AZ198" s="64">
        <f t="shared" ref="AZ198:AZ261" si="57">$K$38*(($K$34-AP198)/((BD198^2+$K$39^2)^(3/2)))</f>
        <v>-346.88139670379076</v>
      </c>
      <c r="BA198" s="64">
        <f t="shared" ref="BA198:BA261" si="58">$K$38*(($L$34-AQ198)/((BD198^2+$K$39^2)^(3/2)))</f>
        <v>-249.43386824099119</v>
      </c>
      <c r="BB198" s="65">
        <f t="shared" ref="BB198:BB261" si="59">SQRT(($K$18-AP198)^2+($L$18-AQ198)^2)</f>
        <v>3736.6584721622189</v>
      </c>
      <c r="BC198" s="65">
        <f t="shared" ref="BC198:BC261" si="60">SQRT(($K$26-AP198)^2+($L$26-AQ198)^2)</f>
        <v>41997.488928388557</v>
      </c>
      <c r="BD198" s="66">
        <f t="shared" ref="BD198:BD261" si="61">SQRT(($K$34-AP198)^2+($L$34-AQ198)^2)</f>
        <v>32742.313082143093</v>
      </c>
    </row>
    <row r="199" spans="31:56" x14ac:dyDescent="0.25">
      <c r="AE199" s="71">
        <v>137</v>
      </c>
      <c r="AF199" s="17">
        <v>2.2619467105846511</v>
      </c>
      <c r="AG199" s="18">
        <v>-25134.103294465167</v>
      </c>
      <c r="AH199" s="20">
        <v>15467.264705660586</v>
      </c>
      <c r="AN199" s="23">
        <v>194</v>
      </c>
      <c r="AO199" s="58">
        <v>97</v>
      </c>
      <c r="AP199" s="45">
        <f t="shared" ref="AP199:AP262" si="62">AP198+AR198*$K$5+AT198*$K$5^2</f>
        <v>23143.527359739368</v>
      </c>
      <c r="AQ199" s="45">
        <f t="shared" ref="AQ199:AQ262" si="63">AQ198+AS198*$K$5+AU198*$K$5^2</f>
        <v>5814.4915180025773</v>
      </c>
      <c r="AR199" s="45">
        <f t="shared" ref="AR199:AR262" si="64">AR198+AT198*$K$5</f>
        <v>3120.7311163505965</v>
      </c>
      <c r="AS199" s="45">
        <f t="shared" ref="AS199:AS262" si="65">AS198+AU198*$K$5</f>
        <v>3398.3892869698857</v>
      </c>
      <c r="AT199" s="45">
        <f t="shared" si="51"/>
        <v>-1772.2647823603215</v>
      </c>
      <c r="AU199" s="45">
        <f t="shared" si="52"/>
        <v>520.40832385171268</v>
      </c>
      <c r="AV199" s="64">
        <f t="shared" si="53"/>
        <v>-1375.3042178556866</v>
      </c>
      <c r="AW199" s="64">
        <f t="shared" si="54"/>
        <v>737.41585780719436</v>
      </c>
      <c r="AX199" s="64">
        <f t="shared" si="55"/>
        <v>-91.535081477371534</v>
      </c>
      <c r="AY199" s="64">
        <f t="shared" si="56"/>
        <v>8.8801468811144098</v>
      </c>
      <c r="AZ199" s="64">
        <f t="shared" si="57"/>
        <v>-305.42548302726351</v>
      </c>
      <c r="BA199" s="64">
        <f t="shared" si="58"/>
        <v>-225.8876808365961</v>
      </c>
      <c r="BB199" s="65">
        <f t="shared" si="59"/>
        <v>3566.8898363020994</v>
      </c>
      <c r="BC199" s="65">
        <f t="shared" si="60"/>
        <v>43346.077496048609</v>
      </c>
      <c r="BD199" s="66">
        <f t="shared" si="61"/>
        <v>35004.302441291409</v>
      </c>
    </row>
    <row r="200" spans="31:56" x14ac:dyDescent="0.25">
      <c r="AE200" s="71">
        <v>138</v>
      </c>
      <c r="AF200" s="17">
        <v>2.3247785636564471</v>
      </c>
      <c r="AG200" s="18">
        <v>-25467.264705660586</v>
      </c>
      <c r="AH200" s="20">
        <v>15134.103294465163</v>
      </c>
      <c r="AN200" s="23">
        <v>195</v>
      </c>
      <c r="AO200" s="58">
        <v>97.5</v>
      </c>
      <c r="AP200" s="45">
        <f t="shared" si="62"/>
        <v>24260.826722324586</v>
      </c>
      <c r="AQ200" s="45">
        <f t="shared" si="63"/>
        <v>7643.7882424504478</v>
      </c>
      <c r="AR200" s="45">
        <f t="shared" si="64"/>
        <v>2234.5987251704355</v>
      </c>
      <c r="AS200" s="45">
        <f t="shared" si="65"/>
        <v>3658.5934488957419</v>
      </c>
      <c r="AT200" s="45">
        <f t="shared" si="51"/>
        <v>-2096.7179971176747</v>
      </c>
      <c r="AU200" s="45">
        <f t="shared" si="52"/>
        <v>-264.51376835616679</v>
      </c>
      <c r="AV200" s="64">
        <f t="shared" si="53"/>
        <v>-1736.6100815261534</v>
      </c>
      <c r="AW200" s="64">
        <f t="shared" si="54"/>
        <v>-58.604615422648074</v>
      </c>
      <c r="AX200" s="64">
        <f t="shared" si="55"/>
        <v>-87.975420607123695</v>
      </c>
      <c r="AY200" s="64">
        <f t="shared" si="56"/>
        <v>4.6833449747859834</v>
      </c>
      <c r="AZ200" s="64">
        <f t="shared" si="57"/>
        <v>-272.13249498439757</v>
      </c>
      <c r="BA200" s="64">
        <f t="shared" si="58"/>
        <v>-210.59249790830472</v>
      </c>
      <c r="BB200" s="65">
        <f t="shared" si="59"/>
        <v>4263.2522112047582</v>
      </c>
      <c r="BC200" s="65">
        <f t="shared" si="60"/>
        <v>44323.498462892763</v>
      </c>
      <c r="BD200" s="66">
        <f t="shared" si="61"/>
        <v>36999.150347580173</v>
      </c>
    </row>
    <row r="201" spans="31:56" x14ac:dyDescent="0.25">
      <c r="AE201" s="71">
        <v>139</v>
      </c>
      <c r="AF201" s="17">
        <v>2.387610416728243</v>
      </c>
      <c r="AG201" s="18">
        <v>-25778.849320818419</v>
      </c>
      <c r="AH201" s="20">
        <v>14780.679923115171</v>
      </c>
      <c r="AN201" s="23">
        <v>196</v>
      </c>
      <c r="AO201" s="58">
        <v>98</v>
      </c>
      <c r="AP201" s="45">
        <f t="shared" si="62"/>
        <v>24853.946585630383</v>
      </c>
      <c r="AQ201" s="45">
        <f t="shared" si="63"/>
        <v>9406.9565248092767</v>
      </c>
      <c r="AR201" s="45">
        <f t="shared" si="64"/>
        <v>1186.2397266115981</v>
      </c>
      <c r="AS201" s="45">
        <f t="shared" si="65"/>
        <v>3526.3365647176583</v>
      </c>
      <c r="AT201" s="45">
        <f t="shared" si="51"/>
        <v>-2104.9852515175435</v>
      </c>
      <c r="AU201" s="45">
        <f t="shared" si="52"/>
        <v>-897.02898212755895</v>
      </c>
      <c r="AV201" s="64">
        <f t="shared" si="53"/>
        <v>-1771.6457033502247</v>
      </c>
      <c r="AW201" s="64">
        <f t="shared" si="54"/>
        <v>-696.02153094465314</v>
      </c>
      <c r="AX201" s="64">
        <f t="shared" si="55"/>
        <v>-86.08040126668611</v>
      </c>
      <c r="AY201" s="64">
        <f t="shared" si="56"/>
        <v>1.1381254984006668</v>
      </c>
      <c r="AZ201" s="64">
        <f t="shared" si="57"/>
        <v>-247.25914690063271</v>
      </c>
      <c r="BA201" s="64">
        <f t="shared" si="58"/>
        <v>-202.14557668130644</v>
      </c>
      <c r="BB201" s="65">
        <f t="shared" si="59"/>
        <v>5215.1012112580838</v>
      </c>
      <c r="BC201" s="65">
        <f t="shared" si="60"/>
        <v>44857.866922871515</v>
      </c>
      <c r="BD201" s="66">
        <f t="shared" si="61"/>
        <v>38561.089890479008</v>
      </c>
    </row>
    <row r="202" spans="31:56" x14ac:dyDescent="0.25">
      <c r="AE202" s="71">
        <v>140</v>
      </c>
      <c r="AF202" s="17">
        <v>2.450442269800039</v>
      </c>
      <c r="AG202" s="18">
        <v>-26067.627457812105</v>
      </c>
      <c r="AH202" s="20">
        <v>14408.389392193549</v>
      </c>
      <c r="AN202" s="23">
        <v>197</v>
      </c>
      <c r="AO202" s="58">
        <v>98.5</v>
      </c>
      <c r="AP202" s="45">
        <f t="shared" si="62"/>
        <v>24920.820136056795</v>
      </c>
      <c r="AQ202" s="45">
        <f t="shared" si="63"/>
        <v>10945.867561636216</v>
      </c>
      <c r="AR202" s="45">
        <f t="shared" si="64"/>
        <v>133.74710085282641</v>
      </c>
      <c r="AS202" s="45">
        <f t="shared" si="65"/>
        <v>3077.8220736538788</v>
      </c>
      <c r="AT202" s="45">
        <f t="shared" si="51"/>
        <v>-1938.6277016519214</v>
      </c>
      <c r="AU202" s="45">
        <f t="shared" si="52"/>
        <v>-1337.6378384600134</v>
      </c>
      <c r="AV202" s="64">
        <f t="shared" si="53"/>
        <v>-1622.9461007219174</v>
      </c>
      <c r="AW202" s="64">
        <f t="shared" si="54"/>
        <v>-1136.4888713943217</v>
      </c>
      <c r="AX202" s="64">
        <f t="shared" si="55"/>
        <v>-85.799662266880702</v>
      </c>
      <c r="AY202" s="64">
        <f t="shared" si="56"/>
        <v>-1.8066259051322213</v>
      </c>
      <c r="AZ202" s="64">
        <f t="shared" si="57"/>
        <v>-229.88193866312324</v>
      </c>
      <c r="BA202" s="64">
        <f t="shared" si="58"/>
        <v>-199.34234116055961</v>
      </c>
      <c r="BB202" s="65">
        <f t="shared" si="59"/>
        <v>6007.3683143085818</v>
      </c>
      <c r="BC202" s="65">
        <f t="shared" si="60"/>
        <v>44930.777281726623</v>
      </c>
      <c r="BD202" s="66">
        <f t="shared" si="61"/>
        <v>39603.579650584972</v>
      </c>
    </row>
    <row r="203" spans="31:56" x14ac:dyDescent="0.25">
      <c r="AE203" s="71">
        <v>141</v>
      </c>
      <c r="AF203" s="17">
        <v>2.5132741228718345</v>
      </c>
      <c r="AG203" s="18">
        <v>-26332.459441265113</v>
      </c>
      <c r="AH203" s="20">
        <v>14018.700962342475</v>
      </c>
      <c r="AN203" s="23">
        <v>198</v>
      </c>
      <c r="AO203" s="58">
        <v>99</v>
      </c>
      <c r="AP203" s="45">
        <f t="shared" si="62"/>
        <v>24503.036761070231</v>
      </c>
      <c r="AQ203" s="45">
        <f t="shared" si="63"/>
        <v>12150.369138848153</v>
      </c>
      <c r="AR203" s="45">
        <f t="shared" si="64"/>
        <v>-835.56674997313428</v>
      </c>
      <c r="AS203" s="45">
        <f t="shared" si="65"/>
        <v>2409.0031544238718</v>
      </c>
      <c r="AT203" s="45">
        <f t="shared" si="51"/>
        <v>-1700.8555720467502</v>
      </c>
      <c r="AU203" s="45">
        <f t="shared" si="52"/>
        <v>-1646.1249450185255</v>
      </c>
      <c r="AV203" s="64">
        <f t="shared" si="53"/>
        <v>-1394.8114213543281</v>
      </c>
      <c r="AW203" s="64">
        <f t="shared" si="54"/>
        <v>-1440.4474874501102</v>
      </c>
      <c r="AX203" s="64">
        <f t="shared" si="55"/>
        <v>-87.118367849193362</v>
      </c>
      <c r="AY203" s="64">
        <f t="shared" si="56"/>
        <v>-4.209525086018453</v>
      </c>
      <c r="AZ203" s="64">
        <f t="shared" si="57"/>
        <v>-218.92578284322866</v>
      </c>
      <c r="BA203" s="64">
        <f t="shared" si="58"/>
        <v>-201.46793248239683</v>
      </c>
      <c r="BB203" s="65">
        <f t="shared" si="59"/>
        <v>6473.2737621006872</v>
      </c>
      <c r="BC203" s="65">
        <f t="shared" si="60"/>
        <v>44554.958965198013</v>
      </c>
      <c r="BD203" s="66">
        <f t="shared" si="61"/>
        <v>40094.534820855319</v>
      </c>
    </row>
    <row r="204" spans="31:56" x14ac:dyDescent="0.25">
      <c r="AE204" s="71">
        <v>142</v>
      </c>
      <c r="AF204" s="17">
        <v>2.5761059759436304</v>
      </c>
      <c r="AG204" s="18">
        <v>-26572.300100328976</v>
      </c>
      <c r="AH204" s="20">
        <v>13613.152555762865</v>
      </c>
      <c r="AN204" s="23">
        <v>199</v>
      </c>
      <c r="AO204" s="58">
        <v>99.5</v>
      </c>
      <c r="AP204" s="45">
        <f t="shared" si="62"/>
        <v>23660.039493071974</v>
      </c>
      <c r="AQ204" s="45">
        <f t="shared" si="63"/>
        <v>12943.339479805458</v>
      </c>
      <c r="AR204" s="45">
        <f t="shared" si="64"/>
        <v>-1685.9945359965095</v>
      </c>
      <c r="AS204" s="45">
        <f t="shared" si="65"/>
        <v>1585.9406819146091</v>
      </c>
      <c r="AT204" s="45">
        <f t="shared" si="51"/>
        <v>-1424.142641098688</v>
      </c>
      <c r="AU204" s="45">
        <f t="shared" si="52"/>
        <v>-1880.6614006253569</v>
      </c>
      <c r="AV204" s="64">
        <f t="shared" si="53"/>
        <v>-1120.3730707877528</v>
      </c>
      <c r="AW204" s="64">
        <f t="shared" si="54"/>
        <v>-1666.2582411675421</v>
      </c>
      <c r="AX204" s="64">
        <f t="shared" si="55"/>
        <v>-90.096997500050179</v>
      </c>
      <c r="AY204" s="64">
        <f t="shared" si="56"/>
        <v>-6.0738847887645937</v>
      </c>
      <c r="AZ204" s="64">
        <f t="shared" si="57"/>
        <v>-213.67257281088516</v>
      </c>
      <c r="BA204" s="64">
        <f t="shared" si="58"/>
        <v>-208.32927466905008</v>
      </c>
      <c r="BB204" s="65">
        <f t="shared" si="59"/>
        <v>6559.4080360391745</v>
      </c>
      <c r="BC204" s="65">
        <f t="shared" si="60"/>
        <v>43759.139569122999</v>
      </c>
      <c r="BD204" s="66">
        <f t="shared" si="61"/>
        <v>40027.841373575211</v>
      </c>
    </row>
    <row r="205" spans="31:56" x14ac:dyDescent="0.25">
      <c r="AE205" s="71">
        <v>143</v>
      </c>
      <c r="AF205" s="17">
        <v>2.6389378290154264</v>
      </c>
      <c r="AG205" s="18">
        <v>-26786.202893495145</v>
      </c>
      <c r="AH205" s="20">
        <v>13193.344686738044</v>
      </c>
      <c r="AN205" s="23">
        <v>200</v>
      </c>
      <c r="AO205" s="58">
        <v>100</v>
      </c>
      <c r="AP205" s="45">
        <f t="shared" si="62"/>
        <v>22461.006564799045</v>
      </c>
      <c r="AQ205" s="45">
        <f t="shared" si="63"/>
        <v>13266.144470606423</v>
      </c>
      <c r="AR205" s="45">
        <f t="shared" si="64"/>
        <v>-2398.0658565458534</v>
      </c>
      <c r="AS205" s="45">
        <f t="shared" si="65"/>
        <v>645.6099816019306</v>
      </c>
      <c r="AT205" s="45">
        <f t="shared" si="51"/>
        <v>-1092.5159770045232</v>
      </c>
      <c r="AU205" s="45">
        <f t="shared" si="52"/>
        <v>-2063.760382557356</v>
      </c>
      <c r="AV205" s="64">
        <f t="shared" si="53"/>
        <v>-783.7209437637232</v>
      </c>
      <c r="AW205" s="64">
        <f t="shared" si="54"/>
        <v>-1836.2601104035029</v>
      </c>
      <c r="AX205" s="64">
        <f t="shared" si="55"/>
        <v>-94.864114771686744</v>
      </c>
      <c r="AY205" s="64">
        <f t="shared" si="56"/>
        <v>-7.2970456658316891</v>
      </c>
      <c r="AZ205" s="64">
        <f t="shared" si="57"/>
        <v>-213.93091846911324</v>
      </c>
      <c r="BA205" s="64">
        <f t="shared" si="58"/>
        <v>-220.2032264880211</v>
      </c>
      <c r="BB205" s="65">
        <f t="shared" si="59"/>
        <v>6269.3680198157954</v>
      </c>
      <c r="BC205" s="65">
        <f t="shared" si="60"/>
        <v>42586.43890018019</v>
      </c>
      <c r="BD205" s="66">
        <f t="shared" si="61"/>
        <v>39409.158894667242</v>
      </c>
    </row>
    <row r="206" spans="31:56" x14ac:dyDescent="0.25">
      <c r="AE206" s="71">
        <v>144</v>
      </c>
      <c r="AF206" s="17">
        <v>2.7017696820872223</v>
      </c>
      <c r="AG206" s="18">
        <v>-26973.323644161886</v>
      </c>
      <c r="AH206" s="20">
        <v>12760.934145135083</v>
      </c>
      <c r="AN206" s="23">
        <v>201</v>
      </c>
      <c r="AO206" s="58">
        <v>100.5</v>
      </c>
      <c r="AP206" s="45">
        <f t="shared" si="62"/>
        <v>20988.844642274988</v>
      </c>
      <c r="AQ206" s="45">
        <f t="shared" si="63"/>
        <v>13073.00936576805</v>
      </c>
      <c r="AR206" s="45">
        <f t="shared" si="64"/>
        <v>-2944.3238450481149</v>
      </c>
      <c r="AS206" s="45">
        <f t="shared" si="65"/>
        <v>-386.27020967674741</v>
      </c>
      <c r="AT206" s="45">
        <f t="shared" si="51"/>
        <v>-662.919092058351</v>
      </c>
      <c r="AU206" s="45">
        <f t="shared" si="52"/>
        <v>-2168.678511166152</v>
      </c>
      <c r="AV206" s="64">
        <f t="shared" si="53"/>
        <v>-341.26121240397651</v>
      </c>
      <c r="AW206" s="64">
        <f t="shared" si="54"/>
        <v>-1923.3071117473228</v>
      </c>
      <c r="AX206" s="64">
        <f t="shared" si="55"/>
        <v>-101.55132533762853</v>
      </c>
      <c r="AY206" s="64">
        <f t="shared" si="56"/>
        <v>-7.6134903677385077</v>
      </c>
      <c r="AZ206" s="64">
        <f t="shared" si="57"/>
        <v>-220.10655431674599</v>
      </c>
      <c r="BA206" s="64">
        <f t="shared" si="58"/>
        <v>-237.75790905109076</v>
      </c>
      <c r="BB206" s="65">
        <f t="shared" si="59"/>
        <v>5660.0571655677077</v>
      </c>
      <c r="BC206" s="65">
        <f t="shared" si="60"/>
        <v>41103.877817921908</v>
      </c>
      <c r="BD206" s="66">
        <f t="shared" si="61"/>
        <v>38255.900207560218</v>
      </c>
    </row>
    <row r="207" spans="31:56" x14ac:dyDescent="0.25">
      <c r="AE207" s="71">
        <v>145</v>
      </c>
      <c r="AF207" s="17">
        <v>2.7646015351590183</v>
      </c>
      <c r="AG207" s="18">
        <v>-27132.923872213651</v>
      </c>
      <c r="AH207" s="20">
        <v>12317.627457812103</v>
      </c>
      <c r="AN207" s="23">
        <v>202</v>
      </c>
      <c r="AO207" s="58">
        <v>101</v>
      </c>
      <c r="AP207" s="45">
        <f t="shared" si="62"/>
        <v>19350.952946736343</v>
      </c>
      <c r="AQ207" s="45">
        <f t="shared" si="63"/>
        <v>12337.704633138139</v>
      </c>
      <c r="AR207" s="45">
        <f t="shared" si="64"/>
        <v>-3275.7833910772906</v>
      </c>
      <c r="AS207" s="45">
        <f t="shared" si="65"/>
        <v>-1470.6094652598235</v>
      </c>
      <c r="AT207" s="45">
        <f t="shared" si="51"/>
        <v>-96.731456354287332</v>
      </c>
      <c r="AU207" s="45">
        <f t="shared" si="52"/>
        <v>-2106.7501588595478</v>
      </c>
      <c r="AV207" s="64">
        <f t="shared" si="53"/>
        <v>246.64036288046972</v>
      </c>
      <c r="AW207" s="64">
        <f t="shared" si="54"/>
        <v>-1838.3462650758338</v>
      </c>
      <c r="AX207" s="64">
        <f t="shared" si="55"/>
        <v>-110.11919023592151</v>
      </c>
      <c r="AY207" s="64">
        <f t="shared" si="56"/>
        <v>-6.5418019624676971</v>
      </c>
      <c r="AZ207" s="64">
        <f t="shared" si="57"/>
        <v>-233.25262899883555</v>
      </c>
      <c r="BA207" s="64">
        <f t="shared" si="58"/>
        <v>-261.86209182124622</v>
      </c>
      <c r="BB207" s="65">
        <f t="shared" si="59"/>
        <v>4881.0499070216902</v>
      </c>
      <c r="BC207" s="65">
        <f t="shared" si="60"/>
        <v>39420.329282846607</v>
      </c>
      <c r="BD207" s="66">
        <f t="shared" si="61"/>
        <v>36610.367439058435</v>
      </c>
    </row>
    <row r="208" spans="31:56" x14ac:dyDescent="0.25">
      <c r="AE208" s="71">
        <v>146</v>
      </c>
      <c r="AF208" s="17">
        <v>2.8274333882308142</v>
      </c>
      <c r="AG208" s="18">
        <v>-27264.373708464733</v>
      </c>
      <c r="AH208" s="20">
        <v>11865.174153736411</v>
      </c>
      <c r="AN208" s="23">
        <v>203</v>
      </c>
      <c r="AO208" s="58">
        <v>101.5</v>
      </c>
      <c r="AP208" s="45">
        <f t="shared" si="62"/>
        <v>17688.878387109125</v>
      </c>
      <c r="AQ208" s="45">
        <f t="shared" si="63"/>
        <v>11075.712360793341</v>
      </c>
      <c r="AR208" s="45">
        <f t="shared" si="64"/>
        <v>-3324.1491192544345</v>
      </c>
      <c r="AS208" s="45">
        <f t="shared" si="65"/>
        <v>-2523.9845446895974</v>
      </c>
      <c r="AT208" s="45">
        <f t="shared" si="51"/>
        <v>567.51136424069421</v>
      </c>
      <c r="AU208" s="45">
        <f t="shared" si="52"/>
        <v>-1754.7609765340571</v>
      </c>
      <c r="AV208" s="64">
        <f t="shared" si="53"/>
        <v>942.53535193199696</v>
      </c>
      <c r="AW208" s="64">
        <f t="shared" si="54"/>
        <v>-1458.2682666241319</v>
      </c>
      <c r="AX208" s="64">
        <f t="shared" si="55"/>
        <v>-120.02183274521478</v>
      </c>
      <c r="AY208" s="64">
        <f t="shared" si="56"/>
        <v>-3.4256516663350252</v>
      </c>
      <c r="AZ208" s="64">
        <f t="shared" si="57"/>
        <v>-255.00215494608798</v>
      </c>
      <c r="BA208" s="64">
        <f t="shared" si="58"/>
        <v>-293.06705824359022</v>
      </c>
      <c r="BB208" s="65">
        <f t="shared" si="59"/>
        <v>4257.5817075778596</v>
      </c>
      <c r="BC208" s="65">
        <f t="shared" si="60"/>
        <v>37704.226701544554</v>
      </c>
      <c r="BD208" s="66">
        <f t="shared" si="61"/>
        <v>34564.837300179184</v>
      </c>
    </row>
    <row r="209" spans="31:56" x14ac:dyDescent="0.25">
      <c r="AE209" s="71">
        <v>147</v>
      </c>
      <c r="AF209" s="17">
        <v>2.8902652413026098</v>
      </c>
      <c r="AG209" s="18">
        <v>-27367.154380465166</v>
      </c>
      <c r="AH209" s="20">
        <v>11405.359859392935</v>
      </c>
      <c r="AN209" s="23">
        <v>204</v>
      </c>
      <c r="AO209" s="58">
        <v>102</v>
      </c>
      <c r="AP209" s="45">
        <f t="shared" si="62"/>
        <v>16168.681668542082</v>
      </c>
      <c r="AQ209" s="45">
        <f t="shared" si="63"/>
        <v>9375.0298443150277</v>
      </c>
      <c r="AR209" s="45">
        <f t="shared" si="64"/>
        <v>-3040.3934371340874</v>
      </c>
      <c r="AS209" s="45">
        <f t="shared" si="65"/>
        <v>-3401.3650329566262</v>
      </c>
      <c r="AT209" s="45">
        <f t="shared" si="51"/>
        <v>1144.1955825862347</v>
      </c>
      <c r="AU209" s="45">
        <f t="shared" si="52"/>
        <v>-1092.3817617469062</v>
      </c>
      <c r="AV209" s="64">
        <f t="shared" si="53"/>
        <v>1561.1680387269678</v>
      </c>
      <c r="AW209" s="64">
        <f t="shared" si="54"/>
        <v>-764.02856963595934</v>
      </c>
      <c r="AX209" s="64">
        <f t="shared" si="55"/>
        <v>-129.86283934766595</v>
      </c>
      <c r="AY209" s="64">
        <f t="shared" si="56"/>
        <v>2.2439413100144332</v>
      </c>
      <c r="AZ209" s="64">
        <f t="shared" si="57"/>
        <v>-287.10961679306735</v>
      </c>
      <c r="BA209" s="64">
        <f t="shared" si="58"/>
        <v>-330.59713342096143</v>
      </c>
      <c r="BB209" s="65">
        <f t="shared" si="59"/>
        <v>4265.5289325050326</v>
      </c>
      <c r="BC209" s="65">
        <f t="shared" si="60"/>
        <v>36174.080794621841</v>
      </c>
      <c r="BD209" s="66">
        <f t="shared" si="61"/>
        <v>32283.976884753803</v>
      </c>
    </row>
    <row r="210" spans="31:56" x14ac:dyDescent="0.25">
      <c r="AE210" s="71">
        <v>148</v>
      </c>
      <c r="AF210" s="17">
        <v>2.9530970943744057</v>
      </c>
      <c r="AG210" s="18">
        <v>-27440.860259858586</v>
      </c>
      <c r="AH210" s="20">
        <v>10939.999251732281</v>
      </c>
      <c r="AN210" s="23">
        <v>205</v>
      </c>
      <c r="AO210" s="58">
        <v>102.5</v>
      </c>
      <c r="AP210" s="45">
        <f t="shared" si="62"/>
        <v>14934.533845621596</v>
      </c>
      <c r="AQ210" s="45">
        <f t="shared" si="63"/>
        <v>7401.2518873999879</v>
      </c>
      <c r="AR210" s="45">
        <f t="shared" si="64"/>
        <v>-2468.2956458409699</v>
      </c>
      <c r="AS210" s="45">
        <f t="shared" si="65"/>
        <v>-3947.5559138300796</v>
      </c>
      <c r="AT210" s="45">
        <f t="shared" si="51"/>
        <v>1414.598879104567</v>
      </c>
      <c r="AU210" s="45">
        <f t="shared" si="52"/>
        <v>-324.4174101557187</v>
      </c>
      <c r="AV210" s="64">
        <f t="shared" si="53"/>
        <v>1882.6837062716118</v>
      </c>
      <c r="AW210" s="64">
        <f t="shared" si="54"/>
        <v>36.701748062500052</v>
      </c>
      <c r="AX210" s="64">
        <f t="shared" si="55"/>
        <v>-137.62022737245945</v>
      </c>
      <c r="AY210" s="64">
        <f t="shared" si="56"/>
        <v>10.237443205059028</v>
      </c>
      <c r="AZ210" s="64">
        <f t="shared" si="57"/>
        <v>-330.46459979458552</v>
      </c>
      <c r="BA210" s="64">
        <f t="shared" si="58"/>
        <v>-371.35660142327777</v>
      </c>
      <c r="BB210" s="65">
        <f t="shared" si="59"/>
        <v>5066.4285794724474</v>
      </c>
      <c r="BC210" s="65">
        <f t="shared" si="60"/>
        <v>35031.059743656384</v>
      </c>
      <c r="BD210" s="66">
        <f t="shared" si="61"/>
        <v>29986.692477913839</v>
      </c>
    </row>
    <row r="211" spans="31:56" x14ac:dyDescent="0.25">
      <c r="AE211" s="71">
        <v>149</v>
      </c>
      <c r="AF211" s="17">
        <v>3.0159289474462017</v>
      </c>
      <c r="AG211" s="18">
        <v>-27485.200463212037</v>
      </c>
      <c r="AH211" s="20">
        <v>10470.928896469848</v>
      </c>
      <c r="AN211" s="23">
        <v>206</v>
      </c>
      <c r="AO211" s="58">
        <v>103</v>
      </c>
      <c r="AP211" s="45">
        <f t="shared" si="62"/>
        <v>14054.035742477252</v>
      </c>
      <c r="AQ211" s="45">
        <f t="shared" si="63"/>
        <v>5346.3695779460186</v>
      </c>
      <c r="AR211" s="45">
        <f t="shared" si="64"/>
        <v>-1760.9962062886864</v>
      </c>
      <c r="AS211" s="45">
        <f t="shared" si="65"/>
        <v>-4109.7646189079387</v>
      </c>
      <c r="AT211" s="45">
        <f t="shared" si="51"/>
        <v>1353.7551257828941</v>
      </c>
      <c r="AU211" s="45">
        <f t="shared" si="52"/>
        <v>289.98554456359955</v>
      </c>
      <c r="AV211" s="64">
        <f t="shared" si="53"/>
        <v>1879.5904412819393</v>
      </c>
      <c r="AW211" s="64">
        <f t="shared" si="54"/>
        <v>680.78834315649522</v>
      </c>
      <c r="AX211" s="64">
        <f t="shared" si="55"/>
        <v>-141.71864423374723</v>
      </c>
      <c r="AY211" s="64">
        <f t="shared" si="56"/>
        <v>19.366462147562061</v>
      </c>
      <c r="AZ211" s="64">
        <f t="shared" si="57"/>
        <v>-384.11667126529812</v>
      </c>
      <c r="BA211" s="64">
        <f t="shared" si="58"/>
        <v>-410.16926074045773</v>
      </c>
      <c r="BB211" s="65">
        <f t="shared" si="59"/>
        <v>6323.9714536463916</v>
      </c>
      <c r="BC211" s="65">
        <f t="shared" si="60"/>
        <v>34370.534276542523</v>
      </c>
      <c r="BD211" s="66">
        <f t="shared" si="61"/>
        <v>27875.276376710022</v>
      </c>
    </row>
    <row r="212" spans="31:56" x14ac:dyDescent="0.25">
      <c r="AE212" s="71">
        <v>150</v>
      </c>
      <c r="AF212" s="17">
        <v>3.0787608005179976</v>
      </c>
      <c r="AG212" s="18">
        <v>-27500</v>
      </c>
      <c r="AH212" s="20">
        <v>9999.9999999999982</v>
      </c>
      <c r="AN212" s="23">
        <v>207</v>
      </c>
      <c r="AO212" s="58">
        <v>103.5</v>
      </c>
      <c r="AP212" s="45">
        <f t="shared" si="62"/>
        <v>13511.976420778632</v>
      </c>
      <c r="AQ212" s="45">
        <f t="shared" si="63"/>
        <v>3363.9836546329493</v>
      </c>
      <c r="AR212" s="45">
        <f t="shared" si="64"/>
        <v>-1084.1186433972393</v>
      </c>
      <c r="AS212" s="45">
        <f t="shared" si="65"/>
        <v>-3964.771846626139</v>
      </c>
      <c r="AT212" s="45">
        <f t="shared" si="51"/>
        <v>1104.2593275779818</v>
      </c>
      <c r="AU212" s="45">
        <f t="shared" si="52"/>
        <v>664.7586384757135</v>
      </c>
      <c r="AV212" s="64">
        <f t="shared" si="53"/>
        <v>1691.1885227767473</v>
      </c>
      <c r="AW212" s="64">
        <f t="shared" si="54"/>
        <v>1078.1069593679301</v>
      </c>
      <c r="AX212" s="64">
        <f t="shared" si="55"/>
        <v>-141.92032459435234</v>
      </c>
      <c r="AY212" s="64">
        <f t="shared" si="56"/>
        <v>28.102955848464326</v>
      </c>
      <c r="AZ212" s="64">
        <f t="shared" si="57"/>
        <v>-445.00887060441295</v>
      </c>
      <c r="BA212" s="64">
        <f t="shared" si="58"/>
        <v>-441.45127674068095</v>
      </c>
      <c r="BB212" s="65">
        <f t="shared" si="59"/>
        <v>7694.2238837764444</v>
      </c>
      <c r="BC212" s="65">
        <f t="shared" si="60"/>
        <v>34162.688368493509</v>
      </c>
      <c r="BD212" s="66">
        <f t="shared" si="61"/>
        <v>26075.451418356886</v>
      </c>
    </row>
    <row r="213" spans="31:56" x14ac:dyDescent="0.25">
      <c r="AE213" s="71">
        <v>151</v>
      </c>
      <c r="AF213" s="17">
        <v>3.1415926535897936</v>
      </c>
      <c r="AG213" s="18">
        <v>-27485.200463212037</v>
      </c>
      <c r="AH213" s="20">
        <v>9529.0711035301501</v>
      </c>
      <c r="AN213" s="23">
        <v>208</v>
      </c>
      <c r="AO213" s="58">
        <v>104</v>
      </c>
      <c r="AP213" s="45">
        <f t="shared" si="62"/>
        <v>13245.981930974507</v>
      </c>
      <c r="AQ213" s="45">
        <f t="shared" si="63"/>
        <v>1547.7873909388081</v>
      </c>
      <c r="AR213" s="45">
        <f t="shared" si="64"/>
        <v>-531.98897960824843</v>
      </c>
      <c r="AS213" s="45">
        <f t="shared" si="65"/>
        <v>-3632.3925273882824</v>
      </c>
      <c r="AT213" s="45">
        <f t="shared" si="51"/>
        <v>804.09421233446733</v>
      </c>
      <c r="AU213" s="45">
        <f t="shared" si="52"/>
        <v>853.58736586878172</v>
      </c>
      <c r="AV213" s="64">
        <f t="shared" si="53"/>
        <v>1451.7067515643605</v>
      </c>
      <c r="AW213" s="64">
        <f t="shared" si="54"/>
        <v>1279.3669106318221</v>
      </c>
      <c r="AX213" s="64">
        <f t="shared" si="55"/>
        <v>-139.13516680766955</v>
      </c>
      <c r="AY213" s="64">
        <f t="shared" si="56"/>
        <v>35.372695975629014</v>
      </c>
      <c r="AZ213" s="64">
        <f t="shared" si="57"/>
        <v>-508.47737242222371</v>
      </c>
      <c r="BA213" s="64">
        <f t="shared" si="58"/>
        <v>-461.15224073866949</v>
      </c>
      <c r="BB213" s="65">
        <f t="shared" si="59"/>
        <v>9002.5327003121674</v>
      </c>
      <c r="BC213" s="65">
        <f t="shared" si="60"/>
        <v>34303.574340634776</v>
      </c>
      <c r="BD213" s="66">
        <f t="shared" si="61"/>
        <v>24632.196900828025</v>
      </c>
    </row>
    <row r="214" spans="31:56" x14ac:dyDescent="0.25">
      <c r="AE214" s="71">
        <v>152</v>
      </c>
      <c r="AF214" s="17">
        <v>3.2044245066615891</v>
      </c>
      <c r="AG214" s="18">
        <v>-27440.860259858586</v>
      </c>
      <c r="AH214" s="20">
        <v>9060.0007482677174</v>
      </c>
      <c r="AN214" s="23">
        <v>209</v>
      </c>
      <c r="AO214" s="58">
        <v>104.5</v>
      </c>
      <c r="AP214" s="45">
        <f t="shared" si="62"/>
        <v>13181.010994253998</v>
      </c>
      <c r="AQ214" s="45">
        <f t="shared" si="63"/>
        <v>-55.012031288137621</v>
      </c>
      <c r="AR214" s="45">
        <f t="shared" si="64"/>
        <v>-129.94187344101476</v>
      </c>
      <c r="AS214" s="45">
        <f t="shared" si="65"/>
        <v>-3205.5988444538916</v>
      </c>
      <c r="AT214" s="45">
        <f t="shared" si="51"/>
        <v>525.23686667851325</v>
      </c>
      <c r="AU214" s="45">
        <f t="shared" si="52"/>
        <v>934.71787537520709</v>
      </c>
      <c r="AV214" s="64">
        <f t="shared" si="53"/>
        <v>1229.210128803606</v>
      </c>
      <c r="AW214" s="64">
        <f t="shared" si="54"/>
        <v>1361.8877086129742</v>
      </c>
      <c r="AX214" s="64">
        <f t="shared" si="55"/>
        <v>-134.66455452669217</v>
      </c>
      <c r="AY214" s="64">
        <f t="shared" si="56"/>
        <v>40.80809099482925</v>
      </c>
      <c r="AZ214" s="64">
        <f t="shared" si="57"/>
        <v>-569.30870759840059</v>
      </c>
      <c r="BA214" s="64">
        <f t="shared" si="58"/>
        <v>-467.97792423259619</v>
      </c>
      <c r="BB214" s="65">
        <f t="shared" si="59"/>
        <v>10177.269665946429</v>
      </c>
      <c r="BC214" s="65">
        <f t="shared" si="60"/>
        <v>34671.065134347315</v>
      </c>
      <c r="BD214" s="66">
        <f t="shared" si="61"/>
        <v>23535.118996047739</v>
      </c>
    </row>
    <row r="215" spans="31:56" x14ac:dyDescent="0.25">
      <c r="AE215" s="71">
        <v>153</v>
      </c>
      <c r="AF215" s="17">
        <v>3.267256359733385</v>
      </c>
      <c r="AG215" s="18">
        <v>-27367.154380465166</v>
      </c>
      <c r="AH215" s="20">
        <v>8594.6401406070636</v>
      </c>
      <c r="AN215" s="23">
        <v>210</v>
      </c>
      <c r="AO215" s="58">
        <v>105</v>
      </c>
      <c r="AP215" s="45">
        <f t="shared" si="62"/>
        <v>13247.349274203119</v>
      </c>
      <c r="AQ215" s="45">
        <f t="shared" si="63"/>
        <v>-1424.1319846712818</v>
      </c>
      <c r="AR215" s="45">
        <f t="shared" si="64"/>
        <v>132.67655989824186</v>
      </c>
      <c r="AS215" s="45">
        <f t="shared" si="65"/>
        <v>-2738.2399067662882</v>
      </c>
      <c r="AT215" s="45">
        <f t="shared" si="51"/>
        <v>293.30671567620789</v>
      </c>
      <c r="AU215" s="45">
        <f t="shared" si="52"/>
        <v>963.33792460295626</v>
      </c>
      <c r="AV215" s="64">
        <f t="shared" si="53"/>
        <v>1045.9458249894064</v>
      </c>
      <c r="AW215" s="64">
        <f t="shared" si="54"/>
        <v>1382.2954821818996</v>
      </c>
      <c r="AX215" s="64">
        <f t="shared" si="55"/>
        <v>-129.6424657790042</v>
      </c>
      <c r="AY215" s="64">
        <f t="shared" si="56"/>
        <v>44.546487831639979</v>
      </c>
      <c r="AZ215" s="64">
        <f t="shared" si="57"/>
        <v>-622.99664353419439</v>
      </c>
      <c r="BA215" s="64">
        <f t="shared" si="58"/>
        <v>-463.50404541058333</v>
      </c>
      <c r="BB215" s="65">
        <f t="shared" si="59"/>
        <v>11190.997431169311</v>
      </c>
      <c r="BC215" s="65">
        <f t="shared" si="60"/>
        <v>35155.327126397846</v>
      </c>
      <c r="BD215" s="66">
        <f t="shared" si="61"/>
        <v>22743.569374757044</v>
      </c>
    </row>
    <row r="216" spans="31:56" x14ac:dyDescent="0.25">
      <c r="AE216" s="71">
        <v>154</v>
      </c>
      <c r="AF216" s="17">
        <v>3.330088212805181</v>
      </c>
      <c r="AG216" s="18">
        <v>-27264.373708464733</v>
      </c>
      <c r="AH216" s="20">
        <v>8134.8258462635877</v>
      </c>
      <c r="AN216" s="23">
        <v>211</v>
      </c>
      <c r="AO216" s="58">
        <v>105.5</v>
      </c>
      <c r="AP216" s="45">
        <f t="shared" si="62"/>
        <v>13387.014233071292</v>
      </c>
      <c r="AQ216" s="45">
        <f t="shared" si="63"/>
        <v>-2552.4174569036868</v>
      </c>
      <c r="AR216" s="45">
        <f t="shared" si="64"/>
        <v>279.32991773634581</v>
      </c>
      <c r="AS216" s="45">
        <f t="shared" si="65"/>
        <v>-2256.5709444648101</v>
      </c>
      <c r="AT216" s="45">
        <f t="shared" si="51"/>
        <v>112.61333376587311</v>
      </c>
      <c r="AU216" s="45">
        <f t="shared" si="52"/>
        <v>969.98247349158032</v>
      </c>
      <c r="AV216" s="64">
        <f t="shared" si="53"/>
        <v>904.11815263643985</v>
      </c>
      <c r="AW216" s="64">
        <f t="shared" si="54"/>
        <v>1374.3524364013713</v>
      </c>
      <c r="AX216" s="64">
        <f t="shared" si="55"/>
        <v>-124.85039292495902</v>
      </c>
      <c r="AY216" s="64">
        <f t="shared" si="56"/>
        <v>46.93963469486247</v>
      </c>
      <c r="AZ216" s="64">
        <f t="shared" si="57"/>
        <v>-666.65442594560773</v>
      </c>
      <c r="BA216" s="64">
        <f t="shared" si="58"/>
        <v>-451.30959760465345</v>
      </c>
      <c r="BB216" s="65">
        <f t="shared" si="59"/>
        <v>12032.567368665079</v>
      </c>
      <c r="BC216" s="65">
        <f t="shared" si="60"/>
        <v>35668.696407517971</v>
      </c>
      <c r="BD216" s="66">
        <f t="shared" si="61"/>
        <v>22204.157348892171</v>
      </c>
    </row>
    <row r="217" spans="31:56" x14ac:dyDescent="0.25">
      <c r="AE217" s="71">
        <v>155</v>
      </c>
      <c r="AF217" s="17">
        <v>3.3929200658769769</v>
      </c>
      <c r="AG217" s="18">
        <v>-27132.923872213651</v>
      </c>
      <c r="AH217" s="20">
        <v>7682.3725421878917</v>
      </c>
      <c r="AN217" s="23">
        <v>212</v>
      </c>
      <c r="AO217" s="58">
        <v>106</v>
      </c>
      <c r="AP217" s="45">
        <f t="shared" si="62"/>
        <v>13554.832525380933</v>
      </c>
      <c r="AQ217" s="45">
        <f t="shared" si="63"/>
        <v>-3438.2073107631968</v>
      </c>
      <c r="AR217" s="45">
        <f t="shared" si="64"/>
        <v>335.63658461928236</v>
      </c>
      <c r="AS217" s="45">
        <f t="shared" si="65"/>
        <v>-1771.57970771902</v>
      </c>
      <c r="AT217" s="45">
        <f t="shared" si="51"/>
        <v>-20.482115200346129</v>
      </c>
      <c r="AU217" s="45">
        <f t="shared" si="52"/>
        <v>969.49009202938305</v>
      </c>
      <c r="AV217" s="64">
        <f t="shared" si="53"/>
        <v>799.48730470748217</v>
      </c>
      <c r="AW217" s="64">
        <f t="shared" si="54"/>
        <v>1356.823994977819</v>
      </c>
      <c r="AX217" s="64">
        <f t="shared" si="55"/>
        <v>-120.75153802535435</v>
      </c>
      <c r="AY217" s="64">
        <f t="shared" si="56"/>
        <v>48.359180450411003</v>
      </c>
      <c r="AZ217" s="64">
        <f t="shared" si="57"/>
        <v>-699.21788188247399</v>
      </c>
      <c r="BA217" s="64">
        <f t="shared" si="58"/>
        <v>-435.69308339884697</v>
      </c>
      <c r="BB217" s="65">
        <f t="shared" si="59"/>
        <v>12695.848256383697</v>
      </c>
      <c r="BC217" s="65">
        <f t="shared" si="60"/>
        <v>36145.707926853654</v>
      </c>
      <c r="BD217" s="66">
        <f t="shared" si="61"/>
        <v>21862.224503325906</v>
      </c>
    </row>
    <row r="218" spans="31:56" x14ac:dyDescent="0.25">
      <c r="AE218" s="71">
        <v>156</v>
      </c>
      <c r="AF218" s="17">
        <v>3.4557519189487729</v>
      </c>
      <c r="AG218" s="18">
        <v>-26973.323644161886</v>
      </c>
      <c r="AH218" s="20">
        <v>7239.0658548649126</v>
      </c>
      <c r="AN218" s="23">
        <v>213</v>
      </c>
      <c r="AO218" s="58">
        <v>106.5</v>
      </c>
      <c r="AP218" s="45">
        <f t="shared" si="62"/>
        <v>13717.530288890486</v>
      </c>
      <c r="AQ218" s="45">
        <f t="shared" si="63"/>
        <v>-4081.6246416153608</v>
      </c>
      <c r="AR218" s="45">
        <f t="shared" si="64"/>
        <v>325.39552701910929</v>
      </c>
      <c r="AS218" s="45">
        <f t="shared" si="65"/>
        <v>-1286.8346617043285</v>
      </c>
      <c r="AT218" s="45">
        <f t="shared" si="51"/>
        <v>-111.74641830743042</v>
      </c>
      <c r="AU218" s="45">
        <f t="shared" si="52"/>
        <v>968.46823303923429</v>
      </c>
      <c r="AV218" s="64">
        <f t="shared" si="53"/>
        <v>726.85312149271624</v>
      </c>
      <c r="AW218" s="64">
        <f t="shared" si="54"/>
        <v>1339.9412030318254</v>
      </c>
      <c r="AX218" s="64">
        <f t="shared" si="55"/>
        <v>-117.58912899228656</v>
      </c>
      <c r="AY218" s="64">
        <f t="shared" si="56"/>
        <v>49.109349416064752</v>
      </c>
      <c r="AZ218" s="64">
        <f t="shared" si="57"/>
        <v>-721.01041080786013</v>
      </c>
      <c r="BA218" s="64">
        <f t="shared" si="58"/>
        <v>-420.58231940865579</v>
      </c>
      <c r="BB218" s="65">
        <f t="shared" si="59"/>
        <v>13175.866385565718</v>
      </c>
      <c r="BC218" s="65">
        <f t="shared" si="60"/>
        <v>36539.896022424531</v>
      </c>
      <c r="BD218" s="66">
        <f t="shared" si="61"/>
        <v>21669.260729939859</v>
      </c>
    </row>
    <row r="219" spans="31:56" x14ac:dyDescent="0.25">
      <c r="AE219" s="71">
        <v>157</v>
      </c>
      <c r="AF219" s="17">
        <v>3.5185837720205688</v>
      </c>
      <c r="AG219" s="18">
        <v>-26786.202893495145</v>
      </c>
      <c r="AH219" s="20">
        <v>6806.6553132619556</v>
      </c>
      <c r="AN219" s="23">
        <v>214</v>
      </c>
      <c r="AO219" s="58">
        <v>107</v>
      </c>
      <c r="AP219" s="45">
        <f t="shared" si="62"/>
        <v>13852.291447823183</v>
      </c>
      <c r="AQ219" s="45">
        <f t="shared" si="63"/>
        <v>-4482.924914207716</v>
      </c>
      <c r="AR219" s="45">
        <f t="shared" si="64"/>
        <v>269.52231786539409</v>
      </c>
      <c r="AS219" s="45">
        <f t="shared" si="65"/>
        <v>-802.60054518471134</v>
      </c>
      <c r="AT219" s="45">
        <f t="shared" si="51"/>
        <v>-166.53556906878555</v>
      </c>
      <c r="AU219" s="45">
        <f t="shared" si="52"/>
        <v>969.73570658249457</v>
      </c>
      <c r="AV219" s="64">
        <f t="shared" si="53"/>
        <v>681.96316727385931</v>
      </c>
      <c r="AW219" s="64">
        <f t="shared" si="54"/>
        <v>1329.2616847954469</v>
      </c>
      <c r="AX219" s="64">
        <f t="shared" si="55"/>
        <v>-115.47560648844102</v>
      </c>
      <c r="AY219" s="64">
        <f t="shared" si="56"/>
        <v>49.403584415324154</v>
      </c>
      <c r="AZ219" s="64">
        <f t="shared" si="57"/>
        <v>-733.02312985420383</v>
      </c>
      <c r="BA219" s="64">
        <f t="shared" si="58"/>
        <v>-408.92956262827636</v>
      </c>
      <c r="BB219" s="65">
        <f t="shared" si="59"/>
        <v>13467.917802765505</v>
      </c>
      <c r="BC219" s="65">
        <f t="shared" si="60"/>
        <v>36820.276347943684</v>
      </c>
      <c r="BD219" s="66">
        <f t="shared" si="61"/>
        <v>21587.444526711817</v>
      </c>
    </row>
    <row r="220" spans="31:56" x14ac:dyDescent="0.25">
      <c r="AE220" s="71">
        <v>158</v>
      </c>
      <c r="AF220" s="17">
        <v>3.5814156250923643</v>
      </c>
      <c r="AG220" s="18">
        <v>-26572.300100328976</v>
      </c>
      <c r="AH220" s="20">
        <v>6386.8474442371353</v>
      </c>
      <c r="AN220" s="23">
        <v>215</v>
      </c>
      <c r="AO220" s="58">
        <v>107.5</v>
      </c>
      <c r="AP220" s="45">
        <f t="shared" si="62"/>
        <v>13945.418714488684</v>
      </c>
      <c r="AQ220" s="45">
        <f t="shared" si="63"/>
        <v>-4641.7912601544476</v>
      </c>
      <c r="AR220" s="45">
        <f t="shared" si="64"/>
        <v>186.25453333100131</v>
      </c>
      <c r="AS220" s="45">
        <f t="shared" si="65"/>
        <v>-317.73269189346405</v>
      </c>
      <c r="AT220" s="45">
        <f t="shared" si="51"/>
        <v>-188.60684924549889</v>
      </c>
      <c r="AU220" s="45">
        <f t="shared" si="52"/>
        <v>974.58754314033536</v>
      </c>
      <c r="AV220" s="64">
        <f t="shared" si="53"/>
        <v>662.09352512023668</v>
      </c>
      <c r="AW220" s="64">
        <f t="shared" si="54"/>
        <v>1327.755132456007</v>
      </c>
      <c r="AX220" s="64">
        <f t="shared" si="55"/>
        <v>-114.45354721433692</v>
      </c>
      <c r="AY220" s="64">
        <f t="shared" si="56"/>
        <v>49.367632239023784</v>
      </c>
      <c r="AZ220" s="64">
        <f t="shared" si="57"/>
        <v>-736.24682715139863</v>
      </c>
      <c r="BA220" s="64">
        <f t="shared" si="58"/>
        <v>-402.53522155469545</v>
      </c>
      <c r="BB220" s="65">
        <f t="shared" si="59"/>
        <v>13567.647163308264</v>
      </c>
      <c r="BC220" s="65">
        <f t="shared" si="60"/>
        <v>36968.547483068542</v>
      </c>
      <c r="BD220" s="66">
        <f t="shared" si="61"/>
        <v>21592.160118096355</v>
      </c>
    </row>
    <row r="221" spans="31:56" x14ac:dyDescent="0.25">
      <c r="AE221" s="71">
        <v>159</v>
      </c>
      <c r="AF221" s="17">
        <v>3.6442474781641603</v>
      </c>
      <c r="AG221" s="18">
        <v>-26332.459441265113</v>
      </c>
      <c r="AH221" s="20">
        <v>5981.2990376575244</v>
      </c>
      <c r="AN221" s="23">
        <v>216</v>
      </c>
      <c r="AO221" s="58">
        <v>108</v>
      </c>
      <c r="AP221" s="45">
        <f t="shared" si="62"/>
        <v>13991.394268842809</v>
      </c>
      <c r="AQ221" s="45">
        <f t="shared" si="63"/>
        <v>-4557.0107203160951</v>
      </c>
      <c r="AR221" s="45">
        <f t="shared" si="64"/>
        <v>91.951108708251866</v>
      </c>
      <c r="AS221" s="45">
        <f t="shared" si="65"/>
        <v>169.56107967670363</v>
      </c>
      <c r="AT221" s="45">
        <f t="shared" si="51"/>
        <v>-179.54531235587604</v>
      </c>
      <c r="AU221" s="45">
        <f t="shared" si="52"/>
        <v>983.79860646529175</v>
      </c>
      <c r="AV221" s="64">
        <f t="shared" si="53"/>
        <v>666.21274184553249</v>
      </c>
      <c r="AW221" s="64">
        <f t="shared" si="54"/>
        <v>1336.8382832627276</v>
      </c>
      <c r="AX221" s="64">
        <f t="shared" si="55"/>
        <v>-114.52992454911825</v>
      </c>
      <c r="AY221" s="64">
        <f t="shared" si="56"/>
        <v>49.048101006751267</v>
      </c>
      <c r="AZ221" s="64">
        <f t="shared" si="57"/>
        <v>-731.22812965229025</v>
      </c>
      <c r="BA221" s="64">
        <f t="shared" si="58"/>
        <v>-402.08777780418711</v>
      </c>
      <c r="BB221" s="65">
        <f t="shared" si="59"/>
        <v>13471.260161629731</v>
      </c>
      <c r="BC221" s="65">
        <f t="shared" si="60"/>
        <v>36977.309873100792</v>
      </c>
      <c r="BD221" s="66">
        <f t="shared" si="61"/>
        <v>21673.234215737815</v>
      </c>
    </row>
    <row r="222" spans="31:56" x14ac:dyDescent="0.25">
      <c r="AE222" s="71">
        <v>160</v>
      </c>
      <c r="AF222" s="17">
        <v>3.7070793312359562</v>
      </c>
      <c r="AG222" s="18">
        <v>-26067.627457812105</v>
      </c>
      <c r="AH222" s="20">
        <v>5591.6106078064495</v>
      </c>
      <c r="AN222" s="23">
        <v>217</v>
      </c>
      <c r="AO222" s="58">
        <v>108.5</v>
      </c>
      <c r="AP222" s="45">
        <f t="shared" si="62"/>
        <v>13992.483495107965</v>
      </c>
      <c r="AQ222" s="45">
        <f t="shared" si="63"/>
        <v>-4226.2805288614209</v>
      </c>
      <c r="AR222" s="45">
        <f t="shared" si="64"/>
        <v>2.178452530313848</v>
      </c>
      <c r="AS222" s="45">
        <f t="shared" si="65"/>
        <v>661.46038290934951</v>
      </c>
      <c r="AT222" s="45">
        <f t="shared" si="51"/>
        <v>-138.50586893589093</v>
      </c>
      <c r="AU222" s="45">
        <f t="shared" si="52"/>
        <v>997.91987738204114</v>
      </c>
      <c r="AV222" s="64">
        <f t="shared" si="53"/>
        <v>695.07104098493551</v>
      </c>
      <c r="AW222" s="64">
        <f t="shared" si="54"/>
        <v>1356.7333535313471</v>
      </c>
      <c r="AX222" s="64">
        <f t="shared" si="55"/>
        <v>-115.68895812779979</v>
      </c>
      <c r="AY222" s="64">
        <f t="shared" si="56"/>
        <v>48.417279445164439</v>
      </c>
      <c r="AZ222" s="64">
        <f t="shared" si="57"/>
        <v>-717.88795179302667</v>
      </c>
      <c r="BA222" s="64">
        <f t="shared" si="58"/>
        <v>-407.23075559447045</v>
      </c>
      <c r="BB222" s="65">
        <f t="shared" si="59"/>
        <v>13175.580047880423</v>
      </c>
      <c r="BC222" s="65">
        <f t="shared" si="60"/>
        <v>36849.368947799492</v>
      </c>
      <c r="BD222" s="66">
        <f t="shared" si="61"/>
        <v>21835.463369361754</v>
      </c>
    </row>
    <row r="223" spans="31:56" x14ac:dyDescent="0.25">
      <c r="AE223" s="71">
        <v>161</v>
      </c>
      <c r="AF223" s="17">
        <v>3.7699111843077522</v>
      </c>
      <c r="AG223" s="18">
        <v>-25778.849320818419</v>
      </c>
      <c r="AH223" s="20">
        <v>5219.3200768848255</v>
      </c>
      <c r="AN223" s="23">
        <v>218</v>
      </c>
      <c r="AO223" s="58">
        <v>109</v>
      </c>
      <c r="AP223" s="45">
        <f t="shared" si="62"/>
        <v>13958.946254139149</v>
      </c>
      <c r="AQ223" s="45">
        <f t="shared" si="63"/>
        <v>-3646.070368061236</v>
      </c>
      <c r="AR223" s="45">
        <f t="shared" si="64"/>
        <v>-67.074481937631617</v>
      </c>
      <c r="AS223" s="45">
        <f t="shared" si="65"/>
        <v>1160.42032160037</v>
      </c>
      <c r="AT223" s="45">
        <f t="shared" si="51"/>
        <v>-62.156510053693864</v>
      </c>
      <c r="AU223" s="45">
        <f t="shared" si="52"/>
        <v>1017.033746082809</v>
      </c>
      <c r="AV223" s="64">
        <f t="shared" si="53"/>
        <v>751.32315964090083</v>
      </c>
      <c r="AW223" s="64">
        <f t="shared" si="54"/>
        <v>1386.2317997500695</v>
      </c>
      <c r="AX223" s="64">
        <f t="shared" si="55"/>
        <v>-117.88625876114516</v>
      </c>
      <c r="AY223" s="64">
        <f t="shared" si="56"/>
        <v>47.371439927585641</v>
      </c>
      <c r="AZ223" s="64">
        <f t="shared" si="57"/>
        <v>-695.59341093344949</v>
      </c>
      <c r="BA223" s="64">
        <f t="shared" si="58"/>
        <v>-416.56949359484622</v>
      </c>
      <c r="BB223" s="65">
        <f t="shared" si="59"/>
        <v>12677.902626623702</v>
      </c>
      <c r="BC223" s="65">
        <f t="shared" si="60"/>
        <v>36598.159341442159</v>
      </c>
      <c r="BD223" s="66">
        <f t="shared" si="61"/>
        <v>22098.71854100038</v>
      </c>
    </row>
    <row r="224" spans="31:56" x14ac:dyDescent="0.25">
      <c r="AE224" s="71">
        <v>162</v>
      </c>
      <c r="AF224" s="17">
        <v>3.8327430373795481</v>
      </c>
      <c r="AG224" s="18">
        <v>-25467.264705660586</v>
      </c>
      <c r="AH224" s="20">
        <v>4865.8967055348348</v>
      </c>
      <c r="AN224" s="23">
        <v>219</v>
      </c>
      <c r="AO224" s="58">
        <v>109.5</v>
      </c>
      <c r="AP224" s="45">
        <f t="shared" si="62"/>
        <v>13909.86988565691</v>
      </c>
      <c r="AQ224" s="45">
        <f t="shared" si="63"/>
        <v>-2811.6017707403489</v>
      </c>
      <c r="AR224" s="45">
        <f t="shared" si="64"/>
        <v>-98.152736964478549</v>
      </c>
      <c r="AS224" s="45">
        <f t="shared" si="65"/>
        <v>1668.9371946417746</v>
      </c>
      <c r="AT224" s="45">
        <f t="shared" si="51"/>
        <v>55.139358937789439</v>
      </c>
      <c r="AU224" s="45">
        <f t="shared" si="52"/>
        <v>1039.729646823369</v>
      </c>
      <c r="AV224" s="64">
        <f t="shared" si="53"/>
        <v>839.64165396533019</v>
      </c>
      <c r="AW224" s="64">
        <f t="shared" si="54"/>
        <v>1421.6527731362191</v>
      </c>
      <c r="AX224" s="64">
        <f t="shared" si="55"/>
        <v>-121.0228110411357</v>
      </c>
      <c r="AY224" s="64">
        <f t="shared" si="56"/>
        <v>45.724034490925973</v>
      </c>
      <c r="AZ224" s="64">
        <f t="shared" si="57"/>
        <v>-663.47948398640506</v>
      </c>
      <c r="BA224" s="64">
        <f t="shared" si="58"/>
        <v>-427.64716080377622</v>
      </c>
      <c r="BB224" s="65">
        <f t="shared" si="59"/>
        <v>11975.759511945957</v>
      </c>
      <c r="BC224" s="65">
        <f t="shared" si="60"/>
        <v>36249.364347450544</v>
      </c>
      <c r="BD224" s="66">
        <f t="shared" si="61"/>
        <v>22497.560545256765</v>
      </c>
    </row>
    <row r="225" spans="31:56" x14ac:dyDescent="0.25">
      <c r="AE225" s="71">
        <v>163</v>
      </c>
      <c r="AF225" s="17">
        <v>3.8955748904513436</v>
      </c>
      <c r="AG225" s="18">
        <v>-25134.103294465163</v>
      </c>
      <c r="AH225" s="20">
        <v>4532.7352943394135</v>
      </c>
      <c r="AN225" s="23">
        <v>220</v>
      </c>
      <c r="AO225" s="58">
        <v>110</v>
      </c>
      <c r="AP225" s="45">
        <f t="shared" si="62"/>
        <v>13874.578356909118</v>
      </c>
      <c r="AQ225" s="45">
        <f t="shared" si="63"/>
        <v>-1717.2007617136194</v>
      </c>
      <c r="AR225" s="45">
        <f t="shared" si="64"/>
        <v>-70.58305749558383</v>
      </c>
      <c r="AS225" s="45">
        <f t="shared" si="65"/>
        <v>2188.8020180534591</v>
      </c>
      <c r="AT225" s="45">
        <f t="shared" si="51"/>
        <v>220.60585805091182</v>
      </c>
      <c r="AU225" s="45">
        <f t="shared" si="52"/>
        <v>1060.5202287827587</v>
      </c>
      <c r="AV225" s="64">
        <f t="shared" si="53"/>
        <v>966.50750944147023</v>
      </c>
      <c r="AW225" s="64">
        <f t="shared" si="54"/>
        <v>1454.3478426948961</v>
      </c>
      <c r="AX225" s="64">
        <f t="shared" si="55"/>
        <v>-124.89366530234813</v>
      </c>
      <c r="AY225" s="64">
        <f t="shared" si="56"/>
        <v>43.200660235388604</v>
      </c>
      <c r="AZ225" s="64">
        <f t="shared" si="57"/>
        <v>-621.00798608821026</v>
      </c>
      <c r="BA225" s="64">
        <f t="shared" si="58"/>
        <v>-437.02827414752602</v>
      </c>
      <c r="BB225" s="65">
        <f t="shared" si="59"/>
        <v>11066.958940349436</v>
      </c>
      <c r="BC225" s="65">
        <f t="shared" si="60"/>
        <v>35843.825863719925</v>
      </c>
      <c r="BD225" s="66">
        <f t="shared" si="61"/>
        <v>23079.914725919665</v>
      </c>
    </row>
    <row r="226" spans="31:56" x14ac:dyDescent="0.25">
      <c r="AE226" s="71">
        <v>164</v>
      </c>
      <c r="AF226" s="17">
        <v>3.9584067435231396</v>
      </c>
      <c r="AG226" s="18">
        <v>-24780.679923115171</v>
      </c>
      <c r="AH226" s="20">
        <v>4221.15067918158</v>
      </c>
      <c r="AN226" s="23">
        <v>221</v>
      </c>
      <c r="AO226" s="58">
        <v>110.5</v>
      </c>
      <c r="AP226" s="45">
        <f t="shared" si="62"/>
        <v>13894.438292674055</v>
      </c>
      <c r="AQ226" s="45">
        <f t="shared" si="63"/>
        <v>-357.66969549120017</v>
      </c>
      <c r="AR226" s="45">
        <f t="shared" si="64"/>
        <v>39.71987152987208</v>
      </c>
      <c r="AS226" s="45">
        <f t="shared" si="65"/>
        <v>2719.0621324448384</v>
      </c>
      <c r="AT226" s="45">
        <f t="shared" si="51"/>
        <v>440.83362442519433</v>
      </c>
      <c r="AU226" s="45">
        <f t="shared" si="52"/>
        <v>1064.1177539910491</v>
      </c>
      <c r="AV226" s="64">
        <f t="shared" si="53"/>
        <v>1138.6135815307027</v>
      </c>
      <c r="AW226" s="64">
        <f t="shared" si="54"/>
        <v>1465.3605783286655</v>
      </c>
      <c r="AX226" s="64">
        <f t="shared" si="55"/>
        <v>-129.10657993840388</v>
      </c>
      <c r="AY226" s="64">
        <f t="shared" si="56"/>
        <v>39.453178098707419</v>
      </c>
      <c r="AZ226" s="64">
        <f t="shared" si="57"/>
        <v>-568.67337716710449</v>
      </c>
      <c r="BA226" s="64">
        <f t="shared" si="58"/>
        <v>-440.69600243632391</v>
      </c>
      <c r="BB226" s="65">
        <f t="shared" si="59"/>
        <v>9950.9224097771803</v>
      </c>
      <c r="BC226" s="65">
        <f t="shared" si="60"/>
        <v>35441.702395578934</v>
      </c>
      <c r="BD226" s="66">
        <f t="shared" si="61"/>
        <v>23903.925099071163</v>
      </c>
    </row>
    <row r="227" spans="31:56" x14ac:dyDescent="0.25">
      <c r="AE227" s="71">
        <v>165</v>
      </c>
      <c r="AF227" s="17">
        <v>4.0212385965949355</v>
      </c>
      <c r="AG227" s="18">
        <v>-24408.389392193549</v>
      </c>
      <c r="AH227" s="20">
        <v>3932.3725421878953</v>
      </c>
      <c r="AN227" s="23">
        <v>222</v>
      </c>
      <c r="AO227" s="58">
        <v>111</v>
      </c>
      <c r="AP227" s="45">
        <f t="shared" si="62"/>
        <v>14024.506634545289</v>
      </c>
      <c r="AQ227" s="45">
        <f t="shared" si="63"/>
        <v>1267.8908092289812</v>
      </c>
      <c r="AR227" s="45">
        <f t="shared" si="64"/>
        <v>260.13668374246924</v>
      </c>
      <c r="AS227" s="45">
        <f t="shared" si="65"/>
        <v>3251.1210094403632</v>
      </c>
      <c r="AT227" s="45">
        <f t="shared" si="51"/>
        <v>715.18097557036344</v>
      </c>
      <c r="AU227" s="45">
        <f t="shared" si="52"/>
        <v>1014.2533853168155</v>
      </c>
      <c r="AV227" s="64">
        <f t="shared" si="53"/>
        <v>1356.7775138629702</v>
      </c>
      <c r="AW227" s="64">
        <f t="shared" si="54"/>
        <v>1415.0439297380817</v>
      </c>
      <c r="AX227" s="64">
        <f t="shared" si="55"/>
        <v>-132.98015940097477</v>
      </c>
      <c r="AY227" s="64">
        <f t="shared" si="56"/>
        <v>34.128261860422576</v>
      </c>
      <c r="AZ227" s="64">
        <f t="shared" si="57"/>
        <v>-508.61637889163188</v>
      </c>
      <c r="BA227" s="64">
        <f t="shared" si="58"/>
        <v>-434.91880628168872</v>
      </c>
      <c r="BB227" s="65">
        <f t="shared" si="59"/>
        <v>8633.9855180725117</v>
      </c>
      <c r="BC227" s="65">
        <f t="shared" si="60"/>
        <v>35127.151644330115</v>
      </c>
      <c r="BD227" s="66">
        <f t="shared" si="61"/>
        <v>25031.502633059295</v>
      </c>
    </row>
    <row r="228" spans="31:56" x14ac:dyDescent="0.25">
      <c r="AE228" s="71">
        <v>166</v>
      </c>
      <c r="AF228" s="17">
        <v>4.0840704496667311</v>
      </c>
      <c r="AG228" s="18">
        <v>-24018.700962342471</v>
      </c>
      <c r="AH228" s="20">
        <v>3667.5405587348851</v>
      </c>
      <c r="AN228" s="23">
        <v>223</v>
      </c>
      <c r="AO228" s="58">
        <v>111.5</v>
      </c>
      <c r="AP228" s="45">
        <f t="shared" si="62"/>
        <v>14333.370220309114</v>
      </c>
      <c r="AQ228" s="45">
        <f t="shared" si="63"/>
        <v>3147.0146602783666</v>
      </c>
      <c r="AR228" s="45">
        <f t="shared" si="64"/>
        <v>617.72717152765097</v>
      </c>
      <c r="AS228" s="45">
        <f t="shared" si="65"/>
        <v>3758.2477020987708</v>
      </c>
      <c r="AT228" s="45">
        <f t="shared" si="51"/>
        <v>1017.8236858038899</v>
      </c>
      <c r="AU228" s="45">
        <f t="shared" si="52"/>
        <v>837.16702978830335</v>
      </c>
      <c r="AV228" s="64">
        <f t="shared" si="53"/>
        <v>1598.0957688432038</v>
      </c>
      <c r="AW228" s="64">
        <f t="shared" si="54"/>
        <v>1227.6234240990268</v>
      </c>
      <c r="AX228" s="64">
        <f t="shared" si="55"/>
        <v>-135.47989703899285</v>
      </c>
      <c r="AY228" s="64">
        <f t="shared" si="56"/>
        <v>27.041963613756035</v>
      </c>
      <c r="AZ228" s="64">
        <f t="shared" si="57"/>
        <v>-444.79218600032095</v>
      </c>
      <c r="BA228" s="64">
        <f t="shared" si="58"/>
        <v>-417.49835792447942</v>
      </c>
      <c r="BB228" s="65">
        <f t="shared" si="59"/>
        <v>7145.5702661096993</v>
      </c>
      <c r="BC228" s="65">
        <f t="shared" si="60"/>
        <v>35010.622941490888</v>
      </c>
      <c r="BD228" s="66">
        <f t="shared" si="61"/>
        <v>26515.907398312684</v>
      </c>
    </row>
    <row r="229" spans="31:56" x14ac:dyDescent="0.25">
      <c r="AE229" s="71">
        <v>167</v>
      </c>
      <c r="AF229" s="17">
        <v>4.1469023027385274</v>
      </c>
      <c r="AG229" s="18">
        <v>-23613.152555762863</v>
      </c>
      <c r="AH229" s="20">
        <v>3427.6998996710236</v>
      </c>
      <c r="AN229" s="23">
        <v>224</v>
      </c>
      <c r="AO229" s="58">
        <v>112</v>
      </c>
      <c r="AP229" s="45">
        <f t="shared" si="62"/>
        <v>14896.689727523912</v>
      </c>
      <c r="AQ229" s="45">
        <f t="shared" si="63"/>
        <v>5235.4302687748277</v>
      </c>
      <c r="AR229" s="45">
        <f t="shared" si="64"/>
        <v>1126.639014429596</v>
      </c>
      <c r="AS229" s="45">
        <f t="shared" si="65"/>
        <v>4176.8312169929222</v>
      </c>
      <c r="AT229" s="45">
        <f t="shared" si="51"/>
        <v>1260.8615168116096</v>
      </c>
      <c r="AU229" s="45">
        <f t="shared" si="52"/>
        <v>418.8010567963475</v>
      </c>
      <c r="AV229" s="64">
        <f t="shared" si="53"/>
        <v>1778.642346786728</v>
      </c>
      <c r="AW229" s="64">
        <f t="shared" si="54"/>
        <v>789.26410626690017</v>
      </c>
      <c r="AX229" s="64">
        <f t="shared" si="55"/>
        <v>-135.34898985005759</v>
      </c>
      <c r="AY229" s="64">
        <f t="shared" si="56"/>
        <v>18.479681173966895</v>
      </c>
      <c r="AZ229" s="64">
        <f t="shared" si="57"/>
        <v>-382.43184012506089</v>
      </c>
      <c r="BA229" s="64">
        <f t="shared" si="58"/>
        <v>-388.9427306445196</v>
      </c>
      <c r="BB229" s="65">
        <f t="shared" si="59"/>
        <v>5583.1936922106879</v>
      </c>
      <c r="BC229" s="65">
        <f t="shared" si="60"/>
        <v>35220.449722608311</v>
      </c>
      <c r="BD229" s="66">
        <f t="shared" si="61"/>
        <v>28378.705049311255</v>
      </c>
    </row>
    <row r="230" spans="31:56" x14ac:dyDescent="0.25">
      <c r="AE230" s="71">
        <v>168</v>
      </c>
      <c r="AF230" s="17">
        <v>4.209734155810323</v>
      </c>
      <c r="AG230" s="18">
        <v>-23193.344686738041</v>
      </c>
      <c r="AH230" s="20">
        <v>3213.7971065048514</v>
      </c>
      <c r="AN230" s="23">
        <v>225</v>
      </c>
      <c r="AO230" s="58">
        <v>112.5</v>
      </c>
      <c r="AP230" s="45">
        <f t="shared" si="62"/>
        <v>15775.224613941611</v>
      </c>
      <c r="AQ230" s="45">
        <f t="shared" si="63"/>
        <v>7428.5461414703759</v>
      </c>
      <c r="AR230" s="45">
        <f t="shared" si="64"/>
        <v>1757.0697728354007</v>
      </c>
      <c r="AS230" s="45">
        <f t="shared" si="65"/>
        <v>4386.2317453910964</v>
      </c>
      <c r="AT230" s="45">
        <f t="shared" si="51"/>
        <v>1270.4628879653651</v>
      </c>
      <c r="AU230" s="45">
        <f t="shared" si="52"/>
        <v>-314.16114167813106</v>
      </c>
      <c r="AV230" s="64">
        <f t="shared" si="53"/>
        <v>1728.9669054757032</v>
      </c>
      <c r="AW230" s="64">
        <f t="shared" si="54"/>
        <v>29.242112391097759</v>
      </c>
      <c r="AX230" s="64">
        <f t="shared" si="55"/>
        <v>-131.64958121047664</v>
      </c>
      <c r="AY230" s="64">
        <f t="shared" si="56"/>
        <v>9.4627169285630064</v>
      </c>
      <c r="AZ230" s="64">
        <f t="shared" si="57"/>
        <v>-326.85443629986133</v>
      </c>
      <c r="BA230" s="64">
        <f t="shared" si="58"/>
        <v>-352.86597099779181</v>
      </c>
      <c r="BB230" s="65">
        <f t="shared" si="59"/>
        <v>4225.379594372981</v>
      </c>
      <c r="BC230" s="65">
        <f t="shared" si="60"/>
        <v>35867.521117642355</v>
      </c>
      <c r="BD230" s="66">
        <f t="shared" si="61"/>
        <v>30572.040163845639</v>
      </c>
    </row>
    <row r="231" spans="31:56" x14ac:dyDescent="0.25">
      <c r="AE231" s="71">
        <v>169</v>
      </c>
      <c r="AF231" s="17">
        <v>4.2725660088821193</v>
      </c>
      <c r="AG231" s="18">
        <v>-22760.934145135085</v>
      </c>
      <c r="AH231" s="20">
        <v>3026.6763558381144</v>
      </c>
      <c r="AN231" s="23">
        <v>226</v>
      </c>
      <c r="AO231" s="58">
        <v>113</v>
      </c>
      <c r="AP231" s="45">
        <f t="shared" si="62"/>
        <v>16971.375222350653</v>
      </c>
      <c r="AQ231" s="45">
        <f t="shared" si="63"/>
        <v>9543.1217287463915</v>
      </c>
      <c r="AR231" s="45">
        <f t="shared" si="64"/>
        <v>2392.301216818083</v>
      </c>
      <c r="AS231" s="45">
        <f t="shared" si="65"/>
        <v>4229.1511745520311</v>
      </c>
      <c r="AT231" s="45">
        <f t="shared" si="51"/>
        <v>907.52133540482146</v>
      </c>
      <c r="AU231" s="45">
        <f t="shared" si="52"/>
        <v>-1199.9462915709141</v>
      </c>
      <c r="AV231" s="64">
        <f t="shared" si="53"/>
        <v>1314.1034035890343</v>
      </c>
      <c r="AW231" s="64">
        <f t="shared" si="54"/>
        <v>-886.49912577688019</v>
      </c>
      <c r="AX231" s="64">
        <f t="shared" si="55"/>
        <v>-124.60097906787308</v>
      </c>
      <c r="AY231" s="64">
        <f t="shared" si="56"/>
        <v>1.5397717712870473</v>
      </c>
      <c r="AZ231" s="64">
        <f t="shared" si="57"/>
        <v>-281.98108911633966</v>
      </c>
      <c r="BA231" s="64">
        <f t="shared" si="58"/>
        <v>-314.98693756532111</v>
      </c>
      <c r="BB231" s="65">
        <f t="shared" si="59"/>
        <v>3653.3429133147633</v>
      </c>
      <c r="BC231" s="65">
        <f t="shared" si="60"/>
        <v>36974.198079019749</v>
      </c>
      <c r="BD231" s="66">
        <f t="shared" si="61"/>
        <v>32940.949490768893</v>
      </c>
    </row>
    <row r="232" spans="31:56" x14ac:dyDescent="0.25">
      <c r="AE232" s="71">
        <v>170</v>
      </c>
      <c r="AF232" s="17">
        <v>4.3353978619539149</v>
      </c>
      <c r="AG232" s="18">
        <v>-22317.627457812108</v>
      </c>
      <c r="AH232" s="20">
        <v>2867.0761277863485</v>
      </c>
      <c r="AN232" s="23">
        <v>227</v>
      </c>
      <c r="AO232" s="58">
        <v>113.5</v>
      </c>
      <c r="AP232" s="45">
        <f t="shared" si="62"/>
        <v>18394.4061646109</v>
      </c>
      <c r="AQ232" s="45">
        <f t="shared" si="63"/>
        <v>11357.710743129679</v>
      </c>
      <c r="AR232" s="45">
        <f t="shared" si="64"/>
        <v>2846.0618845204935</v>
      </c>
      <c r="AS232" s="45">
        <f t="shared" si="65"/>
        <v>3629.1780287665742</v>
      </c>
      <c r="AT232" s="45">
        <f t="shared" si="51"/>
        <v>295.44594479458647</v>
      </c>
      <c r="AU232" s="45">
        <f t="shared" si="52"/>
        <v>-1871.5058919157191</v>
      </c>
      <c r="AV232" s="64">
        <f t="shared" si="53"/>
        <v>660.3893719417224</v>
      </c>
      <c r="AW232" s="64">
        <f t="shared" si="54"/>
        <v>-1586.6971575478558</v>
      </c>
      <c r="AX232" s="64">
        <f t="shared" si="55"/>
        <v>-115.78895179714243</v>
      </c>
      <c r="AY232" s="64">
        <f t="shared" si="56"/>
        <v>-4.0945522927662141</v>
      </c>
      <c r="AZ232" s="64">
        <f t="shared" si="57"/>
        <v>-249.1544753499935</v>
      </c>
      <c r="BA232" s="64">
        <f t="shared" si="58"/>
        <v>-280.71418207509726</v>
      </c>
      <c r="BB232" s="65">
        <f t="shared" si="59"/>
        <v>4178.5001785207114</v>
      </c>
      <c r="BC232" s="65">
        <f t="shared" si="60"/>
        <v>38418.404485287014</v>
      </c>
      <c r="BD232" s="66">
        <f t="shared" si="61"/>
        <v>35242.405641687939</v>
      </c>
    </row>
    <row r="233" spans="31:56" x14ac:dyDescent="0.25">
      <c r="AE233" s="71">
        <v>171</v>
      </c>
      <c r="AF233" s="17">
        <v>4.3982297150257104</v>
      </c>
      <c r="AG233" s="18">
        <v>-21865.174153736407</v>
      </c>
      <c r="AH233" s="20">
        <v>2735.6262915352663</v>
      </c>
      <c r="AN233" s="23">
        <v>228</v>
      </c>
      <c r="AO233" s="58">
        <v>114</v>
      </c>
      <c r="AP233" s="45">
        <f t="shared" si="62"/>
        <v>19891.298593069794</v>
      </c>
      <c r="AQ233" s="45">
        <f t="shared" si="63"/>
        <v>12704.423284534038</v>
      </c>
      <c r="AR233" s="45">
        <f t="shared" si="64"/>
        <v>2993.7848569177868</v>
      </c>
      <c r="AS233" s="45">
        <f t="shared" si="65"/>
        <v>2693.4250828087147</v>
      </c>
      <c r="AT233" s="45">
        <f t="shared" si="51"/>
        <v>-294.66517274434761</v>
      </c>
      <c r="AU233" s="45">
        <f t="shared" si="52"/>
        <v>-2162.0072421116079</v>
      </c>
      <c r="AV233" s="64">
        <f t="shared" si="53"/>
        <v>39.72158268586336</v>
      </c>
      <c r="AW233" s="64">
        <f t="shared" si="54"/>
        <v>-1901.7962661843521</v>
      </c>
      <c r="AX233" s="64">
        <f t="shared" si="55"/>
        <v>-107.12270602205786</v>
      </c>
      <c r="AY233" s="64">
        <f t="shared" si="56"/>
        <v>-7.2623642419772603</v>
      </c>
      <c r="AZ233" s="64">
        <f t="shared" si="57"/>
        <v>-227.26404940815311</v>
      </c>
      <c r="BA233" s="64">
        <f t="shared" si="58"/>
        <v>-252.94861168527851</v>
      </c>
      <c r="BB233" s="65">
        <f t="shared" si="59"/>
        <v>5205.5583485797815</v>
      </c>
      <c r="BC233" s="65">
        <f t="shared" si="60"/>
        <v>39982.86643980621</v>
      </c>
      <c r="BD233" s="66">
        <f t="shared" si="61"/>
        <v>37243.950048000952</v>
      </c>
    </row>
    <row r="234" spans="31:56" x14ac:dyDescent="0.25">
      <c r="AE234" s="71">
        <v>172</v>
      </c>
      <c r="AF234" s="17">
        <v>4.4610615680975068</v>
      </c>
      <c r="AG234" s="18">
        <v>-21405.359859392935</v>
      </c>
      <c r="AH234" s="20">
        <v>2632.8456195348344</v>
      </c>
      <c r="AN234" s="23">
        <v>229</v>
      </c>
      <c r="AO234" s="58">
        <v>114.5</v>
      </c>
      <c r="AP234" s="45">
        <f t="shared" si="62"/>
        <v>21314.5247283426</v>
      </c>
      <c r="AQ234" s="45">
        <f t="shared" si="63"/>
        <v>13510.634015410493</v>
      </c>
      <c r="AR234" s="45">
        <f t="shared" si="64"/>
        <v>2846.4522705456129</v>
      </c>
      <c r="AS234" s="45">
        <f t="shared" si="65"/>
        <v>1612.4214617529108</v>
      </c>
      <c r="AT234" s="45">
        <f t="shared" si="51"/>
        <v>-739.24549032887194</v>
      </c>
      <c r="AU234" s="45">
        <f t="shared" si="52"/>
        <v>-2184.9583024241283</v>
      </c>
      <c r="AV234" s="64">
        <f t="shared" si="53"/>
        <v>-425.23627706664809</v>
      </c>
      <c r="AW234" s="64">
        <f t="shared" si="54"/>
        <v>-1944.3830735279791</v>
      </c>
      <c r="AX234" s="64">
        <f t="shared" si="55"/>
        <v>-99.791391910055893</v>
      </c>
      <c r="AY234" s="64">
        <f t="shared" si="56"/>
        <v>-8.4796099480303955</v>
      </c>
      <c r="AZ234" s="64">
        <f t="shared" si="57"/>
        <v>-214.2178213521679</v>
      </c>
      <c r="BA234" s="64">
        <f t="shared" si="58"/>
        <v>-232.09561894811853</v>
      </c>
      <c r="BB234" s="65">
        <f t="shared" si="59"/>
        <v>6152.698312824532</v>
      </c>
      <c r="BC234" s="65">
        <f t="shared" si="60"/>
        <v>41463.411638684403</v>
      </c>
      <c r="BD234" s="66">
        <f t="shared" si="61"/>
        <v>38798.330681090338</v>
      </c>
    </row>
    <row r="235" spans="31:56" x14ac:dyDescent="0.25">
      <c r="AE235" s="71">
        <v>173</v>
      </c>
      <c r="AF235" s="17">
        <v>4.5238934211693023</v>
      </c>
      <c r="AG235" s="18">
        <v>-20939.999251732279</v>
      </c>
      <c r="AH235" s="20">
        <v>2559.139740141416</v>
      </c>
      <c r="AN235" s="23">
        <v>230</v>
      </c>
      <c r="AO235" s="58">
        <v>115</v>
      </c>
      <c r="AP235" s="45">
        <f t="shared" si="62"/>
        <v>22552.939491033187</v>
      </c>
      <c r="AQ235" s="45">
        <f t="shared" si="63"/>
        <v>13770.605170680916</v>
      </c>
      <c r="AR235" s="45">
        <f t="shared" si="64"/>
        <v>2476.8295253811771</v>
      </c>
      <c r="AS235" s="45">
        <f t="shared" si="65"/>
        <v>519.94231054084662</v>
      </c>
      <c r="AT235" s="45">
        <f t="shared" si="51"/>
        <v>-1061.4134464887836</v>
      </c>
      <c r="AU235" s="45">
        <f t="shared" si="52"/>
        <v>-2090.013369306525</v>
      </c>
      <c r="AV235" s="64">
        <f t="shared" si="53"/>
        <v>-758.98491098118564</v>
      </c>
      <c r="AW235" s="64">
        <f t="shared" si="54"/>
        <v>-1864.2410930551698</v>
      </c>
      <c r="AX235" s="64">
        <f t="shared" si="55"/>
        <v>-94.205945869694148</v>
      </c>
      <c r="AY235" s="64">
        <f t="shared" si="56"/>
        <v>-8.3475649591729439</v>
      </c>
      <c r="AZ235" s="64">
        <f t="shared" si="57"/>
        <v>-208.22258963790395</v>
      </c>
      <c r="BA235" s="64">
        <f t="shared" si="58"/>
        <v>-217.424711292182</v>
      </c>
      <c r="BB235" s="65">
        <f t="shared" si="59"/>
        <v>6770.3758574725389</v>
      </c>
      <c r="BC235" s="65">
        <f t="shared" si="60"/>
        <v>42719.669037583823</v>
      </c>
      <c r="BD235" s="66">
        <f t="shared" si="61"/>
        <v>39836.066528759431</v>
      </c>
    </row>
    <row r="236" spans="31:56" x14ac:dyDescent="0.25">
      <c r="AE236" s="71">
        <v>174</v>
      </c>
      <c r="AF236" s="17">
        <v>4.5867252742410987</v>
      </c>
      <c r="AG236" s="18">
        <v>-20470.92889646985</v>
      </c>
      <c r="AH236" s="20">
        <v>2514.799536787963</v>
      </c>
      <c r="AN236" s="23">
        <v>231</v>
      </c>
      <c r="AO236" s="58">
        <v>115.5</v>
      </c>
      <c r="AP236" s="45">
        <f t="shared" si="62"/>
        <v>23526.000892101576</v>
      </c>
      <c r="AQ236" s="45">
        <f t="shared" si="63"/>
        <v>13508.072983624708</v>
      </c>
      <c r="AR236" s="45">
        <f t="shared" si="64"/>
        <v>1946.1228021367851</v>
      </c>
      <c r="AS236" s="45">
        <f t="shared" si="65"/>
        <v>-525.06437411241586</v>
      </c>
      <c r="AT236" s="45">
        <f t="shared" si="51"/>
        <v>-1318.4986061524721</v>
      </c>
      <c r="AU236" s="45">
        <f t="shared" si="52"/>
        <v>-1953.2253684028419</v>
      </c>
      <c r="AV236" s="64">
        <f t="shared" si="53"/>
        <v>-1019.9089923578931</v>
      </c>
      <c r="AW236" s="64">
        <f t="shared" si="54"/>
        <v>-1737.8576609176969</v>
      </c>
      <c r="AX236" s="64">
        <f t="shared" si="55"/>
        <v>-90.375020317679656</v>
      </c>
      <c r="AY236" s="64">
        <f t="shared" si="56"/>
        <v>-7.2839718943377134</v>
      </c>
      <c r="AZ236" s="64">
        <f t="shared" si="57"/>
        <v>-208.21459347689944</v>
      </c>
      <c r="BA236" s="64">
        <f t="shared" si="58"/>
        <v>-208.08373559080729</v>
      </c>
      <c r="BB236" s="65">
        <f t="shared" si="59"/>
        <v>6966.3206406009058</v>
      </c>
      <c r="BC236" s="65">
        <f t="shared" si="60"/>
        <v>43667.142449645871</v>
      </c>
      <c r="BD236" s="66">
        <f t="shared" si="61"/>
        <v>40329.182388635811</v>
      </c>
    </row>
    <row r="237" spans="31:56" x14ac:dyDescent="0.25">
      <c r="AE237" s="71">
        <v>175</v>
      </c>
      <c r="AF237" s="17">
        <v>4.6495571273128942</v>
      </c>
      <c r="AG237" s="18">
        <v>-20000</v>
      </c>
      <c r="AH237" s="20">
        <v>2500</v>
      </c>
      <c r="AN237" s="23">
        <v>232</v>
      </c>
      <c r="AO237" s="58">
        <v>116</v>
      </c>
      <c r="AP237" s="45">
        <f t="shared" si="62"/>
        <v>24169.437641631852</v>
      </c>
      <c r="AQ237" s="45">
        <f t="shared" si="63"/>
        <v>12757.234454467791</v>
      </c>
      <c r="AR237" s="45">
        <f t="shared" si="64"/>
        <v>1286.873499060549</v>
      </c>
      <c r="AS237" s="45">
        <f t="shared" si="65"/>
        <v>-1501.6770583138368</v>
      </c>
      <c r="AT237" s="45">
        <f t="shared" si="51"/>
        <v>-1552.0865158957999</v>
      </c>
      <c r="AU237" s="45">
        <f t="shared" si="52"/>
        <v>-1785.1792765165219</v>
      </c>
      <c r="AV237" s="64">
        <f t="shared" si="53"/>
        <v>-1250.0345481272893</v>
      </c>
      <c r="AW237" s="64">
        <f t="shared" si="54"/>
        <v>-1576.165723183185</v>
      </c>
      <c r="AX237" s="64">
        <f t="shared" si="55"/>
        <v>-88.189685533065415</v>
      </c>
      <c r="AY237" s="64">
        <f t="shared" si="56"/>
        <v>-5.5051558829732024</v>
      </c>
      <c r="AZ237" s="64">
        <f t="shared" si="57"/>
        <v>-213.86228223544515</v>
      </c>
      <c r="BA237" s="64">
        <f t="shared" si="58"/>
        <v>-203.50839745036365</v>
      </c>
      <c r="BB237" s="65">
        <f t="shared" si="59"/>
        <v>6709.8974922646794</v>
      </c>
      <c r="BC237" s="65">
        <f t="shared" si="60"/>
        <v>44255.412814873947</v>
      </c>
      <c r="BD237" s="66">
        <f t="shared" si="61"/>
        <v>40265.620036072251</v>
      </c>
    </row>
    <row r="238" spans="31:56" x14ac:dyDescent="0.25">
      <c r="AE238" s="71">
        <v>176</v>
      </c>
      <c r="AF238" s="17">
        <v>4.7123889803846897</v>
      </c>
      <c r="AG238" s="18">
        <v>-19529.071103530147</v>
      </c>
      <c r="AH238" s="20">
        <v>2514.799536787963</v>
      </c>
      <c r="AN238" s="23">
        <v>233</v>
      </c>
      <c r="AO238" s="58">
        <v>116.5</v>
      </c>
      <c r="AP238" s="45">
        <f t="shared" si="62"/>
        <v>24424.852762188177</v>
      </c>
      <c r="AQ238" s="45">
        <f t="shared" si="63"/>
        <v>11560.101106181743</v>
      </c>
      <c r="AR238" s="45">
        <f t="shared" si="64"/>
        <v>510.83024111264899</v>
      </c>
      <c r="AS238" s="45">
        <f t="shared" si="65"/>
        <v>-2394.2666965720978</v>
      </c>
      <c r="AT238" s="45">
        <f t="shared" si="51"/>
        <v>-1772.8229013317457</v>
      </c>
      <c r="AU238" s="45">
        <f t="shared" si="52"/>
        <v>-1546.0560836878199</v>
      </c>
      <c r="AV238" s="64">
        <f t="shared" si="53"/>
        <v>-1459.7679550390299</v>
      </c>
      <c r="AW238" s="64">
        <f t="shared" si="54"/>
        <v>-1339.4356394565552</v>
      </c>
      <c r="AX238" s="64">
        <f t="shared" si="55"/>
        <v>-87.554954959133809</v>
      </c>
      <c r="AY238" s="64">
        <f t="shared" si="56"/>
        <v>-3.0747334789075222</v>
      </c>
      <c r="AZ238" s="64">
        <f t="shared" si="57"/>
        <v>-225.49999133358219</v>
      </c>
      <c r="BA238" s="64">
        <f t="shared" si="58"/>
        <v>-203.54571075235705</v>
      </c>
      <c r="BB238" s="65">
        <f t="shared" si="59"/>
        <v>6005.3095639993899</v>
      </c>
      <c r="BC238" s="65">
        <f t="shared" si="60"/>
        <v>44452.237945952824</v>
      </c>
      <c r="BD238" s="66">
        <f t="shared" si="61"/>
        <v>39639.13383068618</v>
      </c>
    </row>
    <row r="239" spans="31:56" x14ac:dyDescent="0.25">
      <c r="AE239" s="71">
        <v>177</v>
      </c>
      <c r="AF239" s="17">
        <v>4.7752208334564861</v>
      </c>
      <c r="AG239" s="18">
        <v>-19060.000748267717</v>
      </c>
      <c r="AH239" s="20">
        <v>2559.139740141416</v>
      </c>
      <c r="AN239" s="23">
        <v>234</v>
      </c>
      <c r="AO239" s="58">
        <v>117</v>
      </c>
      <c r="AP239" s="45">
        <f t="shared" si="62"/>
        <v>24237.062157411565</v>
      </c>
      <c r="AQ239" s="45">
        <f t="shared" si="63"/>
        <v>9976.4537369737391</v>
      </c>
      <c r="AR239" s="45">
        <f t="shared" si="64"/>
        <v>-375.58120955322386</v>
      </c>
      <c r="AS239" s="45">
        <f t="shared" si="65"/>
        <v>-3167.2947384160079</v>
      </c>
      <c r="AT239" s="45">
        <f t="shared" si="51"/>
        <v>-1937.5257374999262</v>
      </c>
      <c r="AU239" s="45">
        <f t="shared" si="52"/>
        <v>-1146.5502655175751</v>
      </c>
      <c r="AV239" s="64">
        <f t="shared" si="53"/>
        <v>-1605.0250170135487</v>
      </c>
      <c r="AW239" s="64">
        <f t="shared" si="54"/>
        <v>-938.09579695846185</v>
      </c>
      <c r="AX239" s="64">
        <f t="shared" si="55"/>
        <v>-88.43194638490624</v>
      </c>
      <c r="AY239" s="64">
        <f t="shared" si="56"/>
        <v>4.7070075813213645E-2</v>
      </c>
      <c r="AZ239" s="64">
        <f t="shared" si="57"/>
        <v>-244.06877410147118</v>
      </c>
      <c r="BA239" s="64">
        <f t="shared" si="58"/>
        <v>-208.50153863492631</v>
      </c>
      <c r="BB239" s="65">
        <f t="shared" si="59"/>
        <v>4907.6999538623322</v>
      </c>
      <c r="BC239" s="65">
        <f t="shared" si="60"/>
        <v>44237.068423949575</v>
      </c>
      <c r="BD239" s="66">
        <f t="shared" si="61"/>
        <v>38452.945854271515</v>
      </c>
    </row>
    <row r="240" spans="31:56" x14ac:dyDescent="0.25">
      <c r="AE240" s="71">
        <v>178</v>
      </c>
      <c r="AF240" s="17">
        <v>4.8380526865282816</v>
      </c>
      <c r="AG240" s="18">
        <v>-18594.640140607062</v>
      </c>
      <c r="AH240" s="20">
        <v>2632.8456195348354</v>
      </c>
      <c r="AN240" s="23">
        <v>235</v>
      </c>
      <c r="AO240" s="58">
        <v>117.5</v>
      </c>
      <c r="AP240" s="45">
        <f t="shared" si="62"/>
        <v>23564.890118259973</v>
      </c>
      <c r="AQ240" s="45">
        <f t="shared" si="63"/>
        <v>8106.1688013863422</v>
      </c>
      <c r="AR240" s="45">
        <f t="shared" si="64"/>
        <v>-1344.344078303187</v>
      </c>
      <c r="AS240" s="45">
        <f t="shared" si="65"/>
        <v>-3740.5698711747955</v>
      </c>
      <c r="AT240" s="45">
        <f t="shared" si="51"/>
        <v>-1914.1015370928917</v>
      </c>
      <c r="AU240" s="45">
        <f t="shared" si="52"/>
        <v>-479.16176903868825</v>
      </c>
      <c r="AV240" s="64">
        <f t="shared" si="53"/>
        <v>-1552.3505268039476</v>
      </c>
      <c r="AW240" s="64">
        <f t="shared" si="54"/>
        <v>-263.95945651853708</v>
      </c>
      <c r="AX240" s="64">
        <f t="shared" si="55"/>
        <v>-90.827011864112279</v>
      </c>
      <c r="AY240" s="64">
        <f t="shared" si="56"/>
        <v>3.9483866085320671</v>
      </c>
      <c r="AZ240" s="64">
        <f t="shared" si="57"/>
        <v>-270.92399842483167</v>
      </c>
      <c r="BA240" s="64">
        <f t="shared" si="58"/>
        <v>-219.15069912868324</v>
      </c>
      <c r="BB240" s="65">
        <f t="shared" si="59"/>
        <v>3616.0589280377826</v>
      </c>
      <c r="BC240" s="65">
        <f t="shared" si="60"/>
        <v>43606.034532217069</v>
      </c>
      <c r="BD240" s="66">
        <f t="shared" si="61"/>
        <v>36740.277409764145</v>
      </c>
    </row>
    <row r="241" spans="31:56" x14ac:dyDescent="0.25">
      <c r="AE241" s="71">
        <v>179</v>
      </c>
      <c r="AF241" s="17">
        <v>4.900884539600078</v>
      </c>
      <c r="AG241" s="18">
        <v>-18134.825846263589</v>
      </c>
      <c r="AH241" s="20">
        <v>2735.6262915352672</v>
      </c>
      <c r="AN241" s="23">
        <v>236</v>
      </c>
      <c r="AO241" s="58">
        <v>118</v>
      </c>
      <c r="AP241" s="45">
        <f t="shared" si="62"/>
        <v>22414.192694835157</v>
      </c>
      <c r="AQ241" s="45">
        <f t="shared" si="63"/>
        <v>6116.0934235392724</v>
      </c>
      <c r="AR241" s="45">
        <f t="shared" si="64"/>
        <v>-2301.3948468496328</v>
      </c>
      <c r="AS241" s="45">
        <f t="shared" si="65"/>
        <v>-3980.1507556941397</v>
      </c>
      <c r="AT241" s="45">
        <f t="shared" si="51"/>
        <v>-1532.1490975445488</v>
      </c>
      <c r="AU241" s="45">
        <f t="shared" si="52"/>
        <v>420.00478536221931</v>
      </c>
      <c r="AV241" s="64">
        <f t="shared" si="53"/>
        <v>-1130.2741392354962</v>
      </c>
      <c r="AW241" s="64">
        <f t="shared" si="54"/>
        <v>647.9158924794508</v>
      </c>
      <c r="AX241" s="64">
        <f t="shared" si="55"/>
        <v>-94.725676574793297</v>
      </c>
      <c r="AY241" s="64">
        <f t="shared" si="56"/>
        <v>8.6741171959953878</v>
      </c>
      <c r="AZ241" s="64">
        <f t="shared" si="57"/>
        <v>-307.14928173425915</v>
      </c>
      <c r="BA241" s="64">
        <f t="shared" si="58"/>
        <v>-236.58522431322683</v>
      </c>
      <c r="BB241" s="65">
        <f t="shared" si="59"/>
        <v>2782.7187748974366</v>
      </c>
      <c r="BC241" s="65">
        <f t="shared" si="60"/>
        <v>42591.647916572605</v>
      </c>
      <c r="BD241" s="66">
        <f t="shared" si="61"/>
        <v>34603.863405423268</v>
      </c>
    </row>
    <row r="242" spans="31:56" x14ac:dyDescent="0.25">
      <c r="AE242" s="71">
        <v>180</v>
      </c>
      <c r="AF242" s="17">
        <v>4.9637163926718735</v>
      </c>
      <c r="AG242" s="18">
        <v>-17682.372542187895</v>
      </c>
      <c r="AH242" s="20">
        <v>2867.0761277863476</v>
      </c>
      <c r="AN242" s="23">
        <v>237</v>
      </c>
      <c r="AO242" s="58">
        <v>118.5</v>
      </c>
      <c r="AP242" s="45">
        <f t="shared" si="62"/>
        <v>20880.457997024205</v>
      </c>
      <c r="AQ242" s="45">
        <f t="shared" si="63"/>
        <v>4231.0192420327576</v>
      </c>
      <c r="AR242" s="45">
        <f t="shared" si="64"/>
        <v>-3067.4693956219071</v>
      </c>
      <c r="AS242" s="45">
        <f t="shared" si="65"/>
        <v>-3770.1483630130301</v>
      </c>
      <c r="AT242" s="45">
        <f t="shared" si="51"/>
        <v>-843.97785136901803</v>
      </c>
      <c r="AU242" s="45">
        <f t="shared" si="52"/>
        <v>1206.9138088218435</v>
      </c>
      <c r="AV242" s="64">
        <f t="shared" si="53"/>
        <v>-391.76017209931155</v>
      </c>
      <c r="AW242" s="64">
        <f t="shared" si="54"/>
        <v>1454.5344226061677</v>
      </c>
      <c r="AX242" s="64">
        <f t="shared" si="55"/>
        <v>-99.989050852785752</v>
      </c>
      <c r="AY242" s="64">
        <f t="shared" si="56"/>
        <v>14.110284929271547</v>
      </c>
      <c r="AZ242" s="64">
        <f t="shared" si="57"/>
        <v>-352.2286284169208</v>
      </c>
      <c r="BA242" s="64">
        <f t="shared" si="58"/>
        <v>-261.73089871359576</v>
      </c>
      <c r="BB242" s="65">
        <f t="shared" si="59"/>
        <v>3385.4750745624997</v>
      </c>
      <c r="BC242" s="65">
        <f t="shared" si="60"/>
        <v>41285.505749987569</v>
      </c>
      <c r="BD242" s="66">
        <f t="shared" si="61"/>
        <v>32243.297089831995</v>
      </c>
    </row>
    <row r="243" spans="31:56" x14ac:dyDescent="0.25">
      <c r="AE243" s="71">
        <v>181</v>
      </c>
      <c r="AF243" s="17">
        <v>5.026548245743669</v>
      </c>
      <c r="AG243" s="18">
        <v>-17239.065854864912</v>
      </c>
      <c r="AH243" s="20">
        <v>3026.6763558381153</v>
      </c>
      <c r="AN243" s="23">
        <v>238</v>
      </c>
      <c r="AO243" s="58">
        <v>119</v>
      </c>
      <c r="AP243" s="45">
        <f t="shared" si="62"/>
        <v>19135.728836370996</v>
      </c>
      <c r="AQ243" s="45">
        <f t="shared" si="63"/>
        <v>2647.6735127317038</v>
      </c>
      <c r="AR243" s="45">
        <f t="shared" si="64"/>
        <v>-3489.4583213064161</v>
      </c>
      <c r="AS243" s="45">
        <f t="shared" si="65"/>
        <v>-3166.6914586021085</v>
      </c>
      <c r="AT243" s="45">
        <f t="shared" si="51"/>
        <v>-183.04186227528405</v>
      </c>
      <c r="AU243" s="45">
        <f t="shared" si="52"/>
        <v>1558.6254417901293</v>
      </c>
      <c r="AV243" s="64">
        <f t="shared" si="53"/>
        <v>326.57556504696538</v>
      </c>
      <c r="AW243" s="64">
        <f t="shared" si="54"/>
        <v>1833.5116697844908</v>
      </c>
      <c r="AX243" s="64">
        <f t="shared" si="55"/>
        <v>-106.34675130977197</v>
      </c>
      <c r="AY243" s="64">
        <f t="shared" si="56"/>
        <v>19.97908457918156</v>
      </c>
      <c r="AZ243" s="64">
        <f t="shared" si="57"/>
        <v>-403.27067601247745</v>
      </c>
      <c r="BA243" s="64">
        <f t="shared" si="58"/>
        <v>-294.86531257354289</v>
      </c>
      <c r="BB243" s="65">
        <f t="shared" si="59"/>
        <v>4928.6952617631077</v>
      </c>
      <c r="BC243" s="65">
        <f t="shared" si="60"/>
        <v>39820.371373573944</v>
      </c>
      <c r="BD243" s="66">
        <f t="shared" si="61"/>
        <v>29899.39442321203</v>
      </c>
    </row>
    <row r="244" spans="31:56" x14ac:dyDescent="0.25">
      <c r="AE244" s="71">
        <v>182</v>
      </c>
      <c r="AF244" s="17">
        <v>5.0893800988154654</v>
      </c>
      <c r="AG244" s="18">
        <v>-16806.655313261956</v>
      </c>
      <c r="AH244" s="20">
        <v>3213.7971065048532</v>
      </c>
      <c r="AN244" s="23">
        <v>239</v>
      </c>
      <c r="AO244" s="58">
        <v>119.5</v>
      </c>
      <c r="AP244" s="45">
        <f t="shared" si="62"/>
        <v>17345.239210148968</v>
      </c>
      <c r="AQ244" s="45">
        <f t="shared" si="63"/>
        <v>1453.9841438781818</v>
      </c>
      <c r="AR244" s="45">
        <f t="shared" si="64"/>
        <v>-3580.9792524440581</v>
      </c>
      <c r="AS244" s="45">
        <f t="shared" si="65"/>
        <v>-2387.3787377070439</v>
      </c>
      <c r="AT244" s="45">
        <f t="shared" si="51"/>
        <v>238.3107685245609</v>
      </c>
      <c r="AU244" s="45">
        <f t="shared" si="52"/>
        <v>1529.893341357508</v>
      </c>
      <c r="AV244" s="64">
        <f t="shared" si="53"/>
        <v>807.76122188163481</v>
      </c>
      <c r="AW244" s="64">
        <f t="shared" si="54"/>
        <v>1839.6147683538529</v>
      </c>
      <c r="AX244" s="64">
        <f t="shared" si="55"/>
        <v>-113.54758677437545</v>
      </c>
      <c r="AY244" s="64">
        <f t="shared" si="56"/>
        <v>25.984020922658051</v>
      </c>
      <c r="AZ244" s="64">
        <f t="shared" si="57"/>
        <v>-455.90286658269849</v>
      </c>
      <c r="BA244" s="64">
        <f t="shared" si="58"/>
        <v>-335.70544791900306</v>
      </c>
      <c r="BB244" s="65">
        <f t="shared" si="59"/>
        <v>6603.1857904958961</v>
      </c>
      <c r="BC244" s="65">
        <f t="shared" si="60"/>
        <v>38310.589641459883</v>
      </c>
      <c r="BD244" s="66">
        <f t="shared" si="61"/>
        <v>27749.654224256083</v>
      </c>
    </row>
    <row r="245" spans="31:56" x14ac:dyDescent="0.25">
      <c r="AE245" s="71">
        <v>183</v>
      </c>
      <c r="AF245" s="17">
        <v>5.1522119518872609</v>
      </c>
      <c r="AG245" s="18">
        <v>-16386.847444237133</v>
      </c>
      <c r="AH245" s="20">
        <v>3427.6998996710245</v>
      </c>
      <c r="AN245" s="23">
        <v>240</v>
      </c>
      <c r="AO245" s="58">
        <v>120</v>
      </c>
      <c r="AP245" s="45">
        <f t="shared" si="62"/>
        <v>15614.32727605808</v>
      </c>
      <c r="AQ245" s="45">
        <f t="shared" si="63"/>
        <v>642.76811036403683</v>
      </c>
      <c r="AR245" s="45">
        <f t="shared" si="64"/>
        <v>-3461.8238681817775</v>
      </c>
      <c r="AS245" s="45">
        <f t="shared" si="65"/>
        <v>-1622.43206702829</v>
      </c>
      <c r="AT245" s="45">
        <f t="shared" si="51"/>
        <v>444.22749982110258</v>
      </c>
      <c r="AU245" s="45">
        <f t="shared" si="52"/>
        <v>1323.1902040164905</v>
      </c>
      <c r="AV245" s="64">
        <f t="shared" si="53"/>
        <v>1071.1981479005142</v>
      </c>
      <c r="AW245" s="64">
        <f t="shared" si="54"/>
        <v>1674.8751131844976</v>
      </c>
      <c r="AX245" s="64">
        <f t="shared" si="55"/>
        <v>-121.45956022991862</v>
      </c>
      <c r="AY245" s="64">
        <f t="shared" si="56"/>
        <v>31.912024098475378</v>
      </c>
      <c r="AZ245" s="64">
        <f t="shared" si="57"/>
        <v>-505.51108784949292</v>
      </c>
      <c r="BA245" s="64">
        <f t="shared" si="58"/>
        <v>-383.59693326648244</v>
      </c>
      <c r="BB245" s="65">
        <f t="shared" si="59"/>
        <v>8139.7637821848703</v>
      </c>
      <c r="BC245" s="65">
        <f t="shared" si="60"/>
        <v>36823.064728001591</v>
      </c>
      <c r="BD245" s="66">
        <f t="shared" si="61"/>
        <v>25877.53240166176</v>
      </c>
    </row>
    <row r="246" spans="31:56" x14ac:dyDescent="0.25">
      <c r="AE246" s="71">
        <v>184</v>
      </c>
      <c r="AF246" s="17">
        <v>5.2150438049590573</v>
      </c>
      <c r="AG246" s="18">
        <v>-15981.299037657525</v>
      </c>
      <c r="AH246" s="20">
        <v>3667.5405587348878</v>
      </c>
      <c r="AN246" s="23">
        <v>241</v>
      </c>
      <c r="AO246" s="58">
        <v>120.5</v>
      </c>
      <c r="AP246" s="45">
        <f t="shared" si="62"/>
        <v>13994.472216922466</v>
      </c>
      <c r="AQ246" s="45">
        <f t="shared" si="63"/>
        <v>162.34962785401444</v>
      </c>
      <c r="AR246" s="45">
        <f t="shared" si="64"/>
        <v>-3239.7101182712263</v>
      </c>
      <c r="AS246" s="45">
        <f t="shared" si="65"/>
        <v>-960.83696502004477</v>
      </c>
      <c r="AT246" s="45">
        <f t="shared" si="51"/>
        <v>523.59041221228119</v>
      </c>
      <c r="AU246" s="45">
        <f t="shared" si="52"/>
        <v>1068.3241484078653</v>
      </c>
      <c r="AV246" s="64">
        <f t="shared" si="53"/>
        <v>1201.5357770970745</v>
      </c>
      <c r="AW246" s="64">
        <f t="shared" si="54"/>
        <v>1468.0557247285055</v>
      </c>
      <c r="AX246" s="64">
        <f t="shared" si="55"/>
        <v>-130.04183423797213</v>
      </c>
      <c r="AY246" s="64">
        <f t="shared" si="56"/>
        <v>37.632768375468217</v>
      </c>
      <c r="AZ246" s="64">
        <f t="shared" si="57"/>
        <v>-547.9035306468212</v>
      </c>
      <c r="BA246" s="64">
        <f t="shared" si="58"/>
        <v>-437.36434469610839</v>
      </c>
      <c r="BB246" s="65">
        <f t="shared" si="59"/>
        <v>9481.9553330086019</v>
      </c>
      <c r="BC246" s="65">
        <f t="shared" si="60"/>
        <v>35389.313445610918</v>
      </c>
      <c r="BD246" s="66">
        <f t="shared" si="61"/>
        <v>24304.049478157427</v>
      </c>
    </row>
    <row r="247" spans="31:56" x14ac:dyDescent="0.25">
      <c r="AE247" s="71">
        <v>185</v>
      </c>
      <c r="AF247" s="17">
        <v>5.2778756580308528</v>
      </c>
      <c r="AG247" s="18">
        <v>-15591.610607806448</v>
      </c>
      <c r="AH247" s="20">
        <v>3932.3725421878971</v>
      </c>
      <c r="AN247" s="23">
        <v>242</v>
      </c>
      <c r="AO247" s="58">
        <v>121</v>
      </c>
      <c r="AP247" s="45">
        <f t="shared" si="62"/>
        <v>12505.514760839924</v>
      </c>
      <c r="AQ247" s="45">
        <f t="shared" si="63"/>
        <v>-50.987817554041612</v>
      </c>
      <c r="AR247" s="45">
        <f t="shared" si="64"/>
        <v>-2977.9149121650858</v>
      </c>
      <c r="AS247" s="45">
        <f t="shared" si="65"/>
        <v>-426.67489081611211</v>
      </c>
      <c r="AT247" s="45">
        <f t="shared" si="51"/>
        <v>541.64265210551616</v>
      </c>
      <c r="AU247" s="45">
        <f t="shared" si="52"/>
        <v>818.16187124511976</v>
      </c>
      <c r="AV247" s="64">
        <f t="shared" si="53"/>
        <v>1260.6841779620618</v>
      </c>
      <c r="AW247" s="64">
        <f t="shared" si="54"/>
        <v>1270.1887542367783</v>
      </c>
      <c r="AX247" s="64">
        <f t="shared" si="55"/>
        <v>-139.2798066956137</v>
      </c>
      <c r="AY247" s="64">
        <f t="shared" si="56"/>
        <v>43.066527345550107</v>
      </c>
      <c r="AZ247" s="64">
        <f t="shared" si="57"/>
        <v>-579.76171916093199</v>
      </c>
      <c r="BA247" s="64">
        <f t="shared" si="58"/>
        <v>-495.0934103372087</v>
      </c>
      <c r="BB247" s="65">
        <f t="shared" si="59"/>
        <v>10638.831045788715</v>
      </c>
      <c r="BC247" s="65">
        <f t="shared" si="60"/>
        <v>34023.974576404238</v>
      </c>
      <c r="BD247" s="66">
        <f t="shared" si="61"/>
        <v>23019.904697302769</v>
      </c>
    </row>
    <row r="248" spans="31:56" x14ac:dyDescent="0.25">
      <c r="AE248" s="71">
        <v>186</v>
      </c>
      <c r="AF248" s="17">
        <v>5.3407075111026492</v>
      </c>
      <c r="AG248" s="18">
        <v>-15219.320076884826</v>
      </c>
      <c r="AH248" s="20">
        <v>4221.1506791815818</v>
      </c>
      <c r="AN248" s="23">
        <v>243</v>
      </c>
      <c r="AO248" s="58">
        <v>121.5</v>
      </c>
      <c r="AP248" s="45">
        <f t="shared" si="62"/>
        <v>11151.967967783761</v>
      </c>
      <c r="AQ248" s="45">
        <f t="shared" si="63"/>
        <v>-59.784795150817729</v>
      </c>
      <c r="AR248" s="45">
        <f t="shared" si="64"/>
        <v>-2707.0935861123276</v>
      </c>
      <c r="AS248" s="45">
        <f t="shared" si="65"/>
        <v>-17.593955193552233</v>
      </c>
      <c r="AT248" s="45">
        <f t="shared" si="51"/>
        <v>534.18882835676004</v>
      </c>
      <c r="AU248" s="45">
        <f t="shared" si="52"/>
        <v>589.71090776973313</v>
      </c>
      <c r="AV248" s="64">
        <f t="shared" si="53"/>
        <v>1282.420411288329</v>
      </c>
      <c r="AW248" s="64">
        <f t="shared" si="54"/>
        <v>1095.7038006812261</v>
      </c>
      <c r="AX248" s="64">
        <f t="shared" si="55"/>
        <v>-149.13394444026403</v>
      </c>
      <c r="AY248" s="64">
        <f t="shared" si="56"/>
        <v>48.159249145111623</v>
      </c>
      <c r="AZ248" s="64">
        <f t="shared" si="57"/>
        <v>-599.09763849130491</v>
      </c>
      <c r="BA248" s="64">
        <f t="shared" si="58"/>
        <v>-554.15214205660448</v>
      </c>
      <c r="BB248" s="65">
        <f t="shared" si="59"/>
        <v>11637.78402412238</v>
      </c>
      <c r="BC248" s="65">
        <f t="shared" si="60"/>
        <v>32735.979875216402</v>
      </c>
      <c r="BD248" s="66">
        <f t="shared" si="61"/>
        <v>22002.18397340408</v>
      </c>
    </row>
    <row r="249" spans="31:56" x14ac:dyDescent="0.25">
      <c r="AE249" s="71">
        <v>187</v>
      </c>
      <c r="AF249" s="17">
        <v>5.4035393641744447</v>
      </c>
      <c r="AG249" s="18">
        <v>-14865.896705534837</v>
      </c>
      <c r="AH249" s="20">
        <v>4532.7352943394135</v>
      </c>
      <c r="AN249" s="23">
        <v>244</v>
      </c>
      <c r="AO249" s="58">
        <v>122</v>
      </c>
      <c r="AP249" s="45">
        <f t="shared" si="62"/>
        <v>9931.9683818167869</v>
      </c>
      <c r="AQ249" s="45">
        <f t="shared" si="63"/>
        <v>78.845954194839436</v>
      </c>
      <c r="AR249" s="45">
        <f t="shared" si="64"/>
        <v>-2439.9991719339478</v>
      </c>
      <c r="AS249" s="45">
        <f t="shared" si="65"/>
        <v>277.26149869131433</v>
      </c>
      <c r="AT249" s="45">
        <f t="shared" si="51"/>
        <v>518.61995911160079</v>
      </c>
      <c r="AU249" s="45">
        <f t="shared" si="52"/>
        <v>387.55391524734614</v>
      </c>
      <c r="AV249" s="64">
        <f t="shared" si="53"/>
        <v>1283.7120549360311</v>
      </c>
      <c r="AW249" s="64">
        <f t="shared" si="54"/>
        <v>946.22516807873046</v>
      </c>
      <c r="AX249" s="64">
        <f t="shared" si="55"/>
        <v>-159.50772571126032</v>
      </c>
      <c r="AY249" s="64">
        <f t="shared" si="56"/>
        <v>52.869918145403197</v>
      </c>
      <c r="AZ249" s="64">
        <f t="shared" si="57"/>
        <v>-605.58437011317005</v>
      </c>
      <c r="BA249" s="64">
        <f t="shared" si="58"/>
        <v>-611.5411709767875</v>
      </c>
      <c r="BB249" s="65">
        <f t="shared" si="59"/>
        <v>12507.549241810213</v>
      </c>
      <c r="BC249" s="65">
        <f t="shared" si="60"/>
        <v>31533.347884591574</v>
      </c>
      <c r="BD249" s="66">
        <f t="shared" si="61"/>
        <v>21221.104473281175</v>
      </c>
    </row>
    <row r="250" spans="31:56" x14ac:dyDescent="0.25">
      <c r="AE250" s="71">
        <v>188</v>
      </c>
      <c r="AF250" s="17">
        <v>5.4663712172462402</v>
      </c>
      <c r="AG250" s="18">
        <v>-14532.735294339411</v>
      </c>
      <c r="AH250" s="20">
        <v>4865.8967055348376</v>
      </c>
      <c r="AN250" s="23">
        <v>245</v>
      </c>
      <c r="AO250" s="58">
        <v>122.5</v>
      </c>
      <c r="AP250" s="45">
        <f t="shared" si="62"/>
        <v>8841.623785627713</v>
      </c>
      <c r="AQ250" s="45">
        <f t="shared" si="63"/>
        <v>314.36518235233314</v>
      </c>
      <c r="AR250" s="45">
        <f t="shared" si="64"/>
        <v>-2180.6891923781473</v>
      </c>
      <c r="AS250" s="45">
        <f t="shared" si="65"/>
        <v>471.0384563149874</v>
      </c>
      <c r="AT250" s="45">
        <f t="shared" si="51"/>
        <v>502.41433732913367</v>
      </c>
      <c r="AU250" s="45">
        <f t="shared" si="52"/>
        <v>212.61022051049997</v>
      </c>
      <c r="AV250" s="64">
        <f t="shared" si="53"/>
        <v>1273.2076937258926</v>
      </c>
      <c r="AW250" s="64">
        <f t="shared" si="54"/>
        <v>819.9047386796077</v>
      </c>
      <c r="AX250" s="64">
        <f t="shared" si="55"/>
        <v>-170.23109586112457</v>
      </c>
      <c r="AY250" s="64">
        <f t="shared" si="56"/>
        <v>57.167246940529395</v>
      </c>
      <c r="AZ250" s="64">
        <f t="shared" si="57"/>
        <v>-600.56226053563421</v>
      </c>
      <c r="BA250" s="64">
        <f t="shared" si="58"/>
        <v>-664.4617651096371</v>
      </c>
      <c r="BB250" s="65">
        <f t="shared" si="59"/>
        <v>13271.876561890545</v>
      </c>
      <c r="BC250" s="65">
        <f t="shared" si="60"/>
        <v>30424.509600197587</v>
      </c>
      <c r="BD250" s="66">
        <f t="shared" si="61"/>
        <v>20642.682237570298</v>
      </c>
    </row>
    <row r="251" spans="31:56" x14ac:dyDescent="0.25">
      <c r="AE251" s="71">
        <v>189</v>
      </c>
      <c r="AF251" s="17">
        <v>5.5292030703180366</v>
      </c>
      <c r="AG251" s="18">
        <v>-14221.150679181581</v>
      </c>
      <c r="AH251" s="20">
        <v>5219.3200768848274</v>
      </c>
      <c r="AN251" s="23">
        <v>246</v>
      </c>
      <c r="AO251" s="58">
        <v>123</v>
      </c>
      <c r="AP251" s="45">
        <f t="shared" si="62"/>
        <v>7876.8827737709225</v>
      </c>
      <c r="AQ251" s="45">
        <f t="shared" si="63"/>
        <v>603.03696563745177</v>
      </c>
      <c r="AR251" s="45">
        <f t="shared" si="64"/>
        <v>-1929.4820237135805</v>
      </c>
      <c r="AS251" s="45">
        <f t="shared" si="65"/>
        <v>577.34356657023739</v>
      </c>
      <c r="AT251" s="45">
        <f t="shared" si="51"/>
        <v>488.02282617417416</v>
      </c>
      <c r="AU251" s="45">
        <f t="shared" si="52"/>
        <v>64.572139365046951</v>
      </c>
      <c r="AV251" s="64">
        <f t="shared" si="53"/>
        <v>1255.7430148539452</v>
      </c>
      <c r="AW251" s="64">
        <f t="shared" si="54"/>
        <v>714.40480137966995</v>
      </c>
      <c r="AX251" s="64">
        <f t="shared" si="55"/>
        <v>-181.05723258371208</v>
      </c>
      <c r="AY251" s="64">
        <f t="shared" si="56"/>
        <v>61.032222845731646</v>
      </c>
      <c r="AZ251" s="64">
        <f t="shared" si="57"/>
        <v>-586.66295609605902</v>
      </c>
      <c r="BA251" s="64">
        <f t="shared" si="58"/>
        <v>-710.86488486035466</v>
      </c>
      <c r="BB251" s="65">
        <f t="shared" si="59"/>
        <v>13947.690503386419</v>
      </c>
      <c r="BC251" s="65">
        <f t="shared" si="60"/>
        <v>29418.081301331367</v>
      </c>
      <c r="BD251" s="66">
        <f t="shared" si="61"/>
        <v>20230.394769269507</v>
      </c>
    </row>
    <row r="252" spans="31:56" x14ac:dyDescent="0.25">
      <c r="AE252" s="71">
        <v>190</v>
      </c>
      <c r="AF252" s="17">
        <v>5.5920349233898321</v>
      </c>
      <c r="AG252" s="18">
        <v>-13932.372542187892</v>
      </c>
      <c r="AH252" s="20">
        <v>5591.6106078064558</v>
      </c>
      <c r="AN252" s="23">
        <v>247</v>
      </c>
      <c r="AO252" s="58">
        <v>123.5</v>
      </c>
      <c r="AP252" s="45">
        <f t="shared" si="62"/>
        <v>7034.147468457676</v>
      </c>
      <c r="AQ252" s="45">
        <f t="shared" si="63"/>
        <v>907.85178376383226</v>
      </c>
      <c r="AR252" s="45">
        <f t="shared" si="64"/>
        <v>-1685.4706106264935</v>
      </c>
      <c r="AS252" s="45">
        <f t="shared" si="65"/>
        <v>609.62963625276086</v>
      </c>
      <c r="AT252" s="45">
        <f t="shared" si="51"/>
        <v>475.57229955326056</v>
      </c>
      <c r="AU252" s="45">
        <f t="shared" si="52"/>
        <v>-57.683309032744432</v>
      </c>
      <c r="AV252" s="64">
        <f t="shared" si="53"/>
        <v>1234.430863263995</v>
      </c>
      <c r="AW252" s="64">
        <f t="shared" si="54"/>
        <v>627.61404956104582</v>
      </c>
      <c r="AX252" s="64">
        <f t="shared" si="55"/>
        <v>-191.67147450243303</v>
      </c>
      <c r="AY252" s="64">
        <f t="shared" si="56"/>
        <v>64.463118618183515</v>
      </c>
      <c r="AZ252" s="64">
        <f t="shared" si="57"/>
        <v>-567.18708920830136</v>
      </c>
      <c r="BA252" s="64">
        <f t="shared" si="58"/>
        <v>-749.76047721197381</v>
      </c>
      <c r="BB252" s="65">
        <f t="shared" si="59"/>
        <v>14545.437428091607</v>
      </c>
      <c r="BC252" s="65">
        <f t="shared" si="60"/>
        <v>28522.136815679205</v>
      </c>
      <c r="BD252" s="66">
        <f t="shared" si="61"/>
        <v>19946.940960126805</v>
      </c>
    </row>
    <row r="253" spans="31:56" x14ac:dyDescent="0.25">
      <c r="AE253" s="71">
        <v>191</v>
      </c>
      <c r="AF253" s="17">
        <v>5.6548667764616285</v>
      </c>
      <c r="AG253" s="18">
        <v>-13667.540558734885</v>
      </c>
      <c r="AH253" s="20">
        <v>5981.2990376575272</v>
      </c>
      <c r="AN253" s="23">
        <v>248</v>
      </c>
      <c r="AO253" s="58">
        <v>124</v>
      </c>
      <c r="AP253" s="45">
        <f t="shared" si="62"/>
        <v>6310.3052380327445</v>
      </c>
      <c r="AQ253" s="45">
        <f t="shared" si="63"/>
        <v>1198.2457746320265</v>
      </c>
      <c r="AR253" s="45">
        <f t="shared" si="64"/>
        <v>-1447.6844608498632</v>
      </c>
      <c r="AS253" s="45">
        <f t="shared" si="65"/>
        <v>580.7879817363887</v>
      </c>
      <c r="AT253" s="45">
        <f t="shared" si="51"/>
        <v>464.34200853078926</v>
      </c>
      <c r="AU253" s="45">
        <f t="shared" si="52"/>
        <v>-156.02757910853472</v>
      </c>
      <c r="AV253" s="64">
        <f t="shared" si="53"/>
        <v>1211.5240549503267</v>
      </c>
      <c r="AW253" s="64">
        <f t="shared" si="54"/>
        <v>557.69883588850928</v>
      </c>
      <c r="AX253" s="64">
        <f t="shared" si="55"/>
        <v>-201.71074112516069</v>
      </c>
      <c r="AY253" s="64">
        <f t="shared" si="56"/>
        <v>67.479580793082363</v>
      </c>
      <c r="AZ253" s="64">
        <f t="shared" si="57"/>
        <v>-545.47130529437675</v>
      </c>
      <c r="BA253" s="64">
        <f t="shared" si="58"/>
        <v>-781.20599579012639</v>
      </c>
      <c r="BB253" s="65">
        <f t="shared" si="59"/>
        <v>15070.495977000121</v>
      </c>
      <c r="BC253" s="65">
        <f t="shared" si="60"/>
        <v>27743.522472141784</v>
      </c>
      <c r="BD253" s="66">
        <f t="shared" si="61"/>
        <v>19756.167916700222</v>
      </c>
    </row>
    <row r="254" spans="31:56" x14ac:dyDescent="0.25">
      <c r="AE254" s="71">
        <v>192</v>
      </c>
      <c r="AF254" s="17">
        <v>5.717698629533424</v>
      </c>
      <c r="AG254" s="18">
        <v>-13427.699899671024</v>
      </c>
      <c r="AH254" s="20">
        <v>6386.8474442371353</v>
      </c>
      <c r="AN254" s="23">
        <v>249</v>
      </c>
      <c r="AO254" s="58">
        <v>124.5</v>
      </c>
      <c r="AP254" s="45">
        <f t="shared" si="62"/>
        <v>5702.5485097405099</v>
      </c>
      <c r="AQ254" s="45">
        <f t="shared" si="63"/>
        <v>1449.6328707230871</v>
      </c>
      <c r="AR254" s="45">
        <f t="shared" si="64"/>
        <v>-1215.5134565844685</v>
      </c>
      <c r="AS254" s="45">
        <f t="shared" si="65"/>
        <v>502.77419218212134</v>
      </c>
      <c r="AT254" s="45">
        <f t="shared" si="51"/>
        <v>453.4945048439431</v>
      </c>
      <c r="AU254" s="45">
        <f t="shared" si="52"/>
        <v>-232.88489327126945</v>
      </c>
      <c r="AV254" s="64">
        <f t="shared" si="53"/>
        <v>1188.7204123934646</v>
      </c>
      <c r="AW254" s="64">
        <f t="shared" si="54"/>
        <v>503.04034351477145</v>
      </c>
      <c r="AX254" s="64">
        <f t="shared" si="55"/>
        <v>-210.79055405927019</v>
      </c>
      <c r="AY254" s="64">
        <f t="shared" si="56"/>
        <v>70.12287609952061</v>
      </c>
      <c r="AZ254" s="64">
        <f t="shared" si="57"/>
        <v>-524.43535349025126</v>
      </c>
      <c r="BA254" s="64">
        <f t="shared" si="58"/>
        <v>-806.04811288556152</v>
      </c>
      <c r="BB254" s="65">
        <f t="shared" si="59"/>
        <v>15524.949646145647</v>
      </c>
      <c r="BC254" s="65">
        <f t="shared" si="60"/>
        <v>27087.446870109099</v>
      </c>
      <c r="BD254" s="66">
        <f t="shared" si="61"/>
        <v>19624.855825837862</v>
      </c>
    </row>
    <row r="255" spans="31:56" x14ac:dyDescent="0.25">
      <c r="AE255" s="71">
        <v>193</v>
      </c>
      <c r="AF255" s="17">
        <v>5.7805304826052195</v>
      </c>
      <c r="AG255" s="18">
        <v>-13213.797106504851</v>
      </c>
      <c r="AH255" s="20">
        <v>6806.6553132619583</v>
      </c>
      <c r="AN255" s="23">
        <v>250</v>
      </c>
      <c r="AO255" s="58">
        <v>125</v>
      </c>
      <c r="AP255" s="45">
        <f t="shared" si="62"/>
        <v>5208.1654076592613</v>
      </c>
      <c r="AQ255" s="45">
        <f t="shared" si="63"/>
        <v>1642.7987434963302</v>
      </c>
      <c r="AR255" s="45">
        <f t="shared" si="64"/>
        <v>-988.76620416249693</v>
      </c>
      <c r="AS255" s="45">
        <f t="shared" si="65"/>
        <v>386.33174554648662</v>
      </c>
      <c r="AT255" s="45">
        <f t="shared" si="51"/>
        <v>442.34093237927073</v>
      </c>
      <c r="AU255" s="45">
        <f t="shared" si="52"/>
        <v>-290.9108060073562</v>
      </c>
      <c r="AV255" s="64">
        <f t="shared" si="53"/>
        <v>1167.2517569679762</v>
      </c>
      <c r="AW255" s="64">
        <f t="shared" si="54"/>
        <v>462.20287381452181</v>
      </c>
      <c r="AX255" s="64">
        <f t="shared" si="55"/>
        <v>-218.53582564996663</v>
      </c>
      <c r="AY255" s="64">
        <f t="shared" si="56"/>
        <v>72.450646335335819</v>
      </c>
      <c r="AZ255" s="64">
        <f t="shared" si="57"/>
        <v>-506.37499893873883</v>
      </c>
      <c r="BA255" s="64">
        <f t="shared" si="58"/>
        <v>-825.56432615721383</v>
      </c>
      <c r="BB255" s="65">
        <f t="shared" si="59"/>
        <v>15909.279592940602</v>
      </c>
      <c r="BC255" s="65">
        <f t="shared" si="60"/>
        <v>26557.379691182177</v>
      </c>
      <c r="BD255" s="66">
        <f t="shared" si="61"/>
        <v>19524.072090797406</v>
      </c>
    </row>
    <row r="256" spans="31:56" x14ac:dyDescent="0.25">
      <c r="AE256" s="71">
        <v>194</v>
      </c>
      <c r="AF256" s="17">
        <v>5.8433623356770159</v>
      </c>
      <c r="AG256" s="18">
        <v>-13026.676355838114</v>
      </c>
      <c r="AH256" s="20">
        <v>7239.0658548649162</v>
      </c>
      <c r="AN256" s="23">
        <v>251</v>
      </c>
      <c r="AO256" s="58">
        <v>125.5</v>
      </c>
      <c r="AP256" s="45">
        <f t="shared" si="62"/>
        <v>4824.3675386728301</v>
      </c>
      <c r="AQ256" s="45">
        <f t="shared" si="63"/>
        <v>1763.2369147677346</v>
      </c>
      <c r="AR256" s="45">
        <f t="shared" si="64"/>
        <v>-767.59573797286157</v>
      </c>
      <c r="AS256" s="45">
        <f t="shared" si="65"/>
        <v>240.87634254280852</v>
      </c>
      <c r="AT256" s="45">
        <f t="shared" si="51"/>
        <v>430.34152180221486</v>
      </c>
      <c r="AU256" s="45">
        <f t="shared" si="52"/>
        <v>-332.66520574501851</v>
      </c>
      <c r="AV256" s="64">
        <f t="shared" si="53"/>
        <v>1147.9110588548342</v>
      </c>
      <c r="AW256" s="64">
        <f t="shared" si="54"/>
        <v>433.93867137662517</v>
      </c>
      <c r="AX256" s="64">
        <f t="shared" si="55"/>
        <v>-224.61144961754971</v>
      </c>
      <c r="AY256" s="64">
        <f t="shared" si="56"/>
        <v>74.526422228006126</v>
      </c>
      <c r="AZ256" s="64">
        <f t="shared" si="57"/>
        <v>-492.95808743506961</v>
      </c>
      <c r="BA256" s="64">
        <f t="shared" si="58"/>
        <v>-841.13029934964982</v>
      </c>
      <c r="BB256" s="65">
        <f t="shared" si="59"/>
        <v>16223.756386773395</v>
      </c>
      <c r="BC256" s="65">
        <f t="shared" si="60"/>
        <v>26155.180936429369</v>
      </c>
      <c r="BD256" s="66">
        <f t="shared" si="61"/>
        <v>19429.984801732608</v>
      </c>
    </row>
    <row r="257" spans="31:56" x14ac:dyDescent="0.25">
      <c r="AE257" s="71">
        <v>195</v>
      </c>
      <c r="AF257" s="17">
        <v>5.9061941887488114</v>
      </c>
      <c r="AG257" s="18">
        <v>-12867.076127786346</v>
      </c>
      <c r="AH257" s="20">
        <v>7682.3725421878989</v>
      </c>
      <c r="AN257" s="23">
        <v>252</v>
      </c>
      <c r="AO257" s="58">
        <v>126</v>
      </c>
      <c r="AP257" s="45">
        <f t="shared" si="62"/>
        <v>4548.1550501369538</v>
      </c>
      <c r="AQ257" s="45">
        <f t="shared" si="63"/>
        <v>1800.5087846028844</v>
      </c>
      <c r="AR257" s="45">
        <f t="shared" si="64"/>
        <v>-552.42497707175414</v>
      </c>
      <c r="AS257" s="45">
        <f t="shared" si="65"/>
        <v>74.54373967029926</v>
      </c>
      <c r="AT257" s="45">
        <f t="shared" si="51"/>
        <v>416.98707217826262</v>
      </c>
      <c r="AU257" s="45">
        <f t="shared" si="52"/>
        <v>-360.36720988228774</v>
      </c>
      <c r="AV257" s="64">
        <f t="shared" si="53"/>
        <v>1131.0721353540139</v>
      </c>
      <c r="AW257" s="64">
        <f t="shared" si="54"/>
        <v>417.20168176343219</v>
      </c>
      <c r="AX257" s="64">
        <f t="shared" si="55"/>
        <v>-228.74942401014107</v>
      </c>
      <c r="AY257" s="64">
        <f t="shared" si="56"/>
        <v>76.406104200805842</v>
      </c>
      <c r="AZ257" s="64">
        <f t="shared" si="57"/>
        <v>-485.33563916561019</v>
      </c>
      <c r="BA257" s="64">
        <f t="shared" si="58"/>
        <v>-853.97499584652576</v>
      </c>
      <c r="BB257" s="65">
        <f t="shared" si="59"/>
        <v>16469.478208765362</v>
      </c>
      <c r="BC257" s="65">
        <f t="shared" si="60"/>
        <v>25881.336375020106</v>
      </c>
      <c r="BD257" s="66">
        <f t="shared" si="61"/>
        <v>19324.191064129296</v>
      </c>
    </row>
    <row r="258" spans="31:56" x14ac:dyDescent="0.25">
      <c r="AE258" s="71">
        <v>196</v>
      </c>
      <c r="AF258" s="17">
        <v>5.9690260418206078</v>
      </c>
      <c r="AG258" s="18">
        <v>-12735.626291535267</v>
      </c>
      <c r="AH258" s="20">
        <v>8134.8258462635913</v>
      </c>
      <c r="AN258" s="23">
        <v>253</v>
      </c>
      <c r="AO258" s="58">
        <v>126.5</v>
      </c>
      <c r="AP258" s="45">
        <f t="shared" si="62"/>
        <v>4376.1893296456419</v>
      </c>
      <c r="AQ258" s="45">
        <f t="shared" si="63"/>
        <v>1747.6888519674619</v>
      </c>
      <c r="AR258" s="45">
        <f t="shared" si="64"/>
        <v>-343.9314409826228</v>
      </c>
      <c r="AS258" s="45">
        <f t="shared" si="65"/>
        <v>-105.63986527084461</v>
      </c>
      <c r="AT258" s="45">
        <f t="shared" si="51"/>
        <v>401.65443960596025</v>
      </c>
      <c r="AU258" s="45">
        <f t="shared" si="52"/>
        <v>-375.75833524990645</v>
      </c>
      <c r="AV258" s="64">
        <f t="shared" si="53"/>
        <v>1116.7113795970986</v>
      </c>
      <c r="AW258" s="64">
        <f t="shared" si="54"/>
        <v>411.1462596112919</v>
      </c>
      <c r="AX258" s="64">
        <f t="shared" si="55"/>
        <v>-230.77036378857781</v>
      </c>
      <c r="AY258" s="64">
        <f t="shared" si="56"/>
        <v>78.12496120597244</v>
      </c>
      <c r="AZ258" s="64">
        <f t="shared" si="57"/>
        <v>-484.28657620256052</v>
      </c>
      <c r="BA258" s="64">
        <f t="shared" si="58"/>
        <v>-865.0295560671708</v>
      </c>
      <c r="BB258" s="65">
        <f t="shared" si="59"/>
        <v>16649.100378304473</v>
      </c>
      <c r="BC258" s="65">
        <f t="shared" si="60"/>
        <v>25735.175257197534</v>
      </c>
      <c r="BD258" s="66">
        <f t="shared" si="61"/>
        <v>19193.697096382341</v>
      </c>
    </row>
    <row r="259" spans="31:56" x14ac:dyDescent="0.25">
      <c r="AE259" s="71">
        <v>197</v>
      </c>
      <c r="AF259" s="17">
        <v>6.0318578948924033</v>
      </c>
      <c r="AG259" s="18">
        <v>-12632.845619534834</v>
      </c>
      <c r="AH259" s="20">
        <v>8594.6401406070654</v>
      </c>
      <c r="AN259" s="23">
        <v>254</v>
      </c>
      <c r="AO259" s="58">
        <v>127</v>
      </c>
      <c r="AP259" s="45">
        <f t="shared" si="62"/>
        <v>4304.6372190558213</v>
      </c>
      <c r="AQ259" s="45">
        <f t="shared" si="63"/>
        <v>1600.929335519563</v>
      </c>
      <c r="AR259" s="45">
        <f t="shared" si="64"/>
        <v>-143.10422117964268</v>
      </c>
      <c r="AS259" s="45">
        <f t="shared" si="65"/>
        <v>-293.51903289579786</v>
      </c>
      <c r="AT259" s="45">
        <f t="shared" si="51"/>
        <v>383.4869896659946</v>
      </c>
      <c r="AU259" s="45">
        <f t="shared" si="52"/>
        <v>-380.06177831774505</v>
      </c>
      <c r="AV259" s="64">
        <f t="shared" si="53"/>
        <v>1104.4277081180469</v>
      </c>
      <c r="AW259" s="64">
        <f t="shared" si="54"/>
        <v>415.09694200305745</v>
      </c>
      <c r="AX259" s="64">
        <f t="shared" si="55"/>
        <v>-230.59827440461137</v>
      </c>
      <c r="AY259" s="64">
        <f t="shared" si="56"/>
        <v>79.688957476519874</v>
      </c>
      <c r="AZ259" s="64">
        <f t="shared" si="57"/>
        <v>-490.34244404744089</v>
      </c>
      <c r="BA259" s="64">
        <f t="shared" si="58"/>
        <v>-874.84767779732238</v>
      </c>
      <c r="BB259" s="65">
        <f t="shared" si="59"/>
        <v>16767.33274942623</v>
      </c>
      <c r="BC259" s="65">
        <f t="shared" si="60"/>
        <v>25714.971871982463</v>
      </c>
      <c r="BD259" s="66">
        <f t="shared" si="61"/>
        <v>19030.689125230143</v>
      </c>
    </row>
    <row r="260" spans="31:56" x14ac:dyDescent="0.25">
      <c r="AE260" s="71">
        <v>198</v>
      </c>
      <c r="AF260" s="17">
        <v>6.0946897479641988</v>
      </c>
      <c r="AG260" s="18">
        <v>-12559.139740141416</v>
      </c>
      <c r="AH260" s="20">
        <v>9060.0007482677211</v>
      </c>
      <c r="AN260" s="23">
        <v>255</v>
      </c>
      <c r="AO260" s="58">
        <v>127.5</v>
      </c>
      <c r="AP260" s="45">
        <f t="shared" si="62"/>
        <v>4328.9568558824985</v>
      </c>
      <c r="AQ260" s="45">
        <f t="shared" si="63"/>
        <v>1359.1543744922278</v>
      </c>
      <c r="AR260" s="45">
        <f t="shared" si="64"/>
        <v>48.639273653354621</v>
      </c>
      <c r="AS260" s="45">
        <f t="shared" si="65"/>
        <v>-483.54992205467039</v>
      </c>
      <c r="AT260" s="45">
        <f t="shared" si="51"/>
        <v>361.32656824736733</v>
      </c>
      <c r="AU260" s="45">
        <f t="shared" si="52"/>
        <v>-374.01595890792618</v>
      </c>
      <c r="AV260" s="64">
        <f t="shared" si="53"/>
        <v>1093.4592761497311</v>
      </c>
      <c r="AW260" s="64">
        <f t="shared" si="54"/>
        <v>428.48230018022235</v>
      </c>
      <c r="AX260" s="64">
        <f t="shared" si="55"/>
        <v>-228.26798422252881</v>
      </c>
      <c r="AY260" s="64">
        <f t="shared" si="56"/>
        <v>81.073283355171966</v>
      </c>
      <c r="AZ260" s="64">
        <f t="shared" si="57"/>
        <v>-503.86472367983487</v>
      </c>
      <c r="BA260" s="64">
        <f t="shared" si="58"/>
        <v>-883.57154244332048</v>
      </c>
      <c r="BB260" s="65">
        <f t="shared" si="59"/>
        <v>16831.267873250374</v>
      </c>
      <c r="BC260" s="65">
        <f t="shared" si="60"/>
        <v>25817.868905454779</v>
      </c>
      <c r="BD260" s="66">
        <f t="shared" si="61"/>
        <v>18832.189672669116</v>
      </c>
    </row>
    <row r="261" spans="31:56" x14ac:dyDescent="0.25">
      <c r="AE261" s="71">
        <v>199</v>
      </c>
      <c r="AF261" s="17">
        <v>6.1575216010359952</v>
      </c>
      <c r="AG261" s="18">
        <v>-12514.799536787963</v>
      </c>
      <c r="AH261" s="20">
        <v>9529.0711035301501</v>
      </c>
      <c r="AN261" s="23">
        <v>256</v>
      </c>
      <c r="AO261" s="58">
        <v>128</v>
      </c>
      <c r="AP261" s="45">
        <f t="shared" si="62"/>
        <v>4443.6081347710178</v>
      </c>
      <c r="AQ261" s="45">
        <f t="shared" si="63"/>
        <v>1023.8754237379111</v>
      </c>
      <c r="AR261" s="45">
        <f t="shared" si="64"/>
        <v>229.30255777703829</v>
      </c>
      <c r="AS261" s="45">
        <f t="shared" si="65"/>
        <v>-670.55790150863345</v>
      </c>
      <c r="AT261" s="45">
        <f t="shared" si="51"/>
        <v>333.71510627977671</v>
      </c>
      <c r="AU261" s="45">
        <f t="shared" si="52"/>
        <v>-357.96856054713135</v>
      </c>
      <c r="AV261" s="64">
        <f t="shared" si="53"/>
        <v>1082.7043492859509</v>
      </c>
      <c r="AW261" s="64">
        <f t="shared" si="54"/>
        <v>450.7297261461336</v>
      </c>
      <c r="AX261" s="64">
        <f t="shared" si="55"/>
        <v>-223.9246830406197</v>
      </c>
      <c r="AY261" s="64">
        <f t="shared" si="56"/>
        <v>82.229098077113079</v>
      </c>
      <c r="AZ261" s="64">
        <f t="shared" si="57"/>
        <v>-525.06455996555451</v>
      </c>
      <c r="BA261" s="64">
        <f t="shared" si="58"/>
        <v>-890.92738477037801</v>
      </c>
      <c r="BB261" s="65">
        <f t="shared" si="59"/>
        <v>16850.564304848318</v>
      </c>
      <c r="BC261" s="65">
        <f t="shared" si="60"/>
        <v>26039.600439615428</v>
      </c>
      <c r="BD261" s="66">
        <f t="shared" si="61"/>
        <v>18599.632206003029</v>
      </c>
    </row>
    <row r="262" spans="31:56" x14ac:dyDescent="0.25">
      <c r="AE262" s="71">
        <v>200</v>
      </c>
      <c r="AF262" s="17">
        <v>6.2203534541077907</v>
      </c>
      <c r="AG262" s="18">
        <v>-12500</v>
      </c>
      <c r="AH262" s="20">
        <v>10000.000000000005</v>
      </c>
      <c r="AN262" s="23">
        <v>257</v>
      </c>
      <c r="AO262" s="58">
        <v>128.5</v>
      </c>
      <c r="AP262" s="45">
        <f t="shared" si="62"/>
        <v>4641.6881902294817</v>
      </c>
      <c r="AQ262" s="45">
        <f t="shared" si="63"/>
        <v>599.10433284681153</v>
      </c>
      <c r="AR262" s="45">
        <f t="shared" si="64"/>
        <v>396.16011091692667</v>
      </c>
      <c r="AS262" s="45">
        <f t="shared" si="65"/>
        <v>-849.54218178219912</v>
      </c>
      <c r="AT262" s="45">
        <f t="shared" ref="AT262:AT325" si="66">AV262+AX262+AZ262</f>
        <v>298.98404969371472</v>
      </c>
      <c r="AU262" s="45">
        <f t="shared" ref="AU262:AU325" si="67">AW262+AY262+BA262</f>
        <v>-332.02995937702985</v>
      </c>
      <c r="AV262" s="64">
        <f t="shared" ref="AV262:AV325" si="68">$K$22*(($K$18-AP262)/((BB262^2+$K$23^2)^(3/2)))</f>
        <v>1070.7642826380106</v>
      </c>
      <c r="AW262" s="64">
        <f t="shared" ref="AW262:AW325" si="69">$K$22*(($L$18-AQ262)/((BB262^2+$K$23^2)^(3/2)))</f>
        <v>481.12270997768252</v>
      </c>
      <c r="AX262" s="64">
        <f t="shared" ref="AX262:AX325" si="70">$K$30*(($K$26-AP262)/((BC262^2+$K$31^2)^(3/2)))</f>
        <v>-217.8149674455201</v>
      </c>
      <c r="AY262" s="64">
        <f t="shared" ref="AY262:AY325" si="71">$K$30*(($L$26-AQ262)/((BC262^2+$K$31^2)^(3/2)))</f>
        <v>83.097219958801603</v>
      </c>
      <c r="AZ262" s="64">
        <f t="shared" ref="AZ262:AZ325" si="72">$K$38*(($K$34-AP262)/((BD262^2+$K$39^2)^(3/2)))</f>
        <v>-553.96526549877581</v>
      </c>
      <c r="BA262" s="64">
        <f t="shared" ref="BA262:BA325" si="73">$K$38*(($L$34-AQ262)/((BD262^2+$K$39^2)^(3/2)))</f>
        <v>-896.24988931351402</v>
      </c>
      <c r="BB262" s="65">
        <f t="shared" ref="BB262:BB325" si="74">SQRT(($K$18-AP262)^2+($L$18-AQ262)^2)</f>
        <v>16837.461288895967</v>
      </c>
      <c r="BC262" s="65">
        <f t="shared" ref="BC262:BC325" si="75">SQRT(($K$26-AP262)^2+($L$26-AQ262)^2)</f>
        <v>26374.033370138794</v>
      </c>
      <c r="BD262" s="66">
        <f t="shared" ref="BD262:BD325" si="76">SQRT(($K$34-AP262)^2+($L$34-AQ262)^2)</f>
        <v>18338.326181651661</v>
      </c>
    </row>
    <row r="263" spans="31:56" x14ac:dyDescent="0.25">
      <c r="AE263" s="71">
        <v>201</v>
      </c>
      <c r="AF263" s="17">
        <v>6.2831853071795871</v>
      </c>
      <c r="AG263" s="18" cm="1">
        <f t="array" ref="AG263:AG362">COS(AF63:AF162)*$AL$36+$K$26</f>
        <v>-12514.799536787963</v>
      </c>
      <c r="AH263" s="47" cm="1">
        <f t="array" ref="AH263:AH362">SIN(AF63:AF162)*$AL$36+$L$26</f>
        <v>10470.92889646985</v>
      </c>
      <c r="AN263" s="23">
        <v>258</v>
      </c>
      <c r="AO263" s="58">
        <v>129</v>
      </c>
      <c r="AP263" s="45">
        <f t="shared" ref="AP263:AP326" si="77">AP262+AR262*$K$5+AT262*$K$5^2</f>
        <v>4914.5142581113732</v>
      </c>
      <c r="AQ263" s="45">
        <f t="shared" ref="AQ263:AQ326" si="78">AQ262+AS262*$K$5+AU262*$K$5^2</f>
        <v>91.325752111454506</v>
      </c>
      <c r="AR263" s="45">
        <f t="shared" ref="AR263:AR326" si="79">AR262+AT262*$K$5</f>
        <v>545.65213576378403</v>
      </c>
      <c r="AS263" s="45">
        <f t="shared" ref="AS263:AS326" si="80">AS262+AU262*$K$5</f>
        <v>-1015.557161470714</v>
      </c>
      <c r="AT263" s="45">
        <f t="shared" si="66"/>
        <v>255.44820579995053</v>
      </c>
      <c r="AU263" s="45">
        <f t="shared" si="67"/>
        <v>-296.29117384524989</v>
      </c>
      <c r="AV263" s="64">
        <f t="shared" si="68"/>
        <v>1056.0350208537407</v>
      </c>
      <c r="AW263" s="64">
        <f t="shared" si="69"/>
        <v>518.63225339458302</v>
      </c>
      <c r="AX263" s="64">
        <f t="shared" si="70"/>
        <v>-210.26915575561154</v>
      </c>
      <c r="AY263" s="64">
        <f t="shared" si="71"/>
        <v>83.625494247096398</v>
      </c>
      <c r="AZ263" s="64">
        <f t="shared" si="72"/>
        <v>-590.31765929817857</v>
      </c>
      <c r="BA263" s="64">
        <f t="shared" si="73"/>
        <v>-898.54892148692932</v>
      </c>
      <c r="BB263" s="65">
        <f t="shared" si="74"/>
        <v>16806.556285570579</v>
      </c>
      <c r="BC263" s="65">
        <f t="shared" si="75"/>
        <v>26812.587455678433</v>
      </c>
      <c r="BD263" s="66">
        <f t="shared" si="76"/>
        <v>18056.735749593172</v>
      </c>
    </row>
    <row r="264" spans="31:56" x14ac:dyDescent="0.25">
      <c r="AE264" s="71">
        <v>202</v>
      </c>
      <c r="AF264" s="17" cm="1">
        <f t="array" ref="AF264:AF364">$AL$35*AE62:AE162</f>
        <v>0</v>
      </c>
      <c r="AG264" s="18">
        <v>-12559.139740141416</v>
      </c>
      <c r="AH264" s="20">
        <v>10939.999251732283</v>
      </c>
      <c r="AN264" s="23">
        <v>259</v>
      </c>
      <c r="AO264" s="58">
        <v>129.5</v>
      </c>
      <c r="AP264" s="45">
        <f t="shared" si="77"/>
        <v>5251.2023774432537</v>
      </c>
      <c r="AQ264" s="45">
        <f t="shared" si="78"/>
        <v>-490.52562208521499</v>
      </c>
      <c r="AR264" s="45">
        <f t="shared" si="79"/>
        <v>673.3762386637593</v>
      </c>
      <c r="AS264" s="45">
        <f t="shared" si="80"/>
        <v>-1163.7027483933389</v>
      </c>
      <c r="AT264" s="45">
        <f t="shared" si="66"/>
        <v>201.7060822600356</v>
      </c>
      <c r="AU264" s="45">
        <f t="shared" si="67"/>
        <v>-251.10255331330472</v>
      </c>
      <c r="AV264" s="64">
        <f t="shared" si="68"/>
        <v>1036.8740386394154</v>
      </c>
      <c r="AW264" s="64">
        <f t="shared" si="69"/>
        <v>561.75213632004295</v>
      </c>
      <c r="AX264" s="64">
        <f t="shared" si="70"/>
        <v>-201.67569091000493</v>
      </c>
      <c r="AY264" s="64">
        <f t="shared" si="71"/>
        <v>83.785475686222085</v>
      </c>
      <c r="AZ264" s="64">
        <f t="shared" si="72"/>
        <v>-633.49226546937484</v>
      </c>
      <c r="BA264" s="64">
        <f t="shared" si="73"/>
        <v>-896.64016531956975</v>
      </c>
      <c r="BB264" s="65">
        <f t="shared" si="74"/>
        <v>16774.252025897782</v>
      </c>
      <c r="BC264" s="65">
        <f t="shared" si="75"/>
        <v>27343.634530439111</v>
      </c>
      <c r="BD264" s="66">
        <f t="shared" si="76"/>
        <v>17765.472042888807</v>
      </c>
    </row>
    <row r="265" spans="31:56" x14ac:dyDescent="0.25">
      <c r="AE265" s="71">
        <v>203</v>
      </c>
      <c r="AF265" s="17">
        <v>6.2831853071795868E-2</v>
      </c>
      <c r="AG265" s="18">
        <v>-12632.845619534834</v>
      </c>
      <c r="AH265" s="20">
        <v>11405.359859392935</v>
      </c>
      <c r="AN265" s="23">
        <v>260</v>
      </c>
      <c r="AO265" s="58">
        <v>130</v>
      </c>
      <c r="AP265" s="45">
        <f t="shared" si="77"/>
        <v>5638.3170173401422</v>
      </c>
      <c r="AQ265" s="45">
        <f t="shared" si="78"/>
        <v>-1135.1526346102105</v>
      </c>
      <c r="AR265" s="45">
        <f t="shared" si="79"/>
        <v>774.2292797937771</v>
      </c>
      <c r="AS265" s="45">
        <f t="shared" si="80"/>
        <v>-1289.2540250499912</v>
      </c>
      <c r="AT265" s="45">
        <f t="shared" si="66"/>
        <v>137.0127094227189</v>
      </c>
      <c r="AU265" s="45">
        <f t="shared" si="67"/>
        <v>-197.3809867759461</v>
      </c>
      <c r="AV265" s="64">
        <f t="shared" si="68"/>
        <v>1011.8539616031877</v>
      </c>
      <c r="AW265" s="64">
        <f t="shared" si="69"/>
        <v>608.39063311229791</v>
      </c>
      <c r="AX265" s="64">
        <f t="shared" si="70"/>
        <v>-192.45003301899803</v>
      </c>
      <c r="AY265" s="64">
        <f t="shared" si="71"/>
        <v>83.5842887328741</v>
      </c>
      <c r="AZ265" s="64">
        <f t="shared" si="72"/>
        <v>-682.39121916147076</v>
      </c>
      <c r="BA265" s="64">
        <f t="shared" si="73"/>
        <v>-889.35590862111815</v>
      </c>
      <c r="BB265" s="65">
        <f t="shared" si="74"/>
        <v>16757.798158392929</v>
      </c>
      <c r="BC265" s="65">
        <f t="shared" si="75"/>
        <v>27952.011084673315</v>
      </c>
      <c r="BD265" s="66">
        <f t="shared" si="76"/>
        <v>17475.920045221796</v>
      </c>
    </row>
    <row r="266" spans="31:56" x14ac:dyDescent="0.25">
      <c r="AE266" s="71">
        <v>204</v>
      </c>
      <c r="AF266" s="17">
        <v>0.12566370614359174</v>
      </c>
      <c r="AG266" s="18">
        <v>-12735.626291535267</v>
      </c>
      <c r="AH266" s="20">
        <v>11865.174153736411</v>
      </c>
      <c r="AN266" s="23">
        <v>261</v>
      </c>
      <c r="AO266" s="58">
        <v>130.5</v>
      </c>
      <c r="AP266" s="45">
        <f t="shared" si="77"/>
        <v>6059.6848345927101</v>
      </c>
      <c r="AQ266" s="45">
        <f t="shared" si="78"/>
        <v>-1829.1248938291928</v>
      </c>
      <c r="AR266" s="45">
        <f t="shared" si="79"/>
        <v>842.73563450513655</v>
      </c>
      <c r="AS266" s="45">
        <f t="shared" si="80"/>
        <v>-1387.9445184379642</v>
      </c>
      <c r="AT266" s="45">
        <f t="shared" si="66"/>
        <v>61.63595553843038</v>
      </c>
      <c r="AU266" s="45">
        <f t="shared" si="67"/>
        <v>-136.87204048892795</v>
      </c>
      <c r="AV266" s="64">
        <f t="shared" si="68"/>
        <v>980.07663748840378</v>
      </c>
      <c r="AW266" s="64">
        <f t="shared" si="69"/>
        <v>655.88598594545067</v>
      </c>
      <c r="AX266" s="64">
        <f t="shared" si="70"/>
        <v>-183.00197177673863</v>
      </c>
      <c r="AY266" s="64">
        <f t="shared" si="71"/>
        <v>83.069046832464494</v>
      </c>
      <c r="AZ266" s="64">
        <f t="shared" si="72"/>
        <v>-735.43871017323477</v>
      </c>
      <c r="BA266" s="64">
        <f t="shared" si="73"/>
        <v>-875.82707326684317</v>
      </c>
      <c r="BB266" s="65">
        <f t="shared" si="74"/>
        <v>16773.936872289345</v>
      </c>
      <c r="BC266" s="65">
        <f t="shared" si="75"/>
        <v>28618.793989826176</v>
      </c>
      <c r="BD266" s="66">
        <f t="shared" si="76"/>
        <v>17198.505158962795</v>
      </c>
    </row>
    <row r="267" spans="31:56" x14ac:dyDescent="0.25">
      <c r="AE267" s="71">
        <v>205</v>
      </c>
      <c r="AF267" s="17">
        <v>0.1884955592153876</v>
      </c>
      <c r="AG267" s="18">
        <v>-12867.076127786349</v>
      </c>
      <c r="AH267" s="20">
        <v>12317.627457812105</v>
      </c>
      <c r="AN267" s="23">
        <v>262</v>
      </c>
      <c r="AO267" s="58">
        <v>131</v>
      </c>
      <c r="AP267" s="45">
        <f t="shared" si="77"/>
        <v>6496.4616407298854</v>
      </c>
      <c r="AQ267" s="45">
        <f t="shared" si="78"/>
        <v>-2557.3151631704068</v>
      </c>
      <c r="AR267" s="45">
        <f t="shared" si="79"/>
        <v>873.55361227435174</v>
      </c>
      <c r="AS267" s="45">
        <f t="shared" si="80"/>
        <v>-1456.3805386824283</v>
      </c>
      <c r="AT267" s="45">
        <f t="shared" si="66"/>
        <v>-22.941831309868462</v>
      </c>
      <c r="AU267" s="45">
        <f t="shared" si="67"/>
        <v>-72.263253102714657</v>
      </c>
      <c r="AV267" s="64">
        <f t="shared" si="68"/>
        <v>941.4698441979092</v>
      </c>
      <c r="AW267" s="64">
        <f t="shared" si="69"/>
        <v>701.19835911149335</v>
      </c>
      <c r="AX267" s="64">
        <f t="shared" si="70"/>
        <v>-173.70605637515703</v>
      </c>
      <c r="AY267" s="64">
        <f t="shared" si="71"/>
        <v>82.323508898307594</v>
      </c>
      <c r="AZ267" s="64">
        <f t="shared" si="72"/>
        <v>-790.70561913262065</v>
      </c>
      <c r="BA267" s="64">
        <f t="shared" si="73"/>
        <v>-855.78512111251564</v>
      </c>
      <c r="BB267" s="65">
        <f t="shared" si="74"/>
        <v>16837.313815202735</v>
      </c>
      <c r="BC267" s="65">
        <f t="shared" si="75"/>
        <v>29321.470692751067</v>
      </c>
      <c r="BD267" s="66">
        <f t="shared" si="76"/>
        <v>16940.750756842001</v>
      </c>
    </row>
    <row r="268" spans="31:56" x14ac:dyDescent="0.25">
      <c r="AE268" s="71">
        <v>206</v>
      </c>
      <c r="AF268" s="17">
        <v>0.25132741228718347</v>
      </c>
      <c r="AG268" s="18">
        <v>-13026.676355838115</v>
      </c>
      <c r="AH268" s="20">
        <v>12760.934145135085</v>
      </c>
      <c r="AN268" s="23">
        <v>263</v>
      </c>
      <c r="AO268" s="58">
        <v>131.5</v>
      </c>
      <c r="AP268" s="45">
        <f t="shared" si="77"/>
        <v>6927.5029890395945</v>
      </c>
      <c r="AQ268" s="45">
        <f t="shared" si="78"/>
        <v>-3303.5712457872992</v>
      </c>
      <c r="AR268" s="45">
        <f t="shared" si="79"/>
        <v>862.08269661941745</v>
      </c>
      <c r="AS268" s="45">
        <f t="shared" si="80"/>
        <v>-1492.5121652337857</v>
      </c>
      <c r="AT268" s="45">
        <f t="shared" si="66"/>
        <v>-114.11368971971842</v>
      </c>
      <c r="AU268" s="45">
        <f t="shared" si="67"/>
        <v>-7.0613587873914412</v>
      </c>
      <c r="AV268" s="64">
        <f t="shared" si="68"/>
        <v>896.95199854297482</v>
      </c>
      <c r="AW268" s="64">
        <f t="shared" si="69"/>
        <v>741.2726743930931</v>
      </c>
      <c r="AX268" s="64">
        <f t="shared" si="70"/>
        <v>-164.87939493634659</v>
      </c>
      <c r="AY268" s="64">
        <f t="shared" si="71"/>
        <v>81.458900158355235</v>
      </c>
      <c r="AZ268" s="64">
        <f t="shared" si="72"/>
        <v>-846.18629332634669</v>
      </c>
      <c r="BA268" s="64">
        <f t="shared" si="73"/>
        <v>-829.79293333883982</v>
      </c>
      <c r="BB268" s="65">
        <f t="shared" si="74"/>
        <v>16958.989644562287</v>
      </c>
      <c r="BC268" s="65">
        <f t="shared" si="75"/>
        <v>30034.570499950136</v>
      </c>
      <c r="BD268" s="66">
        <f t="shared" si="76"/>
        <v>16705.441423557837</v>
      </c>
    </row>
    <row r="269" spans="31:56" x14ac:dyDescent="0.25">
      <c r="AE269" s="71">
        <v>207</v>
      </c>
      <c r="AF269" s="17">
        <v>0.31415926535897931</v>
      </c>
      <c r="AG269" s="18">
        <v>-13213.797106504855</v>
      </c>
      <c r="AH269" s="20">
        <v>13193.344686738044</v>
      </c>
      <c r="AN269" s="23">
        <v>264</v>
      </c>
      <c r="AO269" s="58">
        <v>132</v>
      </c>
      <c r="AP269" s="45">
        <f t="shared" si="77"/>
        <v>7330.0159149193742</v>
      </c>
      <c r="AQ269" s="45">
        <f t="shared" si="78"/>
        <v>-4051.5926681010401</v>
      </c>
      <c r="AR269" s="45">
        <f t="shared" si="79"/>
        <v>805.02585175955824</v>
      </c>
      <c r="AS269" s="45">
        <f t="shared" si="80"/>
        <v>-1496.0428446274814</v>
      </c>
      <c r="AT269" s="45">
        <f t="shared" si="66"/>
        <v>-208.58075076697787</v>
      </c>
      <c r="AU269" s="45">
        <f t="shared" si="67"/>
        <v>54.77198019116895</v>
      </c>
      <c r="AV269" s="64">
        <f t="shared" si="68"/>
        <v>848.36670818211019</v>
      </c>
      <c r="AW269" s="64">
        <f t="shared" si="69"/>
        <v>773.4805805823645</v>
      </c>
      <c r="AX269" s="64">
        <f t="shared" si="70"/>
        <v>-156.76945877817957</v>
      </c>
      <c r="AY269" s="64">
        <f t="shared" si="71"/>
        <v>80.602242765146045</v>
      </c>
      <c r="AZ269" s="64">
        <f t="shared" si="72"/>
        <v>-900.17800017090849</v>
      </c>
      <c r="BA269" s="64">
        <f t="shared" si="73"/>
        <v>-799.31084315634155</v>
      </c>
      <c r="BB269" s="65">
        <f t="shared" si="74"/>
        <v>17145.488907754192</v>
      </c>
      <c r="BC269" s="65">
        <f t="shared" si="75"/>
        <v>30730.717961348986</v>
      </c>
      <c r="BD269" s="66">
        <f t="shared" si="76"/>
        <v>16489.297000398288</v>
      </c>
    </row>
    <row r="270" spans="31:56" x14ac:dyDescent="0.25">
      <c r="AE270" s="71">
        <v>208</v>
      </c>
      <c r="AF270" s="17">
        <v>0.37699111843077521</v>
      </c>
      <c r="AG270" s="18">
        <v>-13427.699899671024</v>
      </c>
      <c r="AH270" s="20">
        <v>13613.152555762865</v>
      </c>
      <c r="AN270" s="23">
        <v>265</v>
      </c>
      <c r="AO270" s="58">
        <v>132.5</v>
      </c>
      <c r="AP270" s="45">
        <f t="shared" si="77"/>
        <v>7680.3836531074085</v>
      </c>
      <c r="AQ270" s="45">
        <f t="shared" si="78"/>
        <v>-4785.9210953669881</v>
      </c>
      <c r="AR270" s="45">
        <f t="shared" si="79"/>
        <v>700.7354763760693</v>
      </c>
      <c r="AS270" s="45">
        <f t="shared" si="80"/>
        <v>-1468.6568545318969</v>
      </c>
      <c r="AT270" s="45">
        <f t="shared" si="66"/>
        <v>-303.03336095489487</v>
      </c>
      <c r="AU270" s="45">
        <f t="shared" si="67"/>
        <v>109.31574248749314</v>
      </c>
      <c r="AV270" s="64">
        <f t="shared" si="68"/>
        <v>798.17142940370047</v>
      </c>
      <c r="AW270" s="64">
        <f t="shared" si="69"/>
        <v>795.98835922383307</v>
      </c>
      <c r="AX270" s="64">
        <f t="shared" si="70"/>
        <v>-149.55225918286231</v>
      </c>
      <c r="AY270" s="64">
        <f t="shared" si="71"/>
        <v>79.88573899926557</v>
      </c>
      <c r="AZ270" s="64">
        <f t="shared" si="72"/>
        <v>-951.65253117573309</v>
      </c>
      <c r="BA270" s="64">
        <f t="shared" si="73"/>
        <v>-766.55835573560546</v>
      </c>
      <c r="BB270" s="65">
        <f t="shared" si="74"/>
        <v>17398.758694119726</v>
      </c>
      <c r="BC270" s="65">
        <f t="shared" si="75"/>
        <v>31381.955035045768</v>
      </c>
      <c r="BD270" s="66">
        <f t="shared" si="76"/>
        <v>16282.491746046202</v>
      </c>
    </row>
    <row r="271" spans="31:56" x14ac:dyDescent="0.25">
      <c r="AE271" s="71">
        <v>209</v>
      </c>
      <c r="AF271" s="17">
        <v>0.4398229715025711</v>
      </c>
      <c r="AG271" s="18">
        <v>-13667.540558734887</v>
      </c>
      <c r="AH271" s="20">
        <v>14018.700962342475</v>
      </c>
      <c r="AN271" s="23">
        <v>266</v>
      </c>
      <c r="AO271" s="58">
        <v>133</v>
      </c>
      <c r="AP271" s="45">
        <f t="shared" si="77"/>
        <v>7954.9930510567192</v>
      </c>
      <c r="AQ271" s="45">
        <f t="shared" si="78"/>
        <v>-5492.9205870110636</v>
      </c>
      <c r="AR271" s="45">
        <f t="shared" si="79"/>
        <v>549.21879589862192</v>
      </c>
      <c r="AS271" s="45">
        <f t="shared" si="80"/>
        <v>-1413.9989832881504</v>
      </c>
      <c r="AT271" s="45">
        <f t="shared" si="66"/>
        <v>-394.86858076659246</v>
      </c>
      <c r="AU271" s="45">
        <f t="shared" si="67"/>
        <v>153.1316370425244</v>
      </c>
      <c r="AV271" s="64">
        <f t="shared" si="68"/>
        <v>748.97169565446632</v>
      </c>
      <c r="AW271" s="64">
        <f t="shared" si="69"/>
        <v>807.91400161136801</v>
      </c>
      <c r="AX271" s="64">
        <f t="shared" si="70"/>
        <v>-143.33910363953973</v>
      </c>
      <c r="AY271" s="64">
        <f t="shared" si="71"/>
        <v>79.439882014808504</v>
      </c>
      <c r="AZ271" s="64">
        <f t="shared" si="72"/>
        <v>-1000.501172781519</v>
      </c>
      <c r="BA271" s="64">
        <f t="shared" si="73"/>
        <v>-734.22224658365212</v>
      </c>
      <c r="BB271" s="65">
        <f t="shared" si="74"/>
        <v>17717.171833576256</v>
      </c>
      <c r="BC271" s="65">
        <f t="shared" si="75"/>
        <v>31961.104874519915</v>
      </c>
      <c r="BD271" s="66">
        <f t="shared" si="76"/>
        <v>16069.113351949632</v>
      </c>
    </row>
    <row r="272" spans="31:56" x14ac:dyDescent="0.25">
      <c r="AE272" s="71">
        <v>210</v>
      </c>
      <c r="AF272" s="17">
        <v>0.50265482457436694</v>
      </c>
      <c r="AG272" s="18">
        <v>-13932.372542187895</v>
      </c>
      <c r="AH272" s="20">
        <v>14408.389392193549</v>
      </c>
      <c r="AN272" s="23">
        <v>267</v>
      </c>
      <c r="AO272" s="58">
        <v>133.5</v>
      </c>
      <c r="AP272" s="45">
        <f t="shared" si="77"/>
        <v>8130.8853038143816</v>
      </c>
      <c r="AQ272" s="45">
        <f t="shared" si="78"/>
        <v>-6161.6371693945084</v>
      </c>
      <c r="AR272" s="45">
        <f t="shared" si="79"/>
        <v>351.78450551532569</v>
      </c>
      <c r="AS272" s="45">
        <f t="shared" si="80"/>
        <v>-1337.4331647668882</v>
      </c>
      <c r="AT272" s="45">
        <f t="shared" si="66"/>
        <v>-482.72778416657252</v>
      </c>
      <c r="AU272" s="45">
        <f t="shared" si="67"/>
        <v>183.49122900303996</v>
      </c>
      <c r="AV272" s="64">
        <f t="shared" si="68"/>
        <v>703.0529964086378</v>
      </c>
      <c r="AW272" s="64">
        <f t="shared" si="69"/>
        <v>809.23094886572676</v>
      </c>
      <c r="AX272" s="64">
        <f t="shared" si="70"/>
        <v>-138.18873607342999</v>
      </c>
      <c r="AY272" s="64">
        <f t="shared" si="71"/>
        <v>79.391607807421693</v>
      </c>
      <c r="AZ272" s="64">
        <f t="shared" si="72"/>
        <v>-1047.5920445017803</v>
      </c>
      <c r="BA272" s="64">
        <f t="shared" si="73"/>
        <v>-705.13132767010848</v>
      </c>
      <c r="BB272" s="65">
        <f t="shared" si="74"/>
        <v>18097.409036085552</v>
      </c>
      <c r="BC272" s="65">
        <f t="shared" si="75"/>
        <v>32442.953379301245</v>
      </c>
      <c r="BD272" s="66">
        <f t="shared" si="76"/>
        <v>15828.354506623777</v>
      </c>
    </row>
    <row r="273" spans="31:56" x14ac:dyDescent="0.25">
      <c r="AE273" s="71">
        <v>211</v>
      </c>
      <c r="AF273" s="17">
        <v>0.56548667764616278</v>
      </c>
      <c r="AG273" s="18">
        <v>-14221.150679181581</v>
      </c>
      <c r="AH273" s="20">
        <v>14780.679923115173</v>
      </c>
      <c r="AN273" s="23">
        <v>268</v>
      </c>
      <c r="AO273" s="58">
        <v>134</v>
      </c>
      <c r="AP273" s="45">
        <f t="shared" si="77"/>
        <v>8186.0956105304012</v>
      </c>
      <c r="AQ273" s="45">
        <f t="shared" si="78"/>
        <v>-6784.4809445271922</v>
      </c>
      <c r="AR273" s="45">
        <f t="shared" si="79"/>
        <v>110.42061343203943</v>
      </c>
      <c r="AS273" s="45">
        <f t="shared" si="80"/>
        <v>-1245.6875502653684</v>
      </c>
      <c r="AT273" s="45">
        <f t="shared" si="66"/>
        <v>-566.74705431565292</v>
      </c>
      <c r="AU273" s="45">
        <f t="shared" si="67"/>
        <v>198.33034031248701</v>
      </c>
      <c r="AV273" s="64">
        <f t="shared" si="68"/>
        <v>662.03832716817931</v>
      </c>
      <c r="AW273" s="64">
        <f t="shared" si="69"/>
        <v>800.48674487411324</v>
      </c>
      <c r="AX273" s="64">
        <f t="shared" si="70"/>
        <v>-134.1212757219769</v>
      </c>
      <c r="AY273" s="64">
        <f t="shared" si="71"/>
        <v>79.867606628360434</v>
      </c>
      <c r="AZ273" s="64">
        <f t="shared" si="72"/>
        <v>-1094.6641057618554</v>
      </c>
      <c r="BA273" s="64">
        <f t="shared" si="73"/>
        <v>-682.02401118998671</v>
      </c>
      <c r="BB273" s="65">
        <f t="shared" si="74"/>
        <v>18536.847973107226</v>
      </c>
      <c r="BC273" s="65">
        <f t="shared" si="75"/>
        <v>32805.103053384206</v>
      </c>
      <c r="BD273" s="66">
        <f t="shared" si="76"/>
        <v>15536.018498987632</v>
      </c>
    </row>
    <row r="274" spans="31:56" x14ac:dyDescent="0.25">
      <c r="AE274" s="71">
        <v>212</v>
      </c>
      <c r="AF274" s="17">
        <v>0.62831853071795862</v>
      </c>
      <c r="AG274" s="18">
        <v>-14532.735294339414</v>
      </c>
      <c r="AH274" s="20">
        <v>15134.103294465165</v>
      </c>
      <c r="AN274" s="23">
        <v>269</v>
      </c>
      <c r="AO274" s="58">
        <v>134.5</v>
      </c>
      <c r="AP274" s="45">
        <f t="shared" si="77"/>
        <v>8099.6191536675087</v>
      </c>
      <c r="AQ274" s="45">
        <f t="shared" si="78"/>
        <v>-7357.7421345817547</v>
      </c>
      <c r="AR274" s="45">
        <f t="shared" si="79"/>
        <v>-172.95291372578703</v>
      </c>
      <c r="AS274" s="45">
        <f t="shared" si="80"/>
        <v>-1146.5223801091249</v>
      </c>
      <c r="AT274" s="45">
        <f t="shared" si="66"/>
        <v>-648.54938150231578</v>
      </c>
      <c r="AU274" s="45">
        <f t="shared" si="67"/>
        <v>195.98241540420042</v>
      </c>
      <c r="AV274" s="64">
        <f t="shared" si="68"/>
        <v>626.71891859718426</v>
      </c>
      <c r="AW274" s="64">
        <f t="shared" si="69"/>
        <v>782.46471298862627</v>
      </c>
      <c r="AX274" s="64">
        <f t="shared" si="70"/>
        <v>-131.13076200755842</v>
      </c>
      <c r="AY274" s="64">
        <f t="shared" si="71"/>
        <v>81.002306130591549</v>
      </c>
      <c r="AZ274" s="64">
        <f t="shared" si="72"/>
        <v>-1144.1375380919417</v>
      </c>
      <c r="BA274" s="64">
        <f t="shared" si="73"/>
        <v>-667.48460371501744</v>
      </c>
      <c r="BB274" s="65">
        <f t="shared" si="74"/>
        <v>19036.05961394015</v>
      </c>
      <c r="BC274" s="65">
        <f t="shared" si="75"/>
        <v>33028.469667724428</v>
      </c>
      <c r="BD274" s="66">
        <f t="shared" si="76"/>
        <v>15165.886958983958</v>
      </c>
    </row>
    <row r="275" spans="31:56" x14ac:dyDescent="0.25">
      <c r="AE275" s="71">
        <v>213</v>
      </c>
      <c r="AF275" s="17">
        <v>0.69115038378975457</v>
      </c>
      <c r="AG275" s="18">
        <v>-14865.896705534837</v>
      </c>
      <c r="AH275" s="20">
        <v>15467.264705660586</v>
      </c>
      <c r="AN275" s="23">
        <v>270</v>
      </c>
      <c r="AO275" s="58">
        <v>135</v>
      </c>
      <c r="AP275" s="45">
        <f t="shared" si="77"/>
        <v>7851.0053514290366</v>
      </c>
      <c r="AQ275" s="45">
        <f t="shared" si="78"/>
        <v>-7882.0077207852673</v>
      </c>
      <c r="AR275" s="45">
        <f t="shared" si="79"/>
        <v>-497.22760447694492</v>
      </c>
      <c r="AS275" s="45">
        <f t="shared" si="80"/>
        <v>-1048.5311724070248</v>
      </c>
      <c r="AT275" s="45">
        <f t="shared" si="66"/>
        <v>-731.0786700608511</v>
      </c>
      <c r="AU275" s="45">
        <f t="shared" si="67"/>
        <v>174.79560033785572</v>
      </c>
      <c r="AV275" s="64">
        <f t="shared" si="68"/>
        <v>597.0299128795217</v>
      </c>
      <c r="AW275" s="64">
        <f t="shared" si="69"/>
        <v>755.9077104814412</v>
      </c>
      <c r="AX275" s="64">
        <f t="shared" si="70"/>
        <v>-129.19371931391194</v>
      </c>
      <c r="AY275" s="64">
        <f t="shared" si="71"/>
        <v>82.950078716989623</v>
      </c>
      <c r="AZ275" s="64">
        <f t="shared" si="72"/>
        <v>-1198.9148636264608</v>
      </c>
      <c r="BA275" s="64">
        <f t="shared" si="73"/>
        <v>-664.06218886057513</v>
      </c>
      <c r="BB275" s="65">
        <f t="shared" si="74"/>
        <v>19601.128347452435</v>
      </c>
      <c r="BC275" s="65">
        <f t="shared" si="75"/>
        <v>33097.502915047124</v>
      </c>
      <c r="BD275" s="66">
        <f t="shared" si="76"/>
        <v>14690.614440159346</v>
      </c>
    </row>
    <row r="276" spans="31:56" x14ac:dyDescent="0.25">
      <c r="AE276" s="71">
        <v>214</v>
      </c>
      <c r="AF276" s="17">
        <v>0.75398223686155041</v>
      </c>
      <c r="AG276" s="18">
        <v>-15219.320076884827</v>
      </c>
      <c r="AH276" s="20">
        <v>15778.849320818419</v>
      </c>
      <c r="AN276" s="23">
        <v>271</v>
      </c>
      <c r="AO276" s="58">
        <v>135.5</v>
      </c>
      <c r="AP276" s="45">
        <f t="shared" si="77"/>
        <v>7419.6218816753517</v>
      </c>
      <c r="AQ276" s="45">
        <f t="shared" si="78"/>
        <v>-8362.5744069043158</v>
      </c>
      <c r="AR276" s="45">
        <f t="shared" si="79"/>
        <v>-862.76693950737047</v>
      </c>
      <c r="AS276" s="45">
        <f t="shared" si="80"/>
        <v>-961.13337223809685</v>
      </c>
      <c r="AT276" s="45">
        <f t="shared" si="66"/>
        <v>-818.34065681502011</v>
      </c>
      <c r="AU276" s="45">
        <f t="shared" si="67"/>
        <v>132.72838834469837</v>
      </c>
      <c r="AV276" s="64">
        <f t="shared" si="68"/>
        <v>572.1121582108176</v>
      </c>
      <c r="AW276" s="64">
        <f t="shared" si="69"/>
        <v>721.3751123660395</v>
      </c>
      <c r="AX276" s="64">
        <f t="shared" si="70"/>
        <v>-128.27129366986534</v>
      </c>
      <c r="AY276" s="64">
        <f t="shared" si="71"/>
        <v>85.901665035610648</v>
      </c>
      <c r="AZ276" s="64">
        <f t="shared" si="72"/>
        <v>-1262.1815213559723</v>
      </c>
      <c r="BA276" s="64">
        <f t="shared" si="73"/>
        <v>-674.54838905695181</v>
      </c>
      <c r="BB276" s="65">
        <f t="shared" si="74"/>
        <v>20245.670658553088</v>
      </c>
      <c r="BC276" s="65">
        <f t="shared" si="75"/>
        <v>33000.300043835166</v>
      </c>
      <c r="BD276" s="66">
        <f t="shared" si="76"/>
        <v>14081.989425776132</v>
      </c>
    </row>
    <row r="277" spans="31:56" x14ac:dyDescent="0.25">
      <c r="AE277" s="71">
        <v>215</v>
      </c>
      <c r="AF277" s="17">
        <v>0.81681408993334625</v>
      </c>
      <c r="AG277" s="18">
        <v>-15591.610607806451</v>
      </c>
      <c r="AH277" s="20">
        <v>16067.627457812105</v>
      </c>
      <c r="AN277" s="23">
        <v>272</v>
      </c>
      <c r="AO277" s="58">
        <v>136</v>
      </c>
      <c r="AP277" s="45">
        <f t="shared" si="77"/>
        <v>6783.6532477179117</v>
      </c>
      <c r="AQ277" s="45">
        <f t="shared" si="78"/>
        <v>-8809.9589959371897</v>
      </c>
      <c r="AR277" s="45">
        <f t="shared" si="79"/>
        <v>-1271.9372679148805</v>
      </c>
      <c r="AS277" s="45">
        <f t="shared" si="80"/>
        <v>-894.76917806574761</v>
      </c>
      <c r="AT277" s="45">
        <f t="shared" si="66"/>
        <v>-914.96250032380476</v>
      </c>
      <c r="AU277" s="45">
        <f t="shared" si="67"/>
        <v>66.98361336982191</v>
      </c>
      <c r="AV277" s="64">
        <f t="shared" si="68"/>
        <v>550.41676886120513</v>
      </c>
      <c r="AW277" s="64">
        <f t="shared" si="69"/>
        <v>679.25540234878986</v>
      </c>
      <c r="AX277" s="64">
        <f t="shared" si="70"/>
        <v>-128.30146820671445</v>
      </c>
      <c r="AY277" s="64">
        <f t="shared" si="71"/>
        <v>90.105159806475072</v>
      </c>
      <c r="AZ277" s="64">
        <f t="shared" si="72"/>
        <v>-1337.0778009782955</v>
      </c>
      <c r="BA277" s="64">
        <f t="shared" si="73"/>
        <v>-702.37694878544301</v>
      </c>
      <c r="BB277" s="65">
        <f t="shared" si="74"/>
        <v>20992.536386194733</v>
      </c>
      <c r="BC277" s="65">
        <f t="shared" si="75"/>
        <v>32728.865527586328</v>
      </c>
      <c r="BD277" s="66">
        <f t="shared" si="76"/>
        <v>13310.563154668995</v>
      </c>
    </row>
    <row r="278" spans="31:56" x14ac:dyDescent="0.25">
      <c r="AE278" s="71">
        <v>216</v>
      </c>
      <c r="AF278" s="17">
        <v>0.87964594300514221</v>
      </c>
      <c r="AG278" s="18">
        <v>-15981.299037657525</v>
      </c>
      <c r="AH278" s="20">
        <v>16332.459441265113</v>
      </c>
      <c r="AN278" s="23">
        <v>273</v>
      </c>
      <c r="AO278" s="58">
        <v>136.5</v>
      </c>
      <c r="AP278" s="45">
        <f t="shared" si="77"/>
        <v>5918.9439886795208</v>
      </c>
      <c r="AQ278" s="45">
        <f t="shared" si="78"/>
        <v>-9240.5976816276088</v>
      </c>
      <c r="AR278" s="45">
        <f t="shared" si="79"/>
        <v>-1729.4185180767829</v>
      </c>
      <c r="AS278" s="45">
        <f t="shared" si="80"/>
        <v>-861.27737138083671</v>
      </c>
      <c r="AT278" s="45">
        <f t="shared" si="66"/>
        <v>-1025.132276107111</v>
      </c>
      <c r="AU278" s="45">
        <f t="shared" si="67"/>
        <v>-26.253752201856969</v>
      </c>
      <c r="AV278" s="64">
        <f t="shared" si="68"/>
        <v>529.84892841833835</v>
      </c>
      <c r="AW278" s="64">
        <f t="shared" si="69"/>
        <v>629.92347559457698</v>
      </c>
      <c r="AX278" s="64">
        <f t="shared" si="70"/>
        <v>-129.17472428933974</v>
      </c>
      <c r="AY278" s="64">
        <f t="shared" si="71"/>
        <v>95.891209988026134</v>
      </c>
      <c r="AZ278" s="64">
        <f t="shared" si="72"/>
        <v>-1425.8064802361096</v>
      </c>
      <c r="BA278" s="64">
        <f t="shared" si="73"/>
        <v>-752.06843778446012</v>
      </c>
      <c r="BB278" s="65">
        <f t="shared" si="74"/>
        <v>21875.185693658928</v>
      </c>
      <c r="BC278" s="65">
        <f t="shared" si="75"/>
        <v>32279.904842402495</v>
      </c>
      <c r="BD278" s="66">
        <f t="shared" si="76"/>
        <v>12344.798616939603</v>
      </c>
    </row>
    <row r="279" spans="31:56" x14ac:dyDescent="0.25">
      <c r="AE279" s="71">
        <v>217</v>
      </c>
      <c r="AF279" s="17">
        <v>0.94247779607693805</v>
      </c>
      <c r="AG279" s="18">
        <v>-16386.847444237137</v>
      </c>
      <c r="AH279" s="20">
        <v>16572.300100328976</v>
      </c>
      <c r="AN279" s="23">
        <v>274</v>
      </c>
      <c r="AO279" s="58">
        <v>137</v>
      </c>
      <c r="AP279" s="45">
        <f t="shared" si="77"/>
        <v>4797.9516606143516</v>
      </c>
      <c r="AQ279" s="45">
        <f t="shared" si="78"/>
        <v>-9677.7998053684914</v>
      </c>
      <c r="AR279" s="45">
        <f t="shared" si="79"/>
        <v>-2241.9846561303384</v>
      </c>
      <c r="AS279" s="45">
        <f t="shared" si="80"/>
        <v>-874.4042474817652</v>
      </c>
      <c r="AT279" s="45">
        <f t="shared" si="66"/>
        <v>-1149.6096464394288</v>
      </c>
      <c r="AU279" s="45">
        <f t="shared" si="67"/>
        <v>-151.70767722555161</v>
      </c>
      <c r="AV279" s="64">
        <f t="shared" si="68"/>
        <v>507.98735327109148</v>
      </c>
      <c r="AW279" s="64">
        <f t="shared" si="69"/>
        <v>574.00850617887545</v>
      </c>
      <c r="AX279" s="64">
        <f t="shared" si="70"/>
        <v>-130.67993183987795</v>
      </c>
      <c r="AY279" s="64">
        <f t="shared" si="71"/>
        <v>103.69782038927531</v>
      </c>
      <c r="AZ279" s="64">
        <f t="shared" si="72"/>
        <v>-1526.9170678706423</v>
      </c>
      <c r="BA279" s="64">
        <f t="shared" si="73"/>
        <v>-829.41400379370236</v>
      </c>
      <c r="BB279" s="65">
        <f t="shared" si="74"/>
        <v>22938.593676734759</v>
      </c>
      <c r="BC279" s="65">
        <f t="shared" si="75"/>
        <v>31656.819356061758</v>
      </c>
      <c r="BD279" s="66">
        <f t="shared" si="76"/>
        <v>11150.142225795651</v>
      </c>
    </row>
    <row r="280" spans="31:56" x14ac:dyDescent="0.25">
      <c r="AE280" s="71">
        <v>218</v>
      </c>
      <c r="AF280" s="17">
        <v>1.0053096491487339</v>
      </c>
      <c r="AG280" s="18">
        <v>-16806.655313261956</v>
      </c>
      <c r="AH280" s="20">
        <v>16786.202893495145</v>
      </c>
      <c r="AN280" s="23">
        <v>275</v>
      </c>
      <c r="AO280" s="58">
        <v>137.5</v>
      </c>
      <c r="AP280" s="45">
        <f t="shared" si="77"/>
        <v>3389.5569209393252</v>
      </c>
      <c r="AQ280" s="45">
        <f t="shared" si="78"/>
        <v>-10152.928848415762</v>
      </c>
      <c r="AR280" s="45">
        <f t="shared" si="79"/>
        <v>-2816.7894793500527</v>
      </c>
      <c r="AS280" s="45">
        <f t="shared" si="80"/>
        <v>-950.258086094541</v>
      </c>
      <c r="AT280" s="45">
        <f t="shared" si="66"/>
        <v>-1277.1651250340647</v>
      </c>
      <c r="AU280" s="45">
        <f t="shared" si="67"/>
        <v>-313.32913729886161</v>
      </c>
      <c r="AV280" s="64">
        <f t="shared" si="68"/>
        <v>482.43608701532162</v>
      </c>
      <c r="AW280" s="64">
        <f t="shared" si="69"/>
        <v>512.71419296005877</v>
      </c>
      <c r="AX280" s="64">
        <f t="shared" si="70"/>
        <v>-132.3961619044002</v>
      </c>
      <c r="AY280" s="64">
        <f t="shared" si="71"/>
        <v>114.07528751748399</v>
      </c>
      <c r="AZ280" s="64">
        <f t="shared" si="72"/>
        <v>-1627.205050144986</v>
      </c>
      <c r="BA280" s="64">
        <f t="shared" si="73"/>
        <v>-940.11861777640434</v>
      </c>
      <c r="BB280" s="65">
        <f t="shared" si="74"/>
        <v>24239.074161566983</v>
      </c>
      <c r="BC280" s="65">
        <f t="shared" si="75"/>
        <v>30874.130176041705</v>
      </c>
      <c r="BD280" s="66">
        <f t="shared" si="76"/>
        <v>9689.1054322987475</v>
      </c>
    </row>
    <row r="281" spans="31:56" x14ac:dyDescent="0.25">
      <c r="AE281" s="71">
        <v>219</v>
      </c>
      <c r="AF281" s="17">
        <v>1.0681415022205298</v>
      </c>
      <c r="AG281" s="18">
        <v>-17239.065854864915</v>
      </c>
      <c r="AH281" s="20">
        <v>16973.323644161886</v>
      </c>
      <c r="AN281" s="23">
        <v>276</v>
      </c>
      <c r="AO281" s="58">
        <v>138</v>
      </c>
      <c r="AP281" s="45">
        <f t="shared" si="77"/>
        <v>1661.8709000057827</v>
      </c>
      <c r="AQ281" s="45">
        <f t="shared" si="78"/>
        <v>-10706.390175787748</v>
      </c>
      <c r="AR281" s="45">
        <f t="shared" si="79"/>
        <v>-3455.372041867085</v>
      </c>
      <c r="AS281" s="45">
        <f t="shared" si="80"/>
        <v>-1106.9226547439719</v>
      </c>
      <c r="AT281" s="45">
        <f t="shared" si="66"/>
        <v>-1361.1443851153881</v>
      </c>
      <c r="AU281" s="45">
        <f t="shared" si="67"/>
        <v>-506.40626463331319</v>
      </c>
      <c r="AV281" s="64">
        <f t="shared" si="68"/>
        <v>451.3523895804388</v>
      </c>
      <c r="AW281" s="64">
        <f t="shared" si="69"/>
        <v>448.1099280448525</v>
      </c>
      <c r="AX281" s="64">
        <f t="shared" si="70"/>
        <v>-133.49646314330474</v>
      </c>
      <c r="AY281" s="64">
        <f t="shared" si="71"/>
        <v>127.60808453217209</v>
      </c>
      <c r="AZ281" s="64">
        <f t="shared" si="72"/>
        <v>-1679.0003115525221</v>
      </c>
      <c r="BA281" s="64">
        <f t="shared" si="73"/>
        <v>-1082.1242772103378</v>
      </c>
      <c r="BB281" s="65">
        <f t="shared" si="74"/>
        <v>25841.045298537658</v>
      </c>
      <c r="BC281" s="65">
        <f t="shared" si="75"/>
        <v>29966.502048128285</v>
      </c>
      <c r="BD281" s="66">
        <f t="shared" si="76"/>
        <v>7925.6298936372132</v>
      </c>
    </row>
    <row r="282" spans="31:56" x14ac:dyDescent="0.25">
      <c r="AE282" s="71">
        <v>220</v>
      </c>
      <c r="AF282" s="17">
        <v>1.1309733552923256</v>
      </c>
      <c r="AG282" s="18">
        <v>-17682.372542187895</v>
      </c>
      <c r="AH282" s="20">
        <v>17132.923872213651</v>
      </c>
      <c r="AN282" s="23">
        <v>277</v>
      </c>
      <c r="AO282" s="58">
        <v>138.5</v>
      </c>
      <c r="AP282" s="45">
        <f t="shared" si="77"/>
        <v>-406.10121720660686</v>
      </c>
      <c r="AQ282" s="45">
        <f t="shared" si="78"/>
        <v>-11386.453069318062</v>
      </c>
      <c r="AR282" s="45">
        <f t="shared" si="79"/>
        <v>-4135.9442344247791</v>
      </c>
      <c r="AS282" s="45">
        <f t="shared" si="80"/>
        <v>-1360.1257870606285</v>
      </c>
      <c r="AT282" s="45">
        <f t="shared" si="66"/>
        <v>-1266.1983822380105</v>
      </c>
      <c r="AU282" s="45">
        <f t="shared" si="67"/>
        <v>-689.66469754055163</v>
      </c>
      <c r="AV282" s="64">
        <f t="shared" si="68"/>
        <v>414.14974337595737</v>
      </c>
      <c r="AW282" s="64">
        <f t="shared" si="69"/>
        <v>383.30789447151767</v>
      </c>
      <c r="AX282" s="64">
        <f t="shared" si="70"/>
        <v>-132.46713149906452</v>
      </c>
      <c r="AY282" s="64">
        <f t="shared" si="71"/>
        <v>144.58593067346871</v>
      </c>
      <c r="AZ282" s="64">
        <f t="shared" si="72"/>
        <v>-1547.8809941149034</v>
      </c>
      <c r="BA282" s="64">
        <f t="shared" si="73"/>
        <v>-1217.558522685538</v>
      </c>
      <c r="BB282" s="65">
        <f t="shared" si="74"/>
        <v>27804.803117922536</v>
      </c>
      <c r="BC282" s="65">
        <f t="shared" si="75"/>
        <v>29005.193403880217</v>
      </c>
      <c r="BD282" s="66">
        <f t="shared" si="76"/>
        <v>5844.7949020296228</v>
      </c>
    </row>
    <row r="283" spans="31:56" x14ac:dyDescent="0.25">
      <c r="AE283" s="71">
        <v>221</v>
      </c>
      <c r="AF283" s="17">
        <v>1.1938052083641215</v>
      </c>
      <c r="AG283" s="18">
        <v>-18134.825846263589</v>
      </c>
      <c r="AH283" s="20">
        <v>17264.373708464733</v>
      </c>
      <c r="AN283" s="23">
        <v>278</v>
      </c>
      <c r="AO283" s="58">
        <v>139</v>
      </c>
      <c r="AP283" s="45">
        <f t="shared" si="77"/>
        <v>-2790.6229299784991</v>
      </c>
      <c r="AQ283" s="45">
        <f t="shared" si="78"/>
        <v>-12238.932137233514</v>
      </c>
      <c r="AR283" s="45">
        <f t="shared" si="79"/>
        <v>-4769.043425543784</v>
      </c>
      <c r="AS283" s="45">
        <f t="shared" si="80"/>
        <v>-1704.9581358309042</v>
      </c>
      <c r="AT283" s="45">
        <f t="shared" si="66"/>
        <v>-724.13122216510908</v>
      </c>
      <c r="AU283" s="45">
        <f t="shared" si="67"/>
        <v>-724.90566598101873</v>
      </c>
      <c r="AV283" s="64">
        <f t="shared" si="68"/>
        <v>372.30046350552158</v>
      </c>
      <c r="AW283" s="64">
        <f t="shared" si="69"/>
        <v>322.44900046718493</v>
      </c>
      <c r="AX283" s="64">
        <f t="shared" si="70"/>
        <v>-127.01243637370142</v>
      </c>
      <c r="AY283" s="64">
        <f t="shared" si="71"/>
        <v>164.13266683661004</v>
      </c>
      <c r="AZ283" s="64">
        <f t="shared" si="72"/>
        <v>-969.41924929692925</v>
      </c>
      <c r="BA283" s="64">
        <f t="shared" si="73"/>
        <v>-1211.4873332848138</v>
      </c>
      <c r="BB283" s="65">
        <f t="shared" si="74"/>
        <v>30150.25597660444</v>
      </c>
      <c r="BC283" s="65">
        <f t="shared" si="75"/>
        <v>28119.970870231347</v>
      </c>
      <c r="BD283" s="66">
        <f t="shared" si="76"/>
        <v>3536.2187121752922</v>
      </c>
    </row>
    <row r="284" spans="31:56" x14ac:dyDescent="0.25">
      <c r="AE284" s="71">
        <v>222</v>
      </c>
      <c r="AF284" s="17">
        <v>1.2566370614359172</v>
      </c>
      <c r="AG284" s="18">
        <v>-18594.640140607065</v>
      </c>
      <c r="AH284" s="20">
        <v>17367.154380465166</v>
      </c>
      <c r="AN284" s="23">
        <v>279</v>
      </c>
      <c r="AO284" s="58">
        <v>139.5</v>
      </c>
      <c r="AP284" s="45">
        <f t="shared" si="77"/>
        <v>-5356.177448291668</v>
      </c>
      <c r="AQ284" s="45">
        <f t="shared" si="78"/>
        <v>-13272.63762164422</v>
      </c>
      <c r="AR284" s="45">
        <f t="shared" si="79"/>
        <v>-5131.1090366263388</v>
      </c>
      <c r="AS284" s="45">
        <f t="shared" si="80"/>
        <v>-2067.4109688214135</v>
      </c>
      <c r="AT284" s="45">
        <f t="shared" si="66"/>
        <v>392.84957802088468</v>
      </c>
      <c r="AU284" s="45">
        <f t="shared" si="67"/>
        <v>-410.61226501178203</v>
      </c>
      <c r="AV284" s="64">
        <f t="shared" si="68"/>
        <v>329.86569061274224</v>
      </c>
      <c r="AW284" s="64">
        <f t="shared" si="69"/>
        <v>270.23712343413803</v>
      </c>
      <c r="AX284" s="64">
        <f t="shared" si="70"/>
        <v>-115.13492745323505</v>
      </c>
      <c r="AY284" s="64">
        <f t="shared" si="71"/>
        <v>182.97773240231251</v>
      </c>
      <c r="AZ284" s="64">
        <f t="shared" si="72"/>
        <v>178.1188148613775</v>
      </c>
      <c r="BA284" s="64">
        <f t="shared" si="73"/>
        <v>-863.82712084823254</v>
      </c>
      <c r="BB284" s="65">
        <f t="shared" si="74"/>
        <v>32778.624262610596</v>
      </c>
      <c r="BC284" s="65">
        <f t="shared" si="75"/>
        <v>27496.49433644754</v>
      </c>
      <c r="BD284" s="66">
        <f t="shared" si="76"/>
        <v>1763.7015509520027</v>
      </c>
    </row>
    <row r="285" spans="31:56" x14ac:dyDescent="0.25">
      <c r="AE285" s="71">
        <v>223</v>
      </c>
      <c r="AF285" s="17">
        <v>1.3194689145077132</v>
      </c>
      <c r="AG285" s="18">
        <v>-19060.000748267717</v>
      </c>
      <c r="AH285" s="20">
        <v>17440.860259858586</v>
      </c>
      <c r="AN285" s="23">
        <v>280</v>
      </c>
      <c r="AO285" s="58">
        <v>140</v>
      </c>
      <c r="AP285" s="45">
        <f t="shared" si="77"/>
        <v>-7823.5195720996162</v>
      </c>
      <c r="AQ285" s="45">
        <f t="shared" si="78"/>
        <v>-14408.996172307872</v>
      </c>
      <c r="AR285" s="45">
        <f t="shared" si="79"/>
        <v>-4934.6842476158963</v>
      </c>
      <c r="AS285" s="45">
        <f t="shared" si="80"/>
        <v>-2272.7171013273046</v>
      </c>
      <c r="AT285" s="45">
        <f t="shared" si="66"/>
        <v>1505.7844227150558</v>
      </c>
      <c r="AU285" s="45">
        <f t="shared" si="67"/>
        <v>152.00520428502989</v>
      </c>
      <c r="AV285" s="64">
        <f t="shared" si="68"/>
        <v>292.35423828300657</v>
      </c>
      <c r="AW285" s="64">
        <f t="shared" si="69"/>
        <v>230.2076799055738</v>
      </c>
      <c r="AX285" s="64">
        <f t="shared" si="70"/>
        <v>-97.915333945724129</v>
      </c>
      <c r="AY285" s="64">
        <f t="shared" si="71"/>
        <v>196.2812674518907</v>
      </c>
      <c r="AZ285" s="64">
        <f t="shared" si="72"/>
        <v>1311.3455183777735</v>
      </c>
      <c r="BA285" s="64">
        <f t="shared" si="73"/>
        <v>-274.48374307243461</v>
      </c>
      <c r="BB285" s="65">
        <f t="shared" si="74"/>
        <v>35414.013535000682</v>
      </c>
      <c r="BC285" s="65">
        <f t="shared" si="75"/>
        <v>27277.568985354643</v>
      </c>
      <c r="BD285" s="66">
        <f t="shared" si="76"/>
        <v>2884.7093958276537</v>
      </c>
    </row>
    <row r="286" spans="31:56" x14ac:dyDescent="0.25">
      <c r="AE286" s="71">
        <v>224</v>
      </c>
      <c r="AF286" s="17">
        <v>1.3823007675795091</v>
      </c>
      <c r="AG286" s="18">
        <v>-19529.07110353015</v>
      </c>
      <c r="AH286" s="20">
        <v>17485.200463212037</v>
      </c>
      <c r="AN286" s="23">
        <v>281</v>
      </c>
      <c r="AO286" s="58">
        <v>140.5</v>
      </c>
      <c r="AP286" s="45">
        <f t="shared" si="77"/>
        <v>-9914.4155902288003</v>
      </c>
      <c r="AQ286" s="45">
        <f t="shared" si="78"/>
        <v>-15507.353421900267</v>
      </c>
      <c r="AR286" s="45">
        <f t="shared" si="79"/>
        <v>-4181.7920362583682</v>
      </c>
      <c r="AS286" s="45">
        <f t="shared" si="80"/>
        <v>-2196.7144991847895</v>
      </c>
      <c r="AT286" s="45">
        <f t="shared" si="66"/>
        <v>2037.7245945969512</v>
      </c>
      <c r="AU286" s="45">
        <f t="shared" si="67"/>
        <v>595.8238066030267</v>
      </c>
      <c r="AV286" s="64">
        <f t="shared" si="68"/>
        <v>263.21563995571717</v>
      </c>
      <c r="AW286" s="64">
        <f t="shared" si="69"/>
        <v>202.44070075067509</v>
      </c>
      <c r="AX286" s="64">
        <f t="shared" si="70"/>
        <v>-79.848222395175767</v>
      </c>
      <c r="AY286" s="64">
        <f t="shared" si="71"/>
        <v>201.94336252552813</v>
      </c>
      <c r="AZ286" s="64">
        <f t="shared" si="72"/>
        <v>1854.3571770364099</v>
      </c>
      <c r="BA286" s="64">
        <f t="shared" si="73"/>
        <v>191.4397433268235</v>
      </c>
      <c r="BB286" s="65">
        <f t="shared" si="74"/>
        <v>37738.714493013002</v>
      </c>
      <c r="BC286" s="65">
        <f t="shared" si="75"/>
        <v>27428.891546621915</v>
      </c>
      <c r="BD286" s="66">
        <f t="shared" si="76"/>
        <v>4940.5352026068795</v>
      </c>
    </row>
    <row r="287" spans="31:56" x14ac:dyDescent="0.25">
      <c r="AE287" s="71">
        <v>225</v>
      </c>
      <c r="AF287" s="17">
        <v>1.4451326206513049</v>
      </c>
      <c r="AG287" s="18">
        <v>-20000</v>
      </c>
      <c r="AH287" s="20">
        <v>17500</v>
      </c>
      <c r="AN287" s="23">
        <v>282</v>
      </c>
      <c r="AO287" s="58">
        <v>141</v>
      </c>
      <c r="AP287" s="45">
        <f t="shared" si="77"/>
        <v>-11495.880459708747</v>
      </c>
      <c r="AQ287" s="45">
        <f t="shared" si="78"/>
        <v>-16456.754719841905</v>
      </c>
      <c r="AR287" s="45">
        <f t="shared" si="79"/>
        <v>-3162.9297389598923</v>
      </c>
      <c r="AS287" s="45">
        <f t="shared" si="80"/>
        <v>-1898.8025958832761</v>
      </c>
      <c r="AT287" s="45">
        <f t="shared" si="66"/>
        <v>2139.4358827429564</v>
      </c>
      <c r="AU287" s="45">
        <f t="shared" si="67"/>
        <v>826.3068098694273</v>
      </c>
      <c r="AV287" s="64">
        <f t="shared" si="68"/>
        <v>242.53392712588595</v>
      </c>
      <c r="AW287" s="64">
        <f t="shared" si="69"/>
        <v>184.47891338766502</v>
      </c>
      <c r="AX287" s="64">
        <f t="shared" si="70"/>
        <v>-64.891123314339708</v>
      </c>
      <c r="AY287" s="64">
        <f t="shared" si="71"/>
        <v>201.87963314585559</v>
      </c>
      <c r="AZ287" s="64">
        <f t="shared" si="72"/>
        <v>1961.79307893141</v>
      </c>
      <c r="BA287" s="64">
        <f t="shared" si="73"/>
        <v>439.94826333590669</v>
      </c>
      <c r="BB287" s="65">
        <f t="shared" si="74"/>
        <v>39571.663885145528</v>
      </c>
      <c r="BC287" s="65">
        <f t="shared" si="75"/>
        <v>27789.924783299441</v>
      </c>
      <c r="BD287" s="66">
        <f t="shared" si="76"/>
        <v>6657.2214369515759</v>
      </c>
    </row>
    <row r="288" spans="31:56" x14ac:dyDescent="0.25">
      <c r="AE288" s="71">
        <v>226</v>
      </c>
      <c r="AF288" s="17">
        <v>1.5079644737231008</v>
      </c>
      <c r="AG288" s="18">
        <v>-20470.92889646985</v>
      </c>
      <c r="AH288" s="20">
        <v>17485.200463212037</v>
      </c>
      <c r="AN288" s="23">
        <v>283</v>
      </c>
      <c r="AO288" s="58">
        <v>141.5</v>
      </c>
      <c r="AP288" s="45">
        <f t="shared" si="77"/>
        <v>-12542.486358502956</v>
      </c>
      <c r="AQ288" s="45">
        <f t="shared" si="78"/>
        <v>-17199.579315316187</v>
      </c>
      <c r="AR288" s="45">
        <f t="shared" si="79"/>
        <v>-2093.2117975884139</v>
      </c>
      <c r="AS288" s="45">
        <f t="shared" si="80"/>
        <v>-1485.6491909485626</v>
      </c>
      <c r="AT288" s="45">
        <f t="shared" si="66"/>
        <v>2094.5789359784881</v>
      </c>
      <c r="AU288" s="45">
        <f t="shared" si="67"/>
        <v>932.8458915190381</v>
      </c>
      <c r="AV288" s="64">
        <f t="shared" si="68"/>
        <v>228.99561901245312</v>
      </c>
      <c r="AW288" s="64">
        <f t="shared" si="69"/>
        <v>173.80649383540862</v>
      </c>
      <c r="AX288" s="64">
        <f t="shared" si="70"/>
        <v>-54.580821048039667</v>
      </c>
      <c r="AY288" s="64">
        <f t="shared" si="71"/>
        <v>199.07109025324101</v>
      </c>
      <c r="AZ288" s="64">
        <f t="shared" si="72"/>
        <v>1920.1641380140748</v>
      </c>
      <c r="BA288" s="64">
        <f t="shared" si="73"/>
        <v>559.96830743038845</v>
      </c>
      <c r="BB288" s="65">
        <f t="shared" si="74"/>
        <v>40854.407800712841</v>
      </c>
      <c r="BC288" s="65">
        <f t="shared" si="75"/>
        <v>28203.397395407716</v>
      </c>
      <c r="BD288" s="66">
        <f t="shared" si="76"/>
        <v>7856.6691181804272</v>
      </c>
    </row>
    <row r="289" spans="31:56" x14ac:dyDescent="0.25">
      <c r="AE289" s="71">
        <v>227</v>
      </c>
      <c r="AF289" s="17">
        <v>1.5707963267948968</v>
      </c>
      <c r="AG289" s="18">
        <v>-20939.999251732283</v>
      </c>
      <c r="AH289" s="20">
        <v>17440.860259858582</v>
      </c>
      <c r="AN289" s="23">
        <v>284</v>
      </c>
      <c r="AO289" s="58">
        <v>142</v>
      </c>
      <c r="AP289" s="45">
        <f t="shared" si="77"/>
        <v>-13065.447523302541</v>
      </c>
      <c r="AQ289" s="45">
        <f t="shared" si="78"/>
        <v>-17709.192437910708</v>
      </c>
      <c r="AR289" s="45">
        <f t="shared" si="79"/>
        <v>-1045.9223295991699</v>
      </c>
      <c r="AS289" s="45">
        <f t="shared" si="80"/>
        <v>-1019.2262451890435</v>
      </c>
      <c r="AT289" s="45">
        <f t="shared" si="66"/>
        <v>2038.1589847201712</v>
      </c>
      <c r="AU289" s="45">
        <f t="shared" si="67"/>
        <v>991.12916598218703</v>
      </c>
      <c r="AV289" s="64">
        <f t="shared" si="68"/>
        <v>221.36758015851265</v>
      </c>
      <c r="AW289" s="64">
        <f t="shared" si="69"/>
        <v>168.77128076968472</v>
      </c>
      <c r="AX289" s="64">
        <f t="shared" si="70"/>
        <v>-48.963432248927546</v>
      </c>
      <c r="AY289" s="64">
        <f t="shared" si="71"/>
        <v>195.64884268527081</v>
      </c>
      <c r="AZ289" s="64">
        <f t="shared" si="72"/>
        <v>1865.7548368105861</v>
      </c>
      <c r="BA289" s="64">
        <f t="shared" si="73"/>
        <v>626.70904252723153</v>
      </c>
      <c r="BB289" s="65">
        <f t="shared" si="74"/>
        <v>41579.167900378772</v>
      </c>
      <c r="BC289" s="65">
        <f t="shared" si="75"/>
        <v>28563.742115017751</v>
      </c>
      <c r="BD289" s="66">
        <f t="shared" si="76"/>
        <v>8508.2999134245183</v>
      </c>
    </row>
    <row r="290" spans="31:56" x14ac:dyDescent="0.25">
      <c r="AE290" s="71">
        <v>228</v>
      </c>
      <c r="AF290" s="17">
        <v>1.6336281798666925</v>
      </c>
      <c r="AG290" s="18">
        <v>-21405.359859392935</v>
      </c>
      <c r="AH290" s="20">
        <v>17367.154380465166</v>
      </c>
      <c r="AN290" s="23">
        <v>285</v>
      </c>
      <c r="AO290" s="58">
        <v>142.5</v>
      </c>
      <c r="AP290" s="45">
        <f t="shared" si="77"/>
        <v>-13078.868941922083</v>
      </c>
      <c r="AQ290" s="45">
        <f t="shared" si="78"/>
        <v>-17971.023269009682</v>
      </c>
      <c r="AR290" s="45">
        <f t="shared" si="79"/>
        <v>-26.842837239084247</v>
      </c>
      <c r="AS290" s="45">
        <f t="shared" si="80"/>
        <v>-523.66166219795002</v>
      </c>
      <c r="AT290" s="45">
        <f t="shared" si="66"/>
        <v>2012.7268121990071</v>
      </c>
      <c r="AU290" s="45">
        <f t="shared" si="67"/>
        <v>1038.443641733239</v>
      </c>
      <c r="AV290" s="64">
        <f t="shared" si="68"/>
        <v>218.91056175402346</v>
      </c>
      <c r="AW290" s="64">
        <f t="shared" si="69"/>
        <v>168.56307941055979</v>
      </c>
      <c r="AX290" s="64">
        <f t="shared" si="70"/>
        <v>-47.673701904351837</v>
      </c>
      <c r="AY290" s="64">
        <f t="shared" si="71"/>
        <v>192.66825235596403</v>
      </c>
      <c r="AZ290" s="64">
        <f t="shared" si="72"/>
        <v>1841.4899523493355</v>
      </c>
      <c r="BA290" s="64">
        <f t="shared" si="73"/>
        <v>677.21230996671522</v>
      </c>
      <c r="BB290" s="65">
        <f t="shared" si="74"/>
        <v>41749.067017686633</v>
      </c>
      <c r="BC290" s="65">
        <f t="shared" si="75"/>
        <v>28814.583075910916</v>
      </c>
      <c r="BD290" s="66">
        <f t="shared" si="76"/>
        <v>8607.8512211672314</v>
      </c>
    </row>
    <row r="291" spans="31:56" x14ac:dyDescent="0.25">
      <c r="AE291" s="71">
        <v>229</v>
      </c>
      <c r="AF291" s="17">
        <v>1.6964600329384885</v>
      </c>
      <c r="AG291" s="18">
        <v>-21865.174153736411</v>
      </c>
      <c r="AH291" s="20">
        <v>17264.373708464733</v>
      </c>
      <c r="AN291" s="23">
        <v>286</v>
      </c>
      <c r="AO291" s="58">
        <v>143</v>
      </c>
      <c r="AP291" s="45">
        <f t="shared" si="77"/>
        <v>-12589.108657491874</v>
      </c>
      <c r="AQ291" s="45">
        <f t="shared" si="78"/>
        <v>-17973.243189675348</v>
      </c>
      <c r="AR291" s="45">
        <f t="shared" si="79"/>
        <v>979.5205688604193</v>
      </c>
      <c r="AS291" s="45">
        <f t="shared" si="80"/>
        <v>-4.4398413313305127</v>
      </c>
      <c r="AT291" s="45">
        <f t="shared" si="66"/>
        <v>2021.6345565168265</v>
      </c>
      <c r="AU291" s="45">
        <f t="shared" si="67"/>
        <v>1088.4734330934377</v>
      </c>
      <c r="AV291" s="64">
        <f t="shared" si="68"/>
        <v>221.41977617725641</v>
      </c>
      <c r="AW291" s="64">
        <f t="shared" si="69"/>
        <v>173.0725398121651</v>
      </c>
      <c r="AX291" s="64">
        <f t="shared" si="70"/>
        <v>-50.431419190571027</v>
      </c>
      <c r="AY291" s="64">
        <f t="shared" si="71"/>
        <v>190.35906589622985</v>
      </c>
      <c r="AZ291" s="64">
        <f t="shared" si="72"/>
        <v>1850.6461995301411</v>
      </c>
      <c r="BA291" s="64">
        <f t="shared" si="73"/>
        <v>725.04182738504278</v>
      </c>
      <c r="BB291" s="65">
        <f t="shared" si="74"/>
        <v>41363.463608481252</v>
      </c>
      <c r="BC291" s="65">
        <f t="shared" si="75"/>
        <v>28938.273014110226</v>
      </c>
      <c r="BD291" s="66">
        <f t="shared" si="76"/>
        <v>8150.7512095615421</v>
      </c>
    </row>
    <row r="292" spans="31:56" x14ac:dyDescent="0.25">
      <c r="AE292" s="71">
        <v>230</v>
      </c>
      <c r="AF292" s="17">
        <v>1.7592918860102844</v>
      </c>
      <c r="AG292" s="18">
        <v>-22317.627457812108</v>
      </c>
      <c r="AH292" s="20">
        <v>17132.923872213651</v>
      </c>
      <c r="AN292" s="23">
        <v>287</v>
      </c>
      <c r="AO292" s="58">
        <v>143.5</v>
      </c>
      <c r="AP292" s="45">
        <f t="shared" si="77"/>
        <v>-11593.939733932459</v>
      </c>
      <c r="AQ292" s="45">
        <f t="shared" si="78"/>
        <v>-17703.344752067653</v>
      </c>
      <c r="AR292" s="45">
        <f t="shared" si="79"/>
        <v>1990.3378471188325</v>
      </c>
      <c r="AS292" s="45">
        <f t="shared" si="80"/>
        <v>539.79687521538835</v>
      </c>
      <c r="AT292" s="45">
        <f t="shared" si="66"/>
        <v>2036.7203057585832</v>
      </c>
      <c r="AU292" s="45">
        <f t="shared" si="67"/>
        <v>1135.6035656795639</v>
      </c>
      <c r="AV292" s="64">
        <f t="shared" si="68"/>
        <v>229.22375661873892</v>
      </c>
      <c r="AW292" s="64">
        <f t="shared" si="69"/>
        <v>182.85802315503261</v>
      </c>
      <c r="AX292" s="64">
        <f t="shared" si="70"/>
        <v>-57.134586047323502</v>
      </c>
      <c r="AY292" s="64">
        <f t="shared" si="71"/>
        <v>188.29500199100281</v>
      </c>
      <c r="AZ292" s="64">
        <f t="shared" si="72"/>
        <v>1864.6311351871677</v>
      </c>
      <c r="BA292" s="64">
        <f t="shared" si="73"/>
        <v>764.45054053352851</v>
      </c>
      <c r="BB292" s="65">
        <f t="shared" si="74"/>
        <v>40415.165651063864</v>
      </c>
      <c r="BC292" s="65">
        <f t="shared" si="75"/>
        <v>28950.598606050855</v>
      </c>
      <c r="BD292" s="66">
        <f t="shared" si="76"/>
        <v>7126.57800513437</v>
      </c>
    </row>
    <row r="293" spans="31:56" x14ac:dyDescent="0.25">
      <c r="AE293" s="71">
        <v>231</v>
      </c>
      <c r="AF293" s="17">
        <v>1.8221237390820801</v>
      </c>
      <c r="AG293" s="18">
        <v>-22760.934145135085</v>
      </c>
      <c r="AH293" s="20">
        <v>16973.323644161886</v>
      </c>
      <c r="AN293" s="23">
        <v>288</v>
      </c>
      <c r="AO293" s="58">
        <v>144</v>
      </c>
      <c r="AP293" s="45">
        <f t="shared" si="77"/>
        <v>-10089.590733933395</v>
      </c>
      <c r="AQ293" s="45">
        <f t="shared" si="78"/>
        <v>-17149.545423040068</v>
      </c>
      <c r="AR293" s="45">
        <f t="shared" si="79"/>
        <v>3008.697999998124</v>
      </c>
      <c r="AS293" s="45">
        <f t="shared" si="80"/>
        <v>1107.5986580551703</v>
      </c>
      <c r="AT293" s="45">
        <f t="shared" si="66"/>
        <v>1962.5994659585767</v>
      </c>
      <c r="AU293" s="45">
        <f t="shared" si="67"/>
        <v>1139.4061570077674</v>
      </c>
      <c r="AV293" s="64">
        <f t="shared" si="68"/>
        <v>243.20359567208615</v>
      </c>
      <c r="AW293" s="64">
        <f t="shared" si="69"/>
        <v>199.23361974495339</v>
      </c>
      <c r="AX293" s="64">
        <f t="shared" si="70"/>
        <v>-67.68221453463407</v>
      </c>
      <c r="AY293" s="64">
        <f t="shared" si="71"/>
        <v>185.41528492993328</v>
      </c>
      <c r="AZ293" s="64">
        <f t="shared" si="72"/>
        <v>1787.0780848211245</v>
      </c>
      <c r="BA293" s="64">
        <f t="shared" si="73"/>
        <v>754.75725233288063</v>
      </c>
      <c r="BB293" s="65">
        <f t="shared" si="74"/>
        <v>38897.089352522584</v>
      </c>
      <c r="BC293" s="65">
        <f t="shared" si="75"/>
        <v>28901.799744975306</v>
      </c>
      <c r="BD293" s="66">
        <f t="shared" si="76"/>
        <v>5524.8963216202692</v>
      </c>
    </row>
    <row r="294" spans="31:56" x14ac:dyDescent="0.25">
      <c r="AE294" s="71">
        <v>232</v>
      </c>
      <c r="AF294" s="17">
        <v>1.8849555921538761</v>
      </c>
      <c r="AG294" s="18">
        <v>-23193.344686738044</v>
      </c>
      <c r="AH294" s="20">
        <v>16786.202893495145</v>
      </c>
      <c r="AN294" s="23">
        <v>289</v>
      </c>
      <c r="AO294" s="58">
        <v>144.5</v>
      </c>
      <c r="AP294" s="45">
        <f t="shared" si="77"/>
        <v>-8094.5918674446893</v>
      </c>
      <c r="AQ294" s="45">
        <f t="shared" si="78"/>
        <v>-16310.894554760542</v>
      </c>
      <c r="AR294" s="45">
        <f t="shared" si="79"/>
        <v>3989.9977329774124</v>
      </c>
      <c r="AS294" s="45">
        <f t="shared" si="80"/>
        <v>1677.301736559054</v>
      </c>
      <c r="AT294" s="45">
        <f t="shared" si="66"/>
        <v>1563.2470606573668</v>
      </c>
      <c r="AU294" s="45">
        <f t="shared" si="67"/>
        <v>989.02461718326981</v>
      </c>
      <c r="AV294" s="64">
        <f t="shared" si="68"/>
        <v>264.7041957825133</v>
      </c>
      <c r="AW294" s="64">
        <f t="shared" si="69"/>
        <v>224.34366456427125</v>
      </c>
      <c r="AX294" s="64">
        <f t="shared" si="70"/>
        <v>-81.488169518368025</v>
      </c>
      <c r="AY294" s="64">
        <f t="shared" si="71"/>
        <v>180.08846162908077</v>
      </c>
      <c r="AZ294" s="64">
        <f t="shared" si="72"/>
        <v>1380.0310343932215</v>
      </c>
      <c r="BA294" s="64">
        <f t="shared" si="73"/>
        <v>584.59249098991779</v>
      </c>
      <c r="BB294" s="65">
        <f t="shared" si="74"/>
        <v>36827.500481246541</v>
      </c>
      <c r="BC294" s="65">
        <f t="shared" si="75"/>
        <v>28879.091313170535</v>
      </c>
      <c r="BD294" s="66">
        <f t="shared" si="76"/>
        <v>3360.7950487579051</v>
      </c>
    </row>
    <row r="295" spans="31:56" x14ac:dyDescent="0.25">
      <c r="AE295" s="71">
        <v>233</v>
      </c>
      <c r="AF295" s="17">
        <v>1.9477874452256718</v>
      </c>
      <c r="AG295" s="18">
        <v>-23613.152555762867</v>
      </c>
      <c r="AH295" s="20">
        <v>16572.300100328976</v>
      </c>
      <c r="AN295" s="23">
        <v>290</v>
      </c>
      <c r="AO295" s="58">
        <v>145</v>
      </c>
      <c r="AP295" s="45">
        <f t="shared" si="77"/>
        <v>-5708.7812357916418</v>
      </c>
      <c r="AQ295" s="45">
        <f t="shared" si="78"/>
        <v>-15224.987532185198</v>
      </c>
      <c r="AR295" s="45">
        <f t="shared" si="79"/>
        <v>4771.6212633060959</v>
      </c>
      <c r="AS295" s="45">
        <f t="shared" si="80"/>
        <v>2171.8140451506888</v>
      </c>
      <c r="AT295" s="45">
        <f t="shared" si="66"/>
        <v>566.17174788750503</v>
      </c>
      <c r="AU295" s="45">
        <f t="shared" si="67"/>
        <v>548.22161815807385</v>
      </c>
      <c r="AV295" s="64">
        <f t="shared" si="68"/>
        <v>294.85386997734736</v>
      </c>
      <c r="AW295" s="64">
        <f t="shared" si="69"/>
        <v>260.63275647323564</v>
      </c>
      <c r="AX295" s="64">
        <f t="shared" si="70"/>
        <v>-96.741890658601207</v>
      </c>
      <c r="AY295" s="64">
        <f t="shared" si="71"/>
        <v>170.75611436407934</v>
      </c>
      <c r="AZ295" s="64">
        <f t="shared" si="72"/>
        <v>368.05976856875884</v>
      </c>
      <c r="BA295" s="64">
        <f t="shared" si="73"/>
        <v>116.83274732075883</v>
      </c>
      <c r="BB295" s="65">
        <f t="shared" si="74"/>
        <v>34312.774457449006</v>
      </c>
      <c r="BC295" s="65">
        <f t="shared" si="75"/>
        <v>28992.049423339493</v>
      </c>
      <c r="BD295" s="66">
        <f t="shared" si="76"/>
        <v>743.63312853120817</v>
      </c>
    </row>
    <row r="296" spans="31:56" x14ac:dyDescent="0.25">
      <c r="AE296" s="71">
        <v>234</v>
      </c>
      <c r="AF296" s="17">
        <v>2.0106192982974678</v>
      </c>
      <c r="AG296" s="18">
        <v>-24018.700962342475</v>
      </c>
      <c r="AH296" s="20">
        <v>16332.459441265113</v>
      </c>
      <c r="AN296" s="23">
        <v>291</v>
      </c>
      <c r="AO296" s="58">
        <v>145.5</v>
      </c>
      <c r="AP296" s="45">
        <f t="shared" si="77"/>
        <v>-3181.4276671667176</v>
      </c>
      <c r="AQ296" s="45">
        <f t="shared" si="78"/>
        <v>-14002.025105070335</v>
      </c>
      <c r="AR296" s="45">
        <f t="shared" si="79"/>
        <v>5054.7071372498485</v>
      </c>
      <c r="AS296" s="45">
        <f t="shared" si="80"/>
        <v>2445.9248542297255</v>
      </c>
      <c r="AT296" s="45">
        <f t="shared" si="66"/>
        <v>-671.46402396507438</v>
      </c>
      <c r="AU296" s="45">
        <f t="shared" si="67"/>
        <v>-24.264947549992826</v>
      </c>
      <c r="AV296" s="64">
        <f t="shared" si="68"/>
        <v>332.82671614153611</v>
      </c>
      <c r="AW296" s="64">
        <f t="shared" si="69"/>
        <v>308.714739612416</v>
      </c>
      <c r="AX296" s="64">
        <f t="shared" si="70"/>
        <v>-110.4029450657041</v>
      </c>
      <c r="AY296" s="64">
        <f t="shared" si="71"/>
        <v>157.55762181832742</v>
      </c>
      <c r="AZ296" s="64">
        <f t="shared" si="72"/>
        <v>-893.88779504090644</v>
      </c>
      <c r="BA296" s="64">
        <f t="shared" si="73"/>
        <v>-490.53730898073627</v>
      </c>
      <c r="BB296" s="65">
        <f t="shared" si="74"/>
        <v>31618.280666525145</v>
      </c>
      <c r="BC296" s="65">
        <f t="shared" si="75"/>
        <v>29308.046411509109</v>
      </c>
      <c r="BD296" s="66">
        <f t="shared" si="76"/>
        <v>2074.4057512108284</v>
      </c>
    </row>
    <row r="297" spans="31:56" x14ac:dyDescent="0.25">
      <c r="AE297" s="71">
        <v>235</v>
      </c>
      <c r="AF297" s="17">
        <v>2.0734511513692637</v>
      </c>
      <c r="AG297" s="18">
        <v>-24408.389392193549</v>
      </c>
      <c r="AH297" s="20">
        <v>16067.627457812105</v>
      </c>
      <c r="AN297" s="23">
        <v>292</v>
      </c>
      <c r="AO297" s="58">
        <v>146</v>
      </c>
      <c r="AP297" s="45">
        <f t="shared" si="77"/>
        <v>-821.94010453306191</v>
      </c>
      <c r="AQ297" s="45">
        <f t="shared" si="78"/>
        <v>-12785.128914842971</v>
      </c>
      <c r="AR297" s="45">
        <f t="shared" si="79"/>
        <v>4718.9751252673113</v>
      </c>
      <c r="AS297" s="45">
        <f t="shared" si="80"/>
        <v>2433.792380454729</v>
      </c>
      <c r="AT297" s="45">
        <f t="shared" si="66"/>
        <v>-1361.2483916364927</v>
      </c>
      <c r="AU297" s="45">
        <f t="shared" si="67"/>
        <v>-348.29280280157218</v>
      </c>
      <c r="AV297" s="64">
        <f t="shared" si="68"/>
        <v>375.27080045319303</v>
      </c>
      <c r="AW297" s="64">
        <f t="shared" si="69"/>
        <v>365.59593039613355</v>
      </c>
      <c r="AX297" s="64">
        <f t="shared" si="70"/>
        <v>-120.28498641682494</v>
      </c>
      <c r="AY297" s="64">
        <f t="shared" si="71"/>
        <v>142.90855993599777</v>
      </c>
      <c r="AZ297" s="64">
        <f t="shared" si="72"/>
        <v>-1616.2342056728608</v>
      </c>
      <c r="BA297" s="64">
        <f t="shared" si="73"/>
        <v>-856.79729313370353</v>
      </c>
      <c r="BB297" s="65">
        <f t="shared" si="74"/>
        <v>29069.565610936821</v>
      </c>
      <c r="BC297" s="65">
        <f t="shared" si="75"/>
        <v>29781.875042047479</v>
      </c>
      <c r="BD297" s="66">
        <f t="shared" si="76"/>
        <v>4728.8305545847043</v>
      </c>
    </row>
    <row r="298" spans="31:56" x14ac:dyDescent="0.25">
      <c r="AE298" s="71">
        <v>236</v>
      </c>
      <c r="AF298" s="17">
        <v>2.1362830044410597</v>
      </c>
      <c r="AG298" s="18">
        <v>-24780.679923115174</v>
      </c>
      <c r="AH298" s="20">
        <v>15778.849320818419</v>
      </c>
      <c r="AN298" s="23">
        <v>293</v>
      </c>
      <c r="AO298" s="58">
        <v>146.5</v>
      </c>
      <c r="AP298" s="45">
        <f t="shared" si="77"/>
        <v>1197.2353601914706</v>
      </c>
      <c r="AQ298" s="45">
        <f t="shared" si="78"/>
        <v>-11655.305925316001</v>
      </c>
      <c r="AR298" s="45">
        <f t="shared" si="79"/>
        <v>4038.350929449065</v>
      </c>
      <c r="AS298" s="45">
        <f t="shared" si="80"/>
        <v>2259.6459790539429</v>
      </c>
      <c r="AT298" s="45">
        <f t="shared" si="66"/>
        <v>-1481.1291803122735</v>
      </c>
      <c r="AU298" s="45">
        <f t="shared" si="67"/>
        <v>-401.12048586944809</v>
      </c>
      <c r="AV298" s="64">
        <f t="shared" si="68"/>
        <v>418.9155764200342</v>
      </c>
      <c r="AW298" s="64">
        <f t="shared" si="69"/>
        <v>426.77000839635906</v>
      </c>
      <c r="AX298" s="64">
        <f t="shared" si="70"/>
        <v>-126.54557921205001</v>
      </c>
      <c r="AY298" s="64">
        <f t="shared" si="71"/>
        <v>129.28021908365028</v>
      </c>
      <c r="AZ298" s="64">
        <f t="shared" si="72"/>
        <v>-1773.4991775202577</v>
      </c>
      <c r="BA298" s="64">
        <f t="shared" si="73"/>
        <v>-957.1707133494574</v>
      </c>
      <c r="BB298" s="65">
        <f t="shared" si="74"/>
        <v>26841.566705251771</v>
      </c>
      <c r="BC298" s="65">
        <f t="shared" si="75"/>
        <v>30303.053668473378</v>
      </c>
      <c r="BD298" s="66">
        <f t="shared" si="76"/>
        <v>7042.2087843824802</v>
      </c>
    </row>
    <row r="299" spans="31:56" x14ac:dyDescent="0.25">
      <c r="AE299" s="71">
        <v>237</v>
      </c>
      <c r="AF299" s="17">
        <v>2.1991148575128552</v>
      </c>
      <c r="AG299" s="18">
        <v>-25134.103294465167</v>
      </c>
      <c r="AH299" s="20">
        <v>15467.264705660586</v>
      </c>
      <c r="AN299" s="23">
        <v>294</v>
      </c>
      <c r="AO299" s="58">
        <v>147</v>
      </c>
      <c r="AP299" s="45">
        <f t="shared" si="77"/>
        <v>2846.1285298379348</v>
      </c>
      <c r="AQ299" s="45">
        <f t="shared" si="78"/>
        <v>-10625.763057256392</v>
      </c>
      <c r="AR299" s="45">
        <f t="shared" si="79"/>
        <v>3297.7863392929285</v>
      </c>
      <c r="AS299" s="45">
        <f t="shared" si="80"/>
        <v>2059.0857361192188</v>
      </c>
      <c r="AT299" s="45">
        <f t="shared" si="66"/>
        <v>-1359.6000434290452</v>
      </c>
      <c r="AU299" s="45">
        <f t="shared" si="67"/>
        <v>-336.75662861690091</v>
      </c>
      <c r="AV299" s="64">
        <f t="shared" si="68"/>
        <v>462.20519921098077</v>
      </c>
      <c r="AW299" s="64">
        <f t="shared" si="69"/>
        <v>488.39248558570876</v>
      </c>
      <c r="AX299" s="64">
        <f t="shared" si="70"/>
        <v>-130.45955835252369</v>
      </c>
      <c r="AY299" s="64">
        <f t="shared" si="71"/>
        <v>117.78047801924696</v>
      </c>
      <c r="AZ299" s="64">
        <f t="shared" si="72"/>
        <v>-1691.3456842875023</v>
      </c>
      <c r="BA299" s="64">
        <f t="shared" si="73"/>
        <v>-942.92959222185664</v>
      </c>
      <c r="BB299" s="65">
        <f t="shared" si="74"/>
        <v>24955.933018475604</v>
      </c>
      <c r="BC299" s="65">
        <f t="shared" si="75"/>
        <v>30779.338694909566</v>
      </c>
      <c r="BD299" s="66">
        <f t="shared" si="76"/>
        <v>8983.0775204269357</v>
      </c>
    </row>
    <row r="300" spans="31:56" x14ac:dyDescent="0.25">
      <c r="AE300" s="71">
        <v>238</v>
      </c>
      <c r="AF300" s="17">
        <v>2.2619467105846511</v>
      </c>
      <c r="AG300" s="18">
        <v>-25467.264705660586</v>
      </c>
      <c r="AH300" s="20">
        <v>15134.103294465163</v>
      </c>
      <c r="AN300" s="23">
        <v>295</v>
      </c>
      <c r="AO300" s="58">
        <v>147.5</v>
      </c>
      <c r="AP300" s="45">
        <f t="shared" si="77"/>
        <v>4155.1216886271386</v>
      </c>
      <c r="AQ300" s="45">
        <f t="shared" si="78"/>
        <v>-9680.4093463510089</v>
      </c>
      <c r="AR300" s="45">
        <f t="shared" si="79"/>
        <v>2617.9863175784058</v>
      </c>
      <c r="AS300" s="45">
        <f t="shared" si="80"/>
        <v>1890.7074218107684</v>
      </c>
      <c r="AT300" s="45">
        <f t="shared" si="66"/>
        <v>-1179.8883070221755</v>
      </c>
      <c r="AU300" s="45">
        <f t="shared" si="67"/>
        <v>-245.49448883096841</v>
      </c>
      <c r="AV300" s="64">
        <f t="shared" si="68"/>
        <v>505.02194532091721</v>
      </c>
      <c r="AW300" s="64">
        <f t="shared" si="69"/>
        <v>547.58916913083499</v>
      </c>
      <c r="AX300" s="64">
        <f t="shared" si="70"/>
        <v>-133.21000989351995</v>
      </c>
      <c r="AY300" s="64">
        <f t="shared" si="71"/>
        <v>108.532987642545</v>
      </c>
      <c r="AZ300" s="64">
        <f t="shared" si="72"/>
        <v>-1551.7002424495727</v>
      </c>
      <c r="BA300" s="64">
        <f t="shared" si="73"/>
        <v>-901.61664560434838</v>
      </c>
      <c r="BB300" s="65">
        <f t="shared" si="74"/>
        <v>23371.491908100328</v>
      </c>
      <c r="BC300" s="65">
        <f t="shared" si="75"/>
        <v>31157.477687263538</v>
      </c>
      <c r="BD300" s="66">
        <f t="shared" si="76"/>
        <v>10588.403933358451</v>
      </c>
    </row>
    <row r="301" spans="31:56" x14ac:dyDescent="0.25">
      <c r="AE301" s="71">
        <v>239</v>
      </c>
      <c r="AF301" s="17">
        <v>2.3247785636564471</v>
      </c>
      <c r="AG301" s="18">
        <v>-25778.849320818419</v>
      </c>
      <c r="AH301" s="20">
        <v>14780.679923115171</v>
      </c>
      <c r="AN301" s="23">
        <v>296</v>
      </c>
      <c r="AO301" s="58">
        <v>148</v>
      </c>
      <c r="AP301" s="45">
        <f t="shared" si="77"/>
        <v>5169.1427706607983</v>
      </c>
      <c r="AQ301" s="45">
        <f t="shared" si="78"/>
        <v>-8796.4292576533662</v>
      </c>
      <c r="AR301" s="45">
        <f t="shared" si="79"/>
        <v>2028.042164067318</v>
      </c>
      <c r="AS301" s="45">
        <f t="shared" si="80"/>
        <v>1767.9601773952843</v>
      </c>
      <c r="AT301" s="45">
        <f t="shared" si="66"/>
        <v>-1002.792665179604</v>
      </c>
      <c r="AU301" s="45">
        <f t="shared" si="67"/>
        <v>-159.86693866281405</v>
      </c>
      <c r="AV301" s="64">
        <f t="shared" si="68"/>
        <v>548.07936263293641</v>
      </c>
      <c r="AW301" s="64">
        <f t="shared" si="69"/>
        <v>602.2400743672556</v>
      </c>
      <c r="AX301" s="64">
        <f t="shared" si="70"/>
        <v>-135.59780271500492</v>
      </c>
      <c r="AY301" s="64">
        <f t="shared" si="71"/>
        <v>101.26505020253862</v>
      </c>
      <c r="AZ301" s="64">
        <f t="shared" si="72"/>
        <v>-1415.2742250975355</v>
      </c>
      <c r="BA301" s="64">
        <f t="shared" si="73"/>
        <v>-863.3720632326083</v>
      </c>
      <c r="BB301" s="65">
        <f t="shared" si="74"/>
        <v>22034.698380208058</v>
      </c>
      <c r="BC301" s="65">
        <f t="shared" si="75"/>
        <v>31413.237665797427</v>
      </c>
      <c r="BD301" s="66">
        <f t="shared" si="76"/>
        <v>11912.000446834358</v>
      </c>
    </row>
    <row r="302" spans="31:56" x14ac:dyDescent="0.25">
      <c r="AE302" s="71">
        <v>240</v>
      </c>
      <c r="AF302" s="17">
        <v>2.387610416728243</v>
      </c>
      <c r="AG302" s="18">
        <v>-26067.627457812105</v>
      </c>
      <c r="AH302" s="20">
        <v>14408.389392193549</v>
      </c>
      <c r="AN302" s="23">
        <v>297</v>
      </c>
      <c r="AO302" s="58">
        <v>148.5</v>
      </c>
      <c r="AP302" s="45">
        <f t="shared" si="77"/>
        <v>5932.465686399556</v>
      </c>
      <c r="AQ302" s="45">
        <f t="shared" si="78"/>
        <v>-7952.4159036214278</v>
      </c>
      <c r="AR302" s="45">
        <f t="shared" si="79"/>
        <v>1526.6458314775159</v>
      </c>
      <c r="AS302" s="45">
        <f t="shared" si="80"/>
        <v>1688.0267080638773</v>
      </c>
      <c r="AT302" s="45">
        <f t="shared" si="66"/>
        <v>-841.74762930209488</v>
      </c>
      <c r="AU302" s="45">
        <f t="shared" si="67"/>
        <v>-89.136253699501594</v>
      </c>
      <c r="AV302" s="64">
        <f t="shared" si="68"/>
        <v>592.4509162495408</v>
      </c>
      <c r="AW302" s="64">
        <f t="shared" si="69"/>
        <v>650.77488039383434</v>
      </c>
      <c r="AX302" s="64">
        <f t="shared" si="70"/>
        <v>-138.10895562409709</v>
      </c>
      <c r="AY302" s="64">
        <f t="shared" si="71"/>
        <v>95.609474292254362</v>
      </c>
      <c r="AZ302" s="64">
        <f t="shared" si="72"/>
        <v>-1296.0895899275386</v>
      </c>
      <c r="BA302" s="64">
        <f t="shared" si="73"/>
        <v>-835.52060838559032</v>
      </c>
      <c r="BB302" s="65">
        <f t="shared" si="74"/>
        <v>20896.714548531749</v>
      </c>
      <c r="BC302" s="65">
        <f t="shared" si="75"/>
        <v>31540.165081256153</v>
      </c>
      <c r="BD302" s="66">
        <f t="shared" si="76"/>
        <v>13007.199836238078</v>
      </c>
    </row>
    <row r="303" spans="31:56" x14ac:dyDescent="0.25">
      <c r="AE303" s="71">
        <v>241</v>
      </c>
      <c r="AF303" s="17">
        <v>2.450442269800039</v>
      </c>
      <c r="AG303" s="18">
        <v>-26332.459441265113</v>
      </c>
      <c r="AH303" s="20">
        <v>14018.700962342475</v>
      </c>
      <c r="AN303" s="23">
        <v>298</v>
      </c>
      <c r="AO303" s="58">
        <v>149</v>
      </c>
      <c r="AP303" s="45">
        <f t="shared" si="77"/>
        <v>6485.3516948127899</v>
      </c>
      <c r="AQ303" s="45">
        <f t="shared" si="78"/>
        <v>-7130.6866130143644</v>
      </c>
      <c r="AR303" s="45">
        <f t="shared" si="79"/>
        <v>1105.7720168264684</v>
      </c>
      <c r="AS303" s="45">
        <f t="shared" si="80"/>
        <v>1643.4585812141265</v>
      </c>
      <c r="AT303" s="45">
        <f t="shared" si="66"/>
        <v>-695.7178146164681</v>
      </c>
      <c r="AU303" s="45">
        <f t="shared" si="67"/>
        <v>-34.799211248947017</v>
      </c>
      <c r="AV303" s="64">
        <f t="shared" si="68"/>
        <v>639.2321021156456</v>
      </c>
      <c r="AW303" s="64">
        <f t="shared" si="69"/>
        <v>692.019825291551</v>
      </c>
      <c r="AX303" s="64">
        <f t="shared" si="70"/>
        <v>-141.02261038090438</v>
      </c>
      <c r="AY303" s="64">
        <f t="shared" si="71"/>
        <v>91.213217465322202</v>
      </c>
      <c r="AZ303" s="64">
        <f t="shared" si="72"/>
        <v>-1193.9273063512094</v>
      </c>
      <c r="BA303" s="64">
        <f t="shared" si="73"/>
        <v>-818.03225400582016</v>
      </c>
      <c r="BB303" s="65">
        <f t="shared" si="74"/>
        <v>19917.397158794047</v>
      </c>
      <c r="BC303" s="65">
        <f t="shared" si="75"/>
        <v>31542.578813902204</v>
      </c>
      <c r="BD303" s="66">
        <f t="shared" si="76"/>
        <v>13922.621762302184</v>
      </c>
    </row>
    <row r="304" spans="31:56" x14ac:dyDescent="0.25">
      <c r="AE304" s="71">
        <v>242</v>
      </c>
      <c r="AF304" s="17">
        <v>2.5132741228718345</v>
      </c>
      <c r="AG304" s="18">
        <v>-26572.300100328976</v>
      </c>
      <c r="AH304" s="20">
        <v>13613.152555762865</v>
      </c>
      <c r="AN304" s="23">
        <v>299</v>
      </c>
      <c r="AO304" s="58">
        <v>149.5</v>
      </c>
      <c r="AP304" s="45">
        <f t="shared" si="77"/>
        <v>6864.3082495719063</v>
      </c>
      <c r="AQ304" s="45">
        <f t="shared" si="78"/>
        <v>-6317.6571252195381</v>
      </c>
      <c r="AR304" s="45">
        <f t="shared" si="79"/>
        <v>757.91310951823436</v>
      </c>
      <c r="AS304" s="45">
        <f t="shared" si="80"/>
        <v>1626.0589755896531</v>
      </c>
      <c r="AT304" s="45">
        <f t="shared" si="66"/>
        <v>-560.30431505539059</v>
      </c>
      <c r="AU304" s="45">
        <f t="shared" si="67"/>
        <v>4.1224493515869653</v>
      </c>
      <c r="AV304" s="64">
        <f t="shared" si="68"/>
        <v>689.30819504097485</v>
      </c>
      <c r="AW304" s="64">
        <f t="shared" si="69"/>
        <v>725.09499108562272</v>
      </c>
      <c r="AX304" s="64">
        <f t="shared" si="70"/>
        <v>-144.4865056904523</v>
      </c>
      <c r="AY304" s="64">
        <f t="shared" si="71"/>
        <v>87.762589573303188</v>
      </c>
      <c r="AZ304" s="64">
        <f t="shared" si="72"/>
        <v>-1105.1260044059131</v>
      </c>
      <c r="BA304" s="64">
        <f t="shared" si="73"/>
        <v>-808.73513130733897</v>
      </c>
      <c r="BB304" s="65">
        <f t="shared" si="74"/>
        <v>19064.995310578888</v>
      </c>
      <c r="BC304" s="65">
        <f t="shared" si="75"/>
        <v>31431.783146748854</v>
      </c>
      <c r="BD304" s="66">
        <f t="shared" si="76"/>
        <v>14701.866821465601</v>
      </c>
    </row>
    <row r="305" spans="31:56" x14ac:dyDescent="0.25">
      <c r="AE305" s="71">
        <v>243</v>
      </c>
      <c r="AF305" s="17">
        <v>2.5761059759436304</v>
      </c>
      <c r="AG305" s="18">
        <v>-26786.202893495145</v>
      </c>
      <c r="AH305" s="20">
        <v>13193.344686738044</v>
      </c>
      <c r="AN305" s="23">
        <v>300</v>
      </c>
      <c r="AO305" s="58">
        <v>150</v>
      </c>
      <c r="AP305" s="45">
        <f t="shared" si="77"/>
        <v>7103.1887255671763</v>
      </c>
      <c r="AQ305" s="45">
        <f t="shared" si="78"/>
        <v>-5503.5970250868149</v>
      </c>
      <c r="AR305" s="45">
        <f t="shared" si="79"/>
        <v>477.76095199053907</v>
      </c>
      <c r="AS305" s="45">
        <f t="shared" si="80"/>
        <v>1628.1202002654466</v>
      </c>
      <c r="AT305" s="45">
        <f t="shared" si="66"/>
        <v>-431.21441525810678</v>
      </c>
      <c r="AU305" s="45">
        <f t="shared" si="67"/>
        <v>29.429958668645554</v>
      </c>
      <c r="AV305" s="64">
        <f t="shared" si="68"/>
        <v>743.21847479977271</v>
      </c>
      <c r="AW305" s="64">
        <f t="shared" si="69"/>
        <v>749.37233260559674</v>
      </c>
      <c r="AX305" s="64">
        <f t="shared" si="70"/>
        <v>-148.55887240988665</v>
      </c>
      <c r="AY305" s="64">
        <f t="shared" si="71"/>
        <v>84.978816170493701</v>
      </c>
      <c r="AZ305" s="64">
        <f t="shared" si="72"/>
        <v>-1025.8740176479928</v>
      </c>
      <c r="BA305" s="64">
        <f t="shared" si="73"/>
        <v>-804.92119010744489</v>
      </c>
      <c r="BB305" s="65">
        <f t="shared" si="74"/>
        <v>18314.510002705076</v>
      </c>
      <c r="BC305" s="65">
        <f t="shared" si="75"/>
        <v>31224.099023190283</v>
      </c>
      <c r="BD305" s="66">
        <f t="shared" si="76"/>
        <v>15384.045202372372</v>
      </c>
    </row>
    <row r="306" spans="31:56" x14ac:dyDescent="0.25">
      <c r="AE306" s="71">
        <v>244</v>
      </c>
      <c r="AF306" s="17">
        <v>2.6389378290154264</v>
      </c>
      <c r="AG306" s="18">
        <v>-26973.323644161886</v>
      </c>
      <c r="AH306" s="20">
        <v>12760.934145135083</v>
      </c>
      <c r="AN306" s="23">
        <v>301</v>
      </c>
      <c r="AO306" s="58">
        <v>150.5</v>
      </c>
      <c r="AP306" s="45">
        <f t="shared" si="77"/>
        <v>7234.2655977479199</v>
      </c>
      <c r="AQ306" s="45">
        <f t="shared" si="78"/>
        <v>-4682.1794352869301</v>
      </c>
      <c r="AR306" s="45">
        <f t="shared" si="79"/>
        <v>262.15374436148568</v>
      </c>
      <c r="AS306" s="45">
        <f t="shared" si="80"/>
        <v>1642.8351795997694</v>
      </c>
      <c r="AT306" s="45">
        <f t="shared" si="66"/>
        <v>-305.24594695879875</v>
      </c>
      <c r="AU306" s="45">
        <f t="shared" si="67"/>
        <v>43.27049407818447</v>
      </c>
      <c r="AV306" s="64">
        <f t="shared" si="68"/>
        <v>801.1177236917365</v>
      </c>
      <c r="AW306" s="64">
        <f t="shared" si="69"/>
        <v>764.49654608822505</v>
      </c>
      <c r="AX306" s="64">
        <f t="shared" si="70"/>
        <v>-153.22709823027932</v>
      </c>
      <c r="AY306" s="64">
        <f t="shared" si="71"/>
        <v>82.605779931562836</v>
      </c>
      <c r="AZ306" s="64">
        <f t="shared" si="72"/>
        <v>-953.1365724202559</v>
      </c>
      <c r="BA306" s="64">
        <f t="shared" si="73"/>
        <v>-803.83183194160335</v>
      </c>
      <c r="BB306" s="65">
        <f t="shared" si="74"/>
        <v>17645.664357636695</v>
      </c>
      <c r="BC306" s="65">
        <f t="shared" si="75"/>
        <v>30939.806328072551</v>
      </c>
      <c r="BD306" s="66">
        <f t="shared" si="76"/>
        <v>16004.208069187747</v>
      </c>
    </row>
    <row r="307" spans="31:56" x14ac:dyDescent="0.25">
      <c r="AE307" s="71">
        <v>245</v>
      </c>
      <c r="AF307" s="17">
        <v>2.7017696820872223</v>
      </c>
      <c r="AG307" s="18">
        <v>-27132.923872213651</v>
      </c>
      <c r="AH307" s="20">
        <v>12317.627457812103</v>
      </c>
      <c r="AN307" s="23">
        <v>302</v>
      </c>
      <c r="AO307" s="58">
        <v>151</v>
      </c>
      <c r="AP307" s="45">
        <f t="shared" si="77"/>
        <v>7289.0309831889626</v>
      </c>
      <c r="AQ307" s="45">
        <f t="shared" si="78"/>
        <v>-3849.9442219674993</v>
      </c>
      <c r="AR307" s="45">
        <f t="shared" si="79"/>
        <v>109.5307708820863</v>
      </c>
      <c r="AS307" s="45">
        <f t="shared" si="80"/>
        <v>1664.4704266388617</v>
      </c>
      <c r="AT307" s="45">
        <f t="shared" si="66"/>
        <v>-180.42860668669812</v>
      </c>
      <c r="AU307" s="45">
        <f t="shared" si="67"/>
        <v>48.003892261991837</v>
      </c>
      <c r="AV307" s="64">
        <f t="shared" si="68"/>
        <v>862.83809325261768</v>
      </c>
      <c r="AW307" s="64">
        <f t="shared" si="69"/>
        <v>770.44985461406941</v>
      </c>
      <c r="AX307" s="64">
        <f t="shared" si="70"/>
        <v>-158.41192489933212</v>
      </c>
      <c r="AY307" s="64">
        <f t="shared" si="71"/>
        <v>80.398469454699082</v>
      </c>
      <c r="AZ307" s="64">
        <f t="shared" si="72"/>
        <v>-884.85477503998368</v>
      </c>
      <c r="BA307" s="64">
        <f t="shared" si="73"/>
        <v>-802.8444318067767</v>
      </c>
      <c r="BB307" s="65">
        <f t="shared" si="74"/>
        <v>17040.832350214103</v>
      </c>
      <c r="BC307" s="65">
        <f t="shared" si="75"/>
        <v>30602.486287114942</v>
      </c>
      <c r="BD307" s="66">
        <f t="shared" si="76"/>
        <v>16593.49349471094</v>
      </c>
    </row>
    <row r="308" spans="31:56" x14ac:dyDescent="0.25">
      <c r="AE308" s="71">
        <v>246</v>
      </c>
      <c r="AF308" s="17">
        <v>2.7646015351590183</v>
      </c>
      <c r="AG308" s="18">
        <v>-27264.373708464733</v>
      </c>
      <c r="AH308" s="20">
        <v>11865.174153736411</v>
      </c>
      <c r="AN308" s="23">
        <v>303</v>
      </c>
      <c r="AO308" s="58">
        <v>151.5</v>
      </c>
      <c r="AP308" s="45">
        <f t="shared" si="77"/>
        <v>7298.6892169583307</v>
      </c>
      <c r="AQ308" s="45">
        <f t="shared" si="78"/>
        <v>-3005.7080355825706</v>
      </c>
      <c r="AR308" s="45">
        <f t="shared" si="79"/>
        <v>19.316467538737243</v>
      </c>
      <c r="AS308" s="45">
        <f t="shared" si="80"/>
        <v>1688.4723727698577</v>
      </c>
      <c r="AT308" s="45">
        <f t="shared" si="66"/>
        <v>-55.819100727778277</v>
      </c>
      <c r="AU308" s="45">
        <f t="shared" si="67"/>
        <v>46.126829035222386</v>
      </c>
      <c r="AV308" s="64">
        <f t="shared" si="68"/>
        <v>928.04758845342599</v>
      </c>
      <c r="AW308" s="64">
        <f t="shared" si="69"/>
        <v>767.62132459869883</v>
      </c>
      <c r="AX308" s="64">
        <f t="shared" si="70"/>
        <v>-163.96342183294985</v>
      </c>
      <c r="AY308" s="64">
        <f t="shared" si="71"/>
        <v>78.115852960064331</v>
      </c>
      <c r="AZ308" s="64">
        <f t="shared" si="72"/>
        <v>-819.90326734825442</v>
      </c>
      <c r="BA308" s="64">
        <f t="shared" si="73"/>
        <v>-799.61034852354078</v>
      </c>
      <c r="BB308" s="65">
        <f t="shared" si="74"/>
        <v>16483.118544022997</v>
      </c>
      <c r="BC308" s="65">
        <f t="shared" si="75"/>
        <v>30238.499871370837</v>
      </c>
      <c r="BD308" s="66">
        <f t="shared" si="76"/>
        <v>17179.080190249289</v>
      </c>
    </row>
    <row r="309" spans="31:56" x14ac:dyDescent="0.25">
      <c r="AE309" s="71">
        <v>247</v>
      </c>
      <c r="AF309" s="17">
        <v>2.8274333882308142</v>
      </c>
      <c r="AG309" s="18">
        <v>-27367.154380465166</v>
      </c>
      <c r="AH309" s="20">
        <v>11405.359859392935</v>
      </c>
      <c r="AN309" s="23">
        <v>304</v>
      </c>
      <c r="AO309" s="58">
        <v>152</v>
      </c>
      <c r="AP309" s="45">
        <f t="shared" si="77"/>
        <v>7294.3926755457551</v>
      </c>
      <c r="AQ309" s="45">
        <f t="shared" si="78"/>
        <v>-2149.9401419388364</v>
      </c>
      <c r="AR309" s="45">
        <f t="shared" si="79"/>
        <v>-8.593082825151896</v>
      </c>
      <c r="AS309" s="45">
        <f t="shared" si="80"/>
        <v>1711.5357872874688</v>
      </c>
      <c r="AT309" s="45">
        <f t="shared" si="66"/>
        <v>68.893961352950782</v>
      </c>
      <c r="AU309" s="45">
        <f t="shared" si="67"/>
        <v>40.159317669054985</v>
      </c>
      <c r="AV309" s="64">
        <f t="shared" si="68"/>
        <v>996.48514916318425</v>
      </c>
      <c r="AW309" s="64">
        <f t="shared" si="69"/>
        <v>756.83293180704095</v>
      </c>
      <c r="AX309" s="64">
        <f t="shared" si="70"/>
        <v>-169.65360837904461</v>
      </c>
      <c r="AY309" s="64">
        <f t="shared" si="71"/>
        <v>75.520316981301349</v>
      </c>
      <c r="AZ309" s="64">
        <f t="shared" si="72"/>
        <v>-757.93757943118885</v>
      </c>
      <c r="BA309" s="64">
        <f t="shared" si="73"/>
        <v>-792.1939311192873</v>
      </c>
      <c r="BB309" s="65">
        <f t="shared" si="74"/>
        <v>15954.742311495598</v>
      </c>
      <c r="BC309" s="65">
        <f t="shared" si="75"/>
        <v>29876.494389060816</v>
      </c>
      <c r="BD309" s="66">
        <f t="shared" si="76"/>
        <v>17784.153890929647</v>
      </c>
    </row>
    <row r="310" spans="31:56" x14ac:dyDescent="0.25">
      <c r="AE310" s="71">
        <v>248</v>
      </c>
      <c r="AF310" s="17">
        <v>2.8902652413026098</v>
      </c>
      <c r="AG310" s="18">
        <v>-27440.860259858586</v>
      </c>
      <c r="AH310" s="20">
        <v>10939.999251732281</v>
      </c>
      <c r="AN310" s="23">
        <v>305</v>
      </c>
      <c r="AO310" s="58">
        <v>152.5</v>
      </c>
      <c r="AP310" s="45">
        <f t="shared" si="77"/>
        <v>7307.3196244714172</v>
      </c>
      <c r="AQ310" s="45">
        <f t="shared" si="78"/>
        <v>-1284.1324188778383</v>
      </c>
      <c r="AR310" s="45">
        <f t="shared" si="79"/>
        <v>25.853897851323495</v>
      </c>
      <c r="AS310" s="45">
        <f t="shared" si="80"/>
        <v>1731.6154461219962</v>
      </c>
      <c r="AT310" s="45">
        <f t="shared" si="66"/>
        <v>193.89313923267059</v>
      </c>
      <c r="AU310" s="45">
        <f t="shared" si="67"/>
        <v>32.481183282777693</v>
      </c>
      <c r="AV310" s="64">
        <f t="shared" si="68"/>
        <v>1068.2333783125991</v>
      </c>
      <c r="AW310" s="64">
        <f t="shared" si="69"/>
        <v>739.28462481844554</v>
      </c>
      <c r="AX310" s="64">
        <f t="shared" si="70"/>
        <v>-175.17025009865338</v>
      </c>
      <c r="AY310" s="64">
        <f t="shared" si="71"/>
        <v>72.385145270346726</v>
      </c>
      <c r="AZ310" s="64">
        <f t="shared" si="72"/>
        <v>-699.1699889812752</v>
      </c>
      <c r="BA310" s="64">
        <f t="shared" si="73"/>
        <v>-779.18858680601454</v>
      </c>
      <c r="BB310" s="65">
        <f t="shared" si="74"/>
        <v>15435.838735478843</v>
      </c>
      <c r="BC310" s="65">
        <f t="shared" si="75"/>
        <v>29546.934689063964</v>
      </c>
      <c r="BD310" s="66">
        <f t="shared" si="76"/>
        <v>18428.107332056028</v>
      </c>
    </row>
    <row r="311" spans="31:56" x14ac:dyDescent="0.25">
      <c r="AE311" s="71">
        <v>249</v>
      </c>
      <c r="AF311" s="17">
        <v>2.9530970943744057</v>
      </c>
      <c r="AG311" s="18">
        <v>-27485.200463212037</v>
      </c>
      <c r="AH311" s="20">
        <v>10470.928896469848</v>
      </c>
      <c r="AN311" s="23">
        <v>306</v>
      </c>
      <c r="AO311" s="58">
        <v>153</v>
      </c>
      <c r="AP311" s="45">
        <f t="shared" si="77"/>
        <v>7368.719858205247</v>
      </c>
      <c r="AQ311" s="45">
        <f t="shared" si="78"/>
        <v>-410.20439999614575</v>
      </c>
      <c r="AR311" s="45">
        <f t="shared" si="79"/>
        <v>122.80046746765879</v>
      </c>
      <c r="AS311" s="45">
        <f t="shared" si="80"/>
        <v>1747.8560377633851</v>
      </c>
      <c r="AT311" s="45">
        <f t="shared" si="66"/>
        <v>319.75627130366217</v>
      </c>
      <c r="AU311" s="45">
        <f t="shared" si="67"/>
        <v>25.145352929312708</v>
      </c>
      <c r="AV311" s="64">
        <f t="shared" si="68"/>
        <v>1143.9796468695486</v>
      </c>
      <c r="AW311" s="64">
        <f t="shared" si="69"/>
        <v>716.40504640789084</v>
      </c>
      <c r="AX311" s="64">
        <f t="shared" si="70"/>
        <v>-180.11653966562614</v>
      </c>
      <c r="AY311" s="64">
        <f t="shared" si="71"/>
        <v>68.510694086301385</v>
      </c>
      <c r="AZ311" s="64">
        <f t="shared" si="72"/>
        <v>-644.10683590026031</v>
      </c>
      <c r="BA311" s="64">
        <f t="shared" si="73"/>
        <v>-759.77038756487957</v>
      </c>
      <c r="BB311" s="65">
        <f t="shared" si="74"/>
        <v>14903.709996850343</v>
      </c>
      <c r="BC311" s="65">
        <f t="shared" si="75"/>
        <v>29281.720959100359</v>
      </c>
      <c r="BD311" s="66">
        <f t="shared" si="76"/>
        <v>19127.136915405106</v>
      </c>
    </row>
    <row r="312" spans="31:56" x14ac:dyDescent="0.25">
      <c r="AE312" s="71">
        <v>250</v>
      </c>
      <c r="AF312" s="17">
        <v>3.0159289474462017</v>
      </c>
      <c r="AG312" s="18">
        <v>-27500</v>
      </c>
      <c r="AH312" s="20">
        <v>9999.9999999999982</v>
      </c>
      <c r="AN312" s="23">
        <v>307</v>
      </c>
      <c r="AO312" s="58">
        <v>153.5</v>
      </c>
      <c r="AP312" s="45">
        <f t="shared" si="77"/>
        <v>7510.0591597649918</v>
      </c>
      <c r="AQ312" s="45">
        <f t="shared" si="78"/>
        <v>470.00995711787493</v>
      </c>
      <c r="AR312" s="45">
        <f t="shared" si="79"/>
        <v>282.67860311948988</v>
      </c>
      <c r="AS312" s="45">
        <f t="shared" si="80"/>
        <v>1760.4287142280414</v>
      </c>
      <c r="AT312" s="45">
        <f t="shared" si="66"/>
        <v>447.906865865447</v>
      </c>
      <c r="AU312" s="45">
        <f t="shared" si="67"/>
        <v>19.698357200877012</v>
      </c>
      <c r="AV312" s="64">
        <f t="shared" si="68"/>
        <v>1225.2200978585138</v>
      </c>
      <c r="AW312" s="64">
        <f t="shared" si="69"/>
        <v>689.61776508481432</v>
      </c>
      <c r="AX312" s="64">
        <f t="shared" si="70"/>
        <v>-184.021548174445</v>
      </c>
      <c r="AY312" s="64">
        <f t="shared" si="71"/>
        <v>63.748446035446321</v>
      </c>
      <c r="AZ312" s="64">
        <f t="shared" si="72"/>
        <v>-593.29168381862189</v>
      </c>
      <c r="BA312" s="64">
        <f t="shared" si="73"/>
        <v>-733.66785391938367</v>
      </c>
      <c r="BB312" s="65">
        <f t="shared" si="74"/>
        <v>14332.459042173894</v>
      </c>
      <c r="BC312" s="65">
        <f t="shared" si="75"/>
        <v>29113.984014407957</v>
      </c>
      <c r="BD312" s="66">
        <f t="shared" si="76"/>
        <v>19895.295631232679</v>
      </c>
    </row>
    <row r="313" spans="31:56" x14ac:dyDescent="0.25">
      <c r="AE313" s="71">
        <v>251</v>
      </c>
      <c r="AF313" s="17">
        <v>3.0787608005179976</v>
      </c>
      <c r="AG313" s="18">
        <v>-27485.200463212037</v>
      </c>
      <c r="AH313" s="20">
        <v>9529.0711035301501</v>
      </c>
      <c r="AN313" s="23">
        <v>308</v>
      </c>
      <c r="AO313" s="58">
        <v>154</v>
      </c>
      <c r="AP313" s="45">
        <f t="shared" si="77"/>
        <v>7763.3751777910984</v>
      </c>
      <c r="AQ313" s="45">
        <f t="shared" si="78"/>
        <v>1355.1489035321149</v>
      </c>
      <c r="AR313" s="45">
        <f t="shared" si="79"/>
        <v>506.63203605221338</v>
      </c>
      <c r="AS313" s="45">
        <f t="shared" si="80"/>
        <v>1770.2778928284799</v>
      </c>
      <c r="AT313" s="45">
        <f t="shared" si="66"/>
        <v>580.90274896745393</v>
      </c>
      <c r="AU313" s="45">
        <f t="shared" si="67"/>
        <v>17.005241478859602</v>
      </c>
      <c r="AV313" s="64">
        <f t="shared" si="68"/>
        <v>1314.3670899922367</v>
      </c>
      <c r="AW313" s="64">
        <f t="shared" si="69"/>
        <v>660.03413289598177</v>
      </c>
      <c r="AX313" s="64">
        <f t="shared" si="70"/>
        <v>-186.36591422125358</v>
      </c>
      <c r="AY313" s="64">
        <f t="shared" si="71"/>
        <v>58.029888930385653</v>
      </c>
      <c r="AZ313" s="64">
        <f t="shared" si="72"/>
        <v>-547.09842680352915</v>
      </c>
      <c r="BA313" s="64">
        <f t="shared" si="73"/>
        <v>-701.05878034750788</v>
      </c>
      <c r="BB313" s="65">
        <f t="shared" si="74"/>
        <v>13692.851494019118</v>
      </c>
      <c r="BC313" s="65">
        <f t="shared" si="75"/>
        <v>29078.143884073634</v>
      </c>
      <c r="BD313" s="66">
        <f t="shared" si="76"/>
        <v>20745.954824634169</v>
      </c>
    </row>
    <row r="314" spans="31:56" x14ac:dyDescent="0.25">
      <c r="AE314" s="71">
        <v>252</v>
      </c>
      <c r="AF314" s="17">
        <v>3.1415926535897936</v>
      </c>
      <c r="AG314" s="18">
        <v>-27440.860259858586</v>
      </c>
      <c r="AH314" s="20">
        <v>9060.0007482677174</v>
      </c>
      <c r="AN314" s="23">
        <v>309</v>
      </c>
      <c r="AO314" s="58">
        <v>154.5</v>
      </c>
      <c r="AP314" s="45">
        <f t="shared" si="77"/>
        <v>8161.9168830590688</v>
      </c>
      <c r="AQ314" s="45">
        <f t="shared" si="78"/>
        <v>2244.5391603160697</v>
      </c>
      <c r="AR314" s="45">
        <f t="shared" si="79"/>
        <v>797.0834105359404</v>
      </c>
      <c r="AS314" s="45">
        <f t="shared" si="80"/>
        <v>1778.7805135679098</v>
      </c>
      <c r="AT314" s="45">
        <f t="shared" si="66"/>
        <v>722.46263824155255</v>
      </c>
      <c r="AU314" s="45">
        <f t="shared" si="67"/>
        <v>17.007953978911928</v>
      </c>
      <c r="AV314" s="64">
        <f t="shared" si="68"/>
        <v>1414.6899303802029</v>
      </c>
      <c r="AW314" s="64">
        <f t="shared" si="69"/>
        <v>628.04488327748572</v>
      </c>
      <c r="AX314" s="64">
        <f t="shared" si="70"/>
        <v>-186.62563907275543</v>
      </c>
      <c r="AY314" s="64">
        <f t="shared" si="71"/>
        <v>51.394507040123138</v>
      </c>
      <c r="AZ314" s="64">
        <f t="shared" si="72"/>
        <v>-505.60165306589499</v>
      </c>
      <c r="BA314" s="64">
        <f t="shared" si="73"/>
        <v>-662.43143633869693</v>
      </c>
      <c r="BB314" s="65">
        <f t="shared" si="74"/>
        <v>12952.222995341504</v>
      </c>
      <c r="BC314" s="65">
        <f t="shared" si="75"/>
        <v>29210.284753220025</v>
      </c>
      <c r="BD314" s="66">
        <f t="shared" si="76"/>
        <v>21693.55173520993</v>
      </c>
    </row>
    <row r="315" spans="31:56" x14ac:dyDescent="0.25">
      <c r="AE315" s="71">
        <v>253</v>
      </c>
      <c r="AF315" s="17">
        <v>3.2044245066615891</v>
      </c>
      <c r="AG315" s="18">
        <v>-27367.154380465166</v>
      </c>
      <c r="AH315" s="20">
        <v>8594.6401406070636</v>
      </c>
      <c r="AN315" s="23">
        <v>310</v>
      </c>
      <c r="AO315" s="58">
        <v>155</v>
      </c>
      <c r="AP315" s="45">
        <f t="shared" si="77"/>
        <v>8741.0742478874272</v>
      </c>
      <c r="AQ315" s="45">
        <f t="shared" si="78"/>
        <v>3138.1814055947525</v>
      </c>
      <c r="AR315" s="45">
        <f t="shared" si="79"/>
        <v>1158.3147296567167</v>
      </c>
      <c r="AS315" s="45">
        <f t="shared" si="80"/>
        <v>1787.2844905573656</v>
      </c>
      <c r="AT315" s="45">
        <f t="shared" si="66"/>
        <v>876.99967507640054</v>
      </c>
      <c r="AU315" s="45">
        <f t="shared" si="67"/>
        <v>18.236010407909362</v>
      </c>
      <c r="AV315" s="64">
        <f t="shared" si="68"/>
        <v>1529.8619972674635</v>
      </c>
      <c r="AW315" s="64">
        <f t="shared" si="69"/>
        <v>592.68358753525717</v>
      </c>
      <c r="AX315" s="64">
        <f t="shared" si="70"/>
        <v>-184.33370594593913</v>
      </c>
      <c r="AY315" s="64">
        <f t="shared" si="71"/>
        <v>44.008948313003515</v>
      </c>
      <c r="AZ315" s="64">
        <f t="shared" si="72"/>
        <v>-468.52861624512394</v>
      </c>
      <c r="BA315" s="64">
        <f t="shared" si="73"/>
        <v>-618.45652544035136</v>
      </c>
      <c r="BB315" s="65">
        <f t="shared" si="74"/>
        <v>12074.306213695387</v>
      </c>
      <c r="BC315" s="65">
        <f t="shared" si="75"/>
        <v>29548.839289303793</v>
      </c>
      <c r="BD315" s="66">
        <f t="shared" si="76"/>
        <v>22755.455306106673</v>
      </c>
    </row>
    <row r="316" spans="31:56" x14ac:dyDescent="0.25">
      <c r="AE316" s="71">
        <v>254</v>
      </c>
      <c r="AF316" s="17">
        <v>3.267256359733385</v>
      </c>
      <c r="AG316" s="18">
        <v>-27264.373708464733</v>
      </c>
      <c r="AH316" s="20">
        <v>8134.8258462635877</v>
      </c>
      <c r="AN316" s="23">
        <v>311</v>
      </c>
      <c r="AO316" s="58">
        <v>155.5</v>
      </c>
      <c r="AP316" s="45">
        <f t="shared" si="77"/>
        <v>9539.4815314848875</v>
      </c>
      <c r="AQ316" s="45">
        <f t="shared" si="78"/>
        <v>4036.3826534754126</v>
      </c>
      <c r="AR316" s="45">
        <f t="shared" si="79"/>
        <v>1596.8145671949169</v>
      </c>
      <c r="AS316" s="45">
        <f t="shared" si="80"/>
        <v>1796.4024957613203</v>
      </c>
      <c r="AT316" s="45">
        <f t="shared" si="66"/>
        <v>1047.939786428396</v>
      </c>
      <c r="AU316" s="45">
        <f t="shared" si="67"/>
        <v>16.694791108657682</v>
      </c>
      <c r="AV316" s="64">
        <f t="shared" si="68"/>
        <v>1662.375904802909</v>
      </c>
      <c r="AW316" s="64">
        <f t="shared" si="69"/>
        <v>550.43486015059784</v>
      </c>
      <c r="AX316" s="64">
        <f t="shared" si="70"/>
        <v>-179.15483412070387</v>
      </c>
      <c r="AY316" s="64">
        <f t="shared" si="71"/>
        <v>36.168910931533802</v>
      </c>
      <c r="AZ316" s="64">
        <f t="shared" si="72"/>
        <v>-435.28128425380925</v>
      </c>
      <c r="BA316" s="64">
        <f t="shared" si="73"/>
        <v>-569.90897997347395</v>
      </c>
      <c r="BB316" s="65">
        <f t="shared" si="74"/>
        <v>11019.033158734563</v>
      </c>
      <c r="BC316" s="65">
        <f t="shared" si="75"/>
        <v>30135.455878494784</v>
      </c>
      <c r="BD316" s="66">
        <f t="shared" si="76"/>
        <v>23953.713443512879</v>
      </c>
    </row>
    <row r="317" spans="31:56" x14ac:dyDescent="0.25">
      <c r="AE317" s="71">
        <v>255</v>
      </c>
      <c r="AF317" s="17">
        <v>3.330088212805181</v>
      </c>
      <c r="AG317" s="18">
        <v>-27132.923872213651</v>
      </c>
      <c r="AH317" s="20">
        <v>7682.3725421878917</v>
      </c>
      <c r="AN317" s="23">
        <v>312</v>
      </c>
      <c r="AO317" s="58">
        <v>156</v>
      </c>
      <c r="AP317" s="45">
        <f t="shared" si="77"/>
        <v>10599.873761689445</v>
      </c>
      <c r="AQ317" s="45">
        <f t="shared" si="78"/>
        <v>4938.7575991332369</v>
      </c>
      <c r="AR317" s="45">
        <f t="shared" si="79"/>
        <v>2120.7844604091151</v>
      </c>
      <c r="AS317" s="45">
        <f t="shared" si="80"/>
        <v>1804.7498913156492</v>
      </c>
      <c r="AT317" s="45">
        <f t="shared" si="66"/>
        <v>1232.6092470554249</v>
      </c>
      <c r="AU317" s="45">
        <f t="shared" si="67"/>
        <v>3.3974414575504852</v>
      </c>
      <c r="AV317" s="64">
        <f t="shared" si="68"/>
        <v>1808.5890510101137</v>
      </c>
      <c r="AW317" s="64">
        <f t="shared" si="69"/>
        <v>492.78433563069007</v>
      </c>
      <c r="AX317" s="64">
        <f t="shared" si="70"/>
        <v>-170.96451327300025</v>
      </c>
      <c r="AY317" s="64">
        <f t="shared" si="71"/>
        <v>28.277660566828555</v>
      </c>
      <c r="AZ317" s="64">
        <f t="shared" si="72"/>
        <v>-405.01529068168867</v>
      </c>
      <c r="BA317" s="64">
        <f t="shared" si="73"/>
        <v>-517.66455473996814</v>
      </c>
      <c r="BB317" s="65">
        <f t="shared" si="74"/>
        <v>9742.809447596328</v>
      </c>
      <c r="BC317" s="65">
        <f t="shared" si="75"/>
        <v>31015.616209768614</v>
      </c>
      <c r="BD317" s="66">
        <f t="shared" si="76"/>
        <v>25316.202637394897</v>
      </c>
    </row>
    <row r="318" spans="31:56" x14ac:dyDescent="0.25">
      <c r="AE318" s="71">
        <v>256</v>
      </c>
      <c r="AF318" s="17">
        <v>3.3929200658769769</v>
      </c>
      <c r="AG318" s="18">
        <v>-26973.323644161886</v>
      </c>
      <c r="AH318" s="20">
        <v>7239.0658548649126</v>
      </c>
      <c r="AN318" s="23">
        <v>313</v>
      </c>
      <c r="AO318" s="58">
        <v>156.5</v>
      </c>
      <c r="AP318" s="45">
        <f t="shared" si="77"/>
        <v>11968.418303657858</v>
      </c>
      <c r="AQ318" s="45">
        <f t="shared" si="78"/>
        <v>5841.9819051554487</v>
      </c>
      <c r="AR318" s="45">
        <f t="shared" si="79"/>
        <v>2737.0890839368276</v>
      </c>
      <c r="AS318" s="45">
        <f t="shared" si="80"/>
        <v>1806.4486120444244</v>
      </c>
      <c r="AT318" s="45">
        <f t="shared" si="66"/>
        <v>1407.4522389082986</v>
      </c>
      <c r="AU318" s="45">
        <f t="shared" si="67"/>
        <v>-40.640120518143249</v>
      </c>
      <c r="AV318" s="64">
        <f t="shared" si="68"/>
        <v>1944.149954476896</v>
      </c>
      <c r="AW318" s="64">
        <f t="shared" si="69"/>
        <v>401.34508064357584</v>
      </c>
      <c r="AX318" s="64">
        <f t="shared" si="70"/>
        <v>-159.92250142558342</v>
      </c>
      <c r="AY318" s="64">
        <f t="shared" si="71"/>
        <v>20.800549103935303</v>
      </c>
      <c r="AZ318" s="64">
        <f t="shared" si="72"/>
        <v>-376.7752141430139</v>
      </c>
      <c r="BA318" s="64">
        <f t="shared" si="73"/>
        <v>-462.78575026565437</v>
      </c>
      <c r="BB318" s="65">
        <f t="shared" si="74"/>
        <v>8200.9346142894028</v>
      </c>
      <c r="BC318" s="65">
        <f t="shared" si="75"/>
        <v>32237.693517289685</v>
      </c>
      <c r="BD318" s="66">
        <f t="shared" si="76"/>
        <v>26875.926578682604</v>
      </c>
    </row>
    <row r="319" spans="31:56" x14ac:dyDescent="0.25">
      <c r="AE319" s="71">
        <v>257</v>
      </c>
      <c r="AF319" s="17">
        <v>3.4557519189487729</v>
      </c>
      <c r="AG319" s="18">
        <v>-26786.202893495145</v>
      </c>
      <c r="AH319" s="20">
        <v>6806.6553132619556</v>
      </c>
      <c r="AN319" s="23">
        <v>314</v>
      </c>
      <c r="AO319" s="58">
        <v>157</v>
      </c>
      <c r="AP319" s="45">
        <f t="shared" si="77"/>
        <v>13688.825905353347</v>
      </c>
      <c r="AQ319" s="45">
        <f t="shared" si="78"/>
        <v>6735.0461810481256</v>
      </c>
      <c r="AR319" s="45">
        <f t="shared" si="79"/>
        <v>3440.8152033909769</v>
      </c>
      <c r="AS319" s="45">
        <f t="shared" si="80"/>
        <v>1786.1285517853528</v>
      </c>
      <c r="AT319" s="45">
        <f t="shared" si="66"/>
        <v>1489.7735863340806</v>
      </c>
      <c r="AU319" s="45">
        <f t="shared" si="67"/>
        <v>-151.79125463925072</v>
      </c>
      <c r="AV319" s="64">
        <f t="shared" si="68"/>
        <v>1986.0196865604439</v>
      </c>
      <c r="AW319" s="64">
        <f t="shared" si="69"/>
        <v>240.71802187118615</v>
      </c>
      <c r="AX319" s="64">
        <f t="shared" si="70"/>
        <v>-146.53674318403759</v>
      </c>
      <c r="AY319" s="64">
        <f t="shared" si="71"/>
        <v>14.201613930376462</v>
      </c>
      <c r="AZ319" s="64">
        <f t="shared" si="72"/>
        <v>-349.70935704232585</v>
      </c>
      <c r="BA319" s="64">
        <f t="shared" si="73"/>
        <v>-406.71089044081333</v>
      </c>
      <c r="BB319" s="65">
        <f t="shared" si="74"/>
        <v>6357.3636672812772</v>
      </c>
      <c r="BC319" s="65">
        <f t="shared" si="75"/>
        <v>33846.667698919715</v>
      </c>
      <c r="BD319" s="66">
        <f t="shared" si="76"/>
        <v>28665.038744311878</v>
      </c>
    </row>
    <row r="320" spans="31:56" x14ac:dyDescent="0.25">
      <c r="AE320" s="71">
        <v>258</v>
      </c>
      <c r="AF320" s="17">
        <v>3.5185837720205688</v>
      </c>
      <c r="AG320" s="18">
        <v>-26572.300100328976</v>
      </c>
      <c r="AH320" s="20">
        <v>6386.8474442371353</v>
      </c>
      <c r="AN320" s="23">
        <v>315</v>
      </c>
      <c r="AO320" s="58">
        <v>157.5</v>
      </c>
      <c r="AP320" s="45">
        <f t="shared" si="77"/>
        <v>15781.676903632355</v>
      </c>
      <c r="AQ320" s="45">
        <f t="shared" si="78"/>
        <v>7590.162643280989</v>
      </c>
      <c r="AR320" s="45">
        <f t="shared" si="79"/>
        <v>4185.7019965580175</v>
      </c>
      <c r="AS320" s="45">
        <f t="shared" si="80"/>
        <v>1710.2329244657274</v>
      </c>
      <c r="AT320" s="45">
        <f t="shared" si="66"/>
        <v>1272.3209959856779</v>
      </c>
      <c r="AU320" s="45">
        <f t="shared" si="67"/>
        <v>-379.60808398058629</v>
      </c>
      <c r="AV320" s="64">
        <f t="shared" si="68"/>
        <v>1727.4574996945835</v>
      </c>
      <c r="AW320" s="64">
        <f t="shared" si="69"/>
        <v>-36.922760720284423</v>
      </c>
      <c r="AX320" s="64">
        <f t="shared" si="70"/>
        <v>-131.72412139063525</v>
      </c>
      <c r="AY320" s="64">
        <f t="shared" si="71"/>
        <v>8.8714039133229825</v>
      </c>
      <c r="AZ320" s="64">
        <f t="shared" si="72"/>
        <v>-323.41238231827032</v>
      </c>
      <c r="BA320" s="64">
        <f t="shared" si="73"/>
        <v>-351.55672717362484</v>
      </c>
      <c r="BB320" s="65">
        <f t="shared" si="74"/>
        <v>4219.2865567050712</v>
      </c>
      <c r="BC320" s="65">
        <f t="shared" si="75"/>
        <v>35862.73439270597</v>
      </c>
      <c r="BD320" s="66">
        <f t="shared" si="76"/>
        <v>30695.171333238301</v>
      </c>
    </row>
    <row r="321" spans="31:56" x14ac:dyDescent="0.25">
      <c r="AE321" s="71">
        <v>259</v>
      </c>
      <c r="AF321" s="17">
        <v>3.5814156250923643</v>
      </c>
      <c r="AG321" s="18">
        <v>-26332.459441265113</v>
      </c>
      <c r="AH321" s="20">
        <v>5981.2990376575244</v>
      </c>
      <c r="AN321" s="23">
        <v>316</v>
      </c>
      <c r="AO321" s="58">
        <v>158</v>
      </c>
      <c r="AP321" s="45">
        <f t="shared" si="77"/>
        <v>18192.608150907781</v>
      </c>
      <c r="AQ321" s="45">
        <f t="shared" si="78"/>
        <v>8350.3770845187064</v>
      </c>
      <c r="AR321" s="45">
        <f t="shared" si="79"/>
        <v>4821.8624945508564</v>
      </c>
      <c r="AS321" s="45">
        <f t="shared" si="80"/>
        <v>1520.4288824754342</v>
      </c>
      <c r="AT321" s="45">
        <f t="shared" si="66"/>
        <v>477.16113274234289</v>
      </c>
      <c r="AU321" s="45">
        <f t="shared" si="67"/>
        <v>-715.25940339333727</v>
      </c>
      <c r="AV321" s="64">
        <f t="shared" si="68"/>
        <v>892.41073666102648</v>
      </c>
      <c r="AW321" s="64">
        <f t="shared" si="69"/>
        <v>-419.87886623266172</v>
      </c>
      <c r="AX321" s="64">
        <f t="shared" si="70"/>
        <v>-116.85184448698986</v>
      </c>
      <c r="AY321" s="64">
        <f t="shared" si="71"/>
        <v>5.0470886832433655</v>
      </c>
      <c r="AZ321" s="64">
        <f t="shared" si="72"/>
        <v>-298.39775943169371</v>
      </c>
      <c r="BA321" s="64">
        <f t="shared" si="73"/>
        <v>-300.42762584391892</v>
      </c>
      <c r="BB321" s="65">
        <f t="shared" si="74"/>
        <v>1997.4499948783512</v>
      </c>
      <c r="BC321" s="65">
        <f t="shared" si="75"/>
        <v>38228.216975580595</v>
      </c>
      <c r="BD321" s="66">
        <f t="shared" si="76"/>
        <v>32911.04955529025</v>
      </c>
    </row>
    <row r="322" spans="31:56" x14ac:dyDescent="0.25">
      <c r="AE322" s="71">
        <v>260</v>
      </c>
      <c r="AF322" s="17">
        <v>3.6442474781641603</v>
      </c>
      <c r="AG322" s="18">
        <v>-26067.627457812105</v>
      </c>
      <c r="AH322" s="20">
        <v>5591.6106078064495</v>
      </c>
      <c r="AN322" s="23">
        <v>317</v>
      </c>
      <c r="AO322" s="58">
        <v>158.5</v>
      </c>
      <c r="AP322" s="45">
        <f t="shared" si="77"/>
        <v>20722.829681368796</v>
      </c>
      <c r="AQ322" s="45">
        <f t="shared" si="78"/>
        <v>8931.7766749080893</v>
      </c>
      <c r="AR322" s="45">
        <f t="shared" si="79"/>
        <v>5060.4430609220281</v>
      </c>
      <c r="AS322" s="45">
        <f t="shared" si="80"/>
        <v>1162.7991807787655</v>
      </c>
      <c r="AT322" s="45">
        <f t="shared" si="66"/>
        <v>-744.19590723265674</v>
      </c>
      <c r="AU322" s="45">
        <f t="shared" si="67"/>
        <v>-976.00282791367272</v>
      </c>
      <c r="AV322" s="64">
        <f t="shared" si="68"/>
        <v>-364.32451646401671</v>
      </c>
      <c r="AW322" s="64">
        <f t="shared" si="69"/>
        <v>-721.65180569584982</v>
      </c>
      <c r="AX322" s="64">
        <f t="shared" si="70"/>
        <v>-103.56476985722038</v>
      </c>
      <c r="AY322" s="64">
        <f t="shared" si="71"/>
        <v>2.7166654106522761</v>
      </c>
      <c r="AZ322" s="64">
        <f t="shared" si="72"/>
        <v>-276.3066209114196</v>
      </c>
      <c r="BA322" s="64">
        <f t="shared" si="73"/>
        <v>-257.06768762847514</v>
      </c>
      <c r="BB322" s="65">
        <f t="shared" si="74"/>
        <v>1603.8912666008812</v>
      </c>
      <c r="BC322" s="65">
        <f t="shared" si="75"/>
        <v>40736.837853839876</v>
      </c>
      <c r="BD322" s="66">
        <f t="shared" si="76"/>
        <v>35133.942301347037</v>
      </c>
    </row>
    <row r="323" spans="31:56" x14ac:dyDescent="0.25">
      <c r="AE323" s="71">
        <v>261</v>
      </c>
      <c r="AF323" s="17">
        <v>3.7070793312359562</v>
      </c>
      <c r="AG323" s="18">
        <v>-25778.849320818419</v>
      </c>
      <c r="AH323" s="20">
        <v>5219.3200768848255</v>
      </c>
      <c r="AN323" s="23">
        <v>318</v>
      </c>
      <c r="AO323" s="58">
        <v>159</v>
      </c>
      <c r="AP323" s="45">
        <f t="shared" si="77"/>
        <v>23067.002235021646</v>
      </c>
      <c r="AQ323" s="45">
        <f t="shared" si="78"/>
        <v>9269.1755583190534</v>
      </c>
      <c r="AR323" s="45">
        <f t="shared" si="79"/>
        <v>4688.3451073056995</v>
      </c>
      <c r="AS323" s="45">
        <f t="shared" si="80"/>
        <v>674.79776682192914</v>
      </c>
      <c r="AT323" s="45">
        <f t="shared" si="66"/>
        <v>-1697.1923768838724</v>
      </c>
      <c r="AU323" s="45">
        <f t="shared" si="67"/>
        <v>-998.28331778590132</v>
      </c>
      <c r="AV323" s="64">
        <f t="shared" si="68"/>
        <v>-1345.1561338850149</v>
      </c>
      <c r="AW323" s="64">
        <f t="shared" si="69"/>
        <v>-775.94249101534308</v>
      </c>
      <c r="AX323" s="64">
        <f t="shared" si="70"/>
        <v>-93.075218681935084</v>
      </c>
      <c r="AY323" s="64">
        <f t="shared" si="71"/>
        <v>1.5794376482568993</v>
      </c>
      <c r="AZ323" s="64">
        <f t="shared" si="72"/>
        <v>-258.96102431692248</v>
      </c>
      <c r="BA323" s="64">
        <f t="shared" si="73"/>
        <v>-223.92026441881507</v>
      </c>
      <c r="BB323" s="65">
        <f t="shared" si="74"/>
        <v>3540.689885570509</v>
      </c>
      <c r="BC323" s="65">
        <f t="shared" si="75"/>
        <v>43073.202642430915</v>
      </c>
      <c r="BD323" s="66">
        <f t="shared" si="76"/>
        <v>37104.575145677401</v>
      </c>
    </row>
    <row r="324" spans="31:56" x14ac:dyDescent="0.25">
      <c r="AE324" s="71">
        <v>262</v>
      </c>
      <c r="AF324" s="17">
        <v>3.7699111843077522</v>
      </c>
      <c r="AG324" s="18">
        <v>-25467.264705660586</v>
      </c>
      <c r="AH324" s="20">
        <v>4865.8967055348348</v>
      </c>
      <c r="AN324" s="23">
        <v>319</v>
      </c>
      <c r="AO324" s="58">
        <v>159.5</v>
      </c>
      <c r="AP324" s="45">
        <f t="shared" si="77"/>
        <v>24986.876694453527</v>
      </c>
      <c r="AQ324" s="45">
        <f t="shared" si="78"/>
        <v>9357.0036122835427</v>
      </c>
      <c r="AR324" s="45">
        <f t="shared" si="79"/>
        <v>3839.7489188637633</v>
      </c>
      <c r="AS324" s="45">
        <f t="shared" si="80"/>
        <v>175.65610792897849</v>
      </c>
      <c r="AT324" s="45">
        <f t="shared" si="66"/>
        <v>-2129.0398672345627</v>
      </c>
      <c r="AU324" s="45">
        <f t="shared" si="67"/>
        <v>-868.39445424418534</v>
      </c>
      <c r="AV324" s="64">
        <f t="shared" si="68"/>
        <v>-1796.382921066509</v>
      </c>
      <c r="AW324" s="64">
        <f t="shared" si="69"/>
        <v>-668.93363879944968</v>
      </c>
      <c r="AX324" s="64">
        <f t="shared" si="70"/>
        <v>-85.586756169409128</v>
      </c>
      <c r="AY324" s="64">
        <f t="shared" si="71"/>
        <v>1.2232895256781458</v>
      </c>
      <c r="AZ324" s="64">
        <f t="shared" si="72"/>
        <v>-247.07018999864459</v>
      </c>
      <c r="BA324" s="64">
        <f t="shared" si="73"/>
        <v>-200.68410497041384</v>
      </c>
      <c r="BB324" s="65">
        <f t="shared" si="74"/>
        <v>5321.4097363121609</v>
      </c>
      <c r="BC324" s="65">
        <f t="shared" si="75"/>
        <v>44991.471626038001</v>
      </c>
      <c r="BD324" s="66">
        <f t="shared" si="76"/>
        <v>38632.58208892015</v>
      </c>
    </row>
    <row r="325" spans="31:56" x14ac:dyDescent="0.25">
      <c r="AE325" s="71">
        <v>263</v>
      </c>
      <c r="AF325" s="17">
        <v>3.8327430373795481</v>
      </c>
      <c r="AG325" s="18">
        <v>-25134.103294465163</v>
      </c>
      <c r="AH325" s="20">
        <v>4532.7352943394135</v>
      </c>
      <c r="AN325" s="23">
        <v>320</v>
      </c>
      <c r="AO325" s="58">
        <v>160</v>
      </c>
      <c r="AP325" s="45">
        <f t="shared" si="77"/>
        <v>26374.491187076768</v>
      </c>
      <c r="AQ325" s="45">
        <f t="shared" si="78"/>
        <v>9227.7330526869864</v>
      </c>
      <c r="AR325" s="45">
        <f t="shared" si="79"/>
        <v>2775.2289852464819</v>
      </c>
      <c r="AS325" s="45">
        <f t="shared" si="80"/>
        <v>-258.54111919311418</v>
      </c>
      <c r="AT325" s="45">
        <f t="shared" si="66"/>
        <v>-2260.3377626318916</v>
      </c>
      <c r="AU325" s="45">
        <f t="shared" si="67"/>
        <v>-709.91542177206088</v>
      </c>
      <c r="AV325" s="64">
        <f t="shared" si="68"/>
        <v>-1939.2124700155441</v>
      </c>
      <c r="AW325" s="64">
        <f t="shared" si="69"/>
        <v>-525.60139818235155</v>
      </c>
      <c r="AX325" s="64">
        <f t="shared" si="70"/>
        <v>-80.701511871133761</v>
      </c>
      <c r="AY325" s="64">
        <f t="shared" si="71"/>
        <v>1.3439093048989192</v>
      </c>
      <c r="AZ325" s="64">
        <f t="shared" si="72"/>
        <v>-240.42378074521355</v>
      </c>
      <c r="BA325" s="64">
        <f t="shared" si="73"/>
        <v>-185.65793289460831</v>
      </c>
      <c r="BB325" s="65">
        <f t="shared" si="74"/>
        <v>6604.4832799747846</v>
      </c>
      <c r="BC325" s="65">
        <f t="shared" si="75"/>
        <v>46380.920960004376</v>
      </c>
      <c r="BD325" s="66">
        <f t="shared" si="76"/>
        <v>39640.153205054834</v>
      </c>
    </row>
    <row r="326" spans="31:56" x14ac:dyDescent="0.25">
      <c r="AE326" s="71">
        <v>264</v>
      </c>
      <c r="AF326" s="17">
        <v>3.8955748904513436</v>
      </c>
      <c r="AG326" s="18">
        <v>-24780.679923115171</v>
      </c>
      <c r="AH326" s="20">
        <v>4221.15067918158</v>
      </c>
      <c r="AN326" s="23">
        <v>321</v>
      </c>
      <c r="AO326" s="58">
        <v>160.5</v>
      </c>
      <c r="AP326" s="45">
        <f t="shared" si="77"/>
        <v>27197.021239042035</v>
      </c>
      <c r="AQ326" s="45">
        <f t="shared" si="78"/>
        <v>8920.9836376474141</v>
      </c>
      <c r="AR326" s="45">
        <f t="shared" si="79"/>
        <v>1645.0601039305361</v>
      </c>
      <c r="AS326" s="45">
        <f t="shared" si="80"/>
        <v>-613.49883007914468</v>
      </c>
      <c r="AT326" s="45">
        <f t="shared" ref="AT326:AT389" si="81">AV326+AX326+AZ326</f>
        <v>-2291.9881444632624</v>
      </c>
      <c r="AU326" s="45">
        <f t="shared" ref="AU326:AU389" si="82">AW326+AY326+BA326</f>
        <v>-565.53835879142389</v>
      </c>
      <c r="AV326" s="64">
        <f t="shared" ref="AV326:AV389" si="83">$K$22*(($K$18-AP326)/((BB326^2+$K$23^2)^(3/2)))</f>
        <v>-1975.3671493771067</v>
      </c>
      <c r="AW326" s="64">
        <f t="shared" ref="AW326:AW389" si="84">$K$22*(($L$18-AQ326)/((BB326^2+$K$23^2)^(3/2)))</f>
        <v>-390.01752313637843</v>
      </c>
      <c r="AX326" s="64">
        <f t="shared" ref="AX326:AX389" si="85">$K$30*(($K$26-AP326)/((BC326^2+$K$31^2)^(3/2)))</f>
        <v>-77.975100906313457</v>
      </c>
      <c r="AY326" s="64">
        <f t="shared" ref="AY326:AY389" si="86">$K$30*(($L$26-AQ326)/((BC326^2+$K$31^2)^(3/2)))</f>
        <v>1.7826635564112119</v>
      </c>
      <c r="AZ326" s="64">
        <f t="shared" ref="AZ326:AZ389" si="87">$K$38*(($K$34-AP326)/((BD326^2+$K$39^2)^(3/2)))</f>
        <v>-238.64589417984217</v>
      </c>
      <c r="BA326" s="64">
        <f t="shared" ref="BA326:BA389" si="88">$K$38*(($L$34-AQ326)/((BD326^2+$K$39^2)^(3/2)))</f>
        <v>-177.30349921145663</v>
      </c>
      <c r="BB326" s="65">
        <f t="shared" ref="BB326:BB389" si="89">SQRT(($K$18-AP326)^2+($L$18-AQ326)^2)</f>
        <v>7335.9600062761947</v>
      </c>
      <c r="BC326" s="65">
        <f t="shared" ref="BC326:BC389" si="90">SQRT(($K$26-AP326)^2+($L$26-AQ326)^2)</f>
        <v>47209.353841678552</v>
      </c>
      <c r="BD326" s="66">
        <f t="shared" ref="BD326:BD389" si="91">SQRT(($K$34-AP326)^2+($L$34-AQ326)^2)</f>
        <v>40110.617482904934</v>
      </c>
    </row>
    <row r="327" spans="31:56" x14ac:dyDescent="0.25">
      <c r="AE327" s="71">
        <v>265</v>
      </c>
      <c r="AF327" s="17">
        <v>3.9584067435231396</v>
      </c>
      <c r="AG327" s="18">
        <v>-24408.389392193549</v>
      </c>
      <c r="AH327" s="20">
        <v>3932.3725421878953</v>
      </c>
      <c r="AN327" s="23">
        <v>322</v>
      </c>
      <c r="AO327" s="58">
        <v>161</v>
      </c>
      <c r="AP327" s="45">
        <f t="shared" ref="AP327:AP390" si="92">AP326+AR326*$K$5+AT326*$K$5^2</f>
        <v>27446.554254891485</v>
      </c>
      <c r="AQ327" s="45">
        <f t="shared" ref="AQ327:AQ390" si="93">AQ326+AS326*$K$5+AU326*$K$5^2</f>
        <v>8472.8496329099853</v>
      </c>
      <c r="AR327" s="45">
        <f t="shared" ref="AR327:AR390" si="94">AR326+AT326*$K$5</f>
        <v>499.06603169890491</v>
      </c>
      <c r="AS327" s="45">
        <f t="shared" ref="AS327:AS390" si="95">AS326+AU326*$K$5</f>
        <v>-896.26800947485663</v>
      </c>
      <c r="AT327" s="45">
        <f t="shared" si="81"/>
        <v>-2312.1688885648009</v>
      </c>
      <c r="AU327" s="45">
        <f t="shared" si="82"/>
        <v>-432.71742254484582</v>
      </c>
      <c r="AV327" s="64">
        <f t="shared" si="83"/>
        <v>-1993.4659690367512</v>
      </c>
      <c r="AW327" s="64">
        <f t="shared" si="84"/>
        <v>-260.43490315296339</v>
      </c>
      <c r="AX327" s="64">
        <f t="shared" si="85"/>
        <v>-77.12510772522289</v>
      </c>
      <c r="AY327" s="64">
        <f t="shared" si="86"/>
        <v>2.4824065398234567</v>
      </c>
      <c r="AZ327" s="64">
        <f t="shared" si="87"/>
        <v>-241.577811802827</v>
      </c>
      <c r="BA327" s="64">
        <f t="shared" si="88"/>
        <v>-174.76492593170585</v>
      </c>
      <c r="BB327" s="65">
        <f t="shared" si="89"/>
        <v>7509.833998118439</v>
      </c>
      <c r="BC327" s="65">
        <f t="shared" si="90"/>
        <v>47471.124896152025</v>
      </c>
      <c r="BD327" s="66">
        <f t="shared" si="91"/>
        <v>40046.891925651602</v>
      </c>
    </row>
    <row r="328" spans="31:56" x14ac:dyDescent="0.25">
      <c r="AE328" s="71">
        <v>266</v>
      </c>
      <c r="AF328" s="17">
        <v>4.0212385965949355</v>
      </c>
      <c r="AG328" s="18">
        <v>-24018.700962342471</v>
      </c>
      <c r="AH328" s="20">
        <v>3667.5405587348851</v>
      </c>
      <c r="AN328" s="23">
        <v>323</v>
      </c>
      <c r="AO328" s="58">
        <v>161.5</v>
      </c>
      <c r="AP328" s="45">
        <f t="shared" si="92"/>
        <v>27118.045048599735</v>
      </c>
      <c r="AQ328" s="45">
        <f t="shared" si="93"/>
        <v>7916.5362725363448</v>
      </c>
      <c r="AR328" s="45">
        <f t="shared" si="94"/>
        <v>-657.01841258349555</v>
      </c>
      <c r="AS328" s="45">
        <f t="shared" si="95"/>
        <v>-1112.6267207472795</v>
      </c>
      <c r="AT328" s="45">
        <f t="shared" si="81"/>
        <v>-2339.2451255253782</v>
      </c>
      <c r="AU328" s="45">
        <f t="shared" si="82"/>
        <v>-292.21273113022835</v>
      </c>
      <c r="AV328" s="64">
        <f t="shared" si="83"/>
        <v>-2011.7975560040304</v>
      </c>
      <c r="AW328" s="64">
        <f t="shared" si="84"/>
        <v>-117.72707946551928</v>
      </c>
      <c r="AX328" s="64">
        <f t="shared" si="85"/>
        <v>-78.06414560916734</v>
      </c>
      <c r="AY328" s="64">
        <f t="shared" si="86"/>
        <v>3.4518370960506308</v>
      </c>
      <c r="AZ328" s="64">
        <f t="shared" si="87"/>
        <v>-249.38342391218032</v>
      </c>
      <c r="BA328" s="64">
        <f t="shared" si="88"/>
        <v>-177.93748876075969</v>
      </c>
      <c r="BB328" s="65">
        <f t="shared" si="89"/>
        <v>7130.2221410159218</v>
      </c>
      <c r="BC328" s="65">
        <f t="shared" si="90"/>
        <v>47164.085810132383</v>
      </c>
      <c r="BD328" s="66">
        <f t="shared" si="91"/>
        <v>39455.499648013028</v>
      </c>
    </row>
    <row r="329" spans="31:56" x14ac:dyDescent="0.25">
      <c r="AE329" s="71">
        <v>267</v>
      </c>
      <c r="AF329" s="17">
        <v>4.0840704496667311</v>
      </c>
      <c r="AG329" s="18">
        <v>-23613.152555762863</v>
      </c>
      <c r="AH329" s="20">
        <v>3427.6998996710236</v>
      </c>
      <c r="AN329" s="23">
        <v>324</v>
      </c>
      <c r="AO329" s="58">
        <v>162</v>
      </c>
      <c r="AP329" s="45">
        <f t="shared" si="92"/>
        <v>26204.724560926643</v>
      </c>
      <c r="AQ329" s="45">
        <f t="shared" si="93"/>
        <v>7287.1697293801481</v>
      </c>
      <c r="AR329" s="45">
        <f t="shared" si="94"/>
        <v>-1826.6409753461846</v>
      </c>
      <c r="AS329" s="45">
        <f t="shared" si="95"/>
        <v>-1258.7330863123937</v>
      </c>
      <c r="AT329" s="45">
        <f t="shared" si="81"/>
        <v>-2335.6634616009001</v>
      </c>
      <c r="AU329" s="45">
        <f t="shared" si="82"/>
        <v>-114.42037595443104</v>
      </c>
      <c r="AV329" s="64">
        <f t="shared" si="83"/>
        <v>-1992.2324020609792</v>
      </c>
      <c r="AW329" s="64">
        <f t="shared" si="84"/>
        <v>68.336210109696253</v>
      </c>
      <c r="AX329" s="64">
        <f t="shared" si="85"/>
        <v>-80.899416750541107</v>
      </c>
      <c r="AY329" s="64">
        <f t="shared" si="86"/>
        <v>4.7498689521883213</v>
      </c>
      <c r="AZ329" s="64">
        <f t="shared" si="87"/>
        <v>-262.53164278937993</v>
      </c>
      <c r="BA329" s="64">
        <f t="shared" si="88"/>
        <v>-187.50645501631561</v>
      </c>
      <c r="BB329" s="65">
        <f t="shared" si="89"/>
        <v>6208.3736679631675</v>
      </c>
      <c r="BC329" s="65">
        <f t="shared" si="90"/>
        <v>46284.295606914973</v>
      </c>
      <c r="BD329" s="66">
        <f t="shared" si="91"/>
        <v>38346.483143431775</v>
      </c>
    </row>
    <row r="330" spans="31:56" x14ac:dyDescent="0.25">
      <c r="AE330" s="71">
        <v>268</v>
      </c>
      <c r="AF330" s="17">
        <v>4.1469023027385274</v>
      </c>
      <c r="AG330" s="18">
        <v>-23193.344686738041</v>
      </c>
      <c r="AH330" s="20">
        <v>3213.7971065048514</v>
      </c>
      <c r="AN330" s="23">
        <v>325</v>
      </c>
      <c r="AO330" s="58">
        <v>162.5</v>
      </c>
      <c r="AP330" s="45">
        <f t="shared" si="92"/>
        <v>24707.488207853326</v>
      </c>
      <c r="AQ330" s="45">
        <f t="shared" si="93"/>
        <v>6629.1980922353432</v>
      </c>
      <c r="AR330" s="45">
        <f t="shared" si="94"/>
        <v>-2994.4727061466347</v>
      </c>
      <c r="AS330" s="45">
        <f t="shared" si="95"/>
        <v>-1315.9432742896092</v>
      </c>
      <c r="AT330" s="45">
        <f t="shared" si="81"/>
        <v>-2176.2193776773042</v>
      </c>
      <c r="AU330" s="45">
        <f t="shared" si="82"/>
        <v>136.01752837375491</v>
      </c>
      <c r="AV330" s="64">
        <f t="shared" si="83"/>
        <v>-1808.6757138804121</v>
      </c>
      <c r="AW330" s="64">
        <f t="shared" si="84"/>
        <v>334.57295964059017</v>
      </c>
      <c r="AX330" s="64">
        <f t="shared" si="85"/>
        <v>-85.931017828948441</v>
      </c>
      <c r="AY330" s="64">
        <f t="shared" si="86"/>
        <v>6.4789244586345829</v>
      </c>
      <c r="AZ330" s="64">
        <f t="shared" si="87"/>
        <v>-281.61264596794393</v>
      </c>
      <c r="BA330" s="64">
        <f t="shared" si="88"/>
        <v>-205.03435572546985</v>
      </c>
      <c r="BB330" s="65">
        <f t="shared" si="89"/>
        <v>4787.352210736608</v>
      </c>
      <c r="BC330" s="65">
        <f t="shared" si="90"/>
        <v>44834.381978083897</v>
      </c>
      <c r="BD330" s="66">
        <f t="shared" si="91"/>
        <v>36747.20486966188</v>
      </c>
    </row>
    <row r="331" spans="31:56" x14ac:dyDescent="0.25">
      <c r="AE331" s="71">
        <v>269</v>
      </c>
      <c r="AF331" s="17">
        <v>4.209734155810323</v>
      </c>
      <c r="AG331" s="18">
        <v>-22760.934145135085</v>
      </c>
      <c r="AH331" s="20">
        <v>3026.6763558381144</v>
      </c>
      <c r="AN331" s="23">
        <v>326</v>
      </c>
      <c r="AO331" s="58">
        <v>163</v>
      </c>
      <c r="AP331" s="45">
        <f t="shared" si="92"/>
        <v>22666.197010360684</v>
      </c>
      <c r="AQ331" s="45">
        <f t="shared" si="93"/>
        <v>6005.2308371839772</v>
      </c>
      <c r="AR331" s="45">
        <f t="shared" si="94"/>
        <v>-4082.5823949852866</v>
      </c>
      <c r="AS331" s="45">
        <f t="shared" si="95"/>
        <v>-1247.9345101027318</v>
      </c>
      <c r="AT331" s="45">
        <f t="shared" si="81"/>
        <v>-1621.2720126828945</v>
      </c>
      <c r="AU331" s="45">
        <f t="shared" si="82"/>
        <v>460.42553291405562</v>
      </c>
      <c r="AV331" s="64">
        <f t="shared" si="83"/>
        <v>-1220.9692626907463</v>
      </c>
      <c r="AW331" s="64">
        <f t="shared" si="84"/>
        <v>684.52075954036411</v>
      </c>
      <c r="AX331" s="64">
        <f t="shared" si="85"/>
        <v>-93.601835055046593</v>
      </c>
      <c r="AY331" s="64">
        <f t="shared" si="86"/>
        <v>8.7637931304281231</v>
      </c>
      <c r="AZ331" s="64">
        <f t="shared" si="87"/>
        <v>-306.70091493710157</v>
      </c>
      <c r="BA331" s="64">
        <f t="shared" si="88"/>
        <v>-232.85901975673659</v>
      </c>
      <c r="BB331" s="65">
        <f t="shared" si="89"/>
        <v>3056.6225393662789</v>
      </c>
      <c r="BC331" s="65">
        <f t="shared" si="90"/>
        <v>42852.800935190884</v>
      </c>
      <c r="BD331" s="66">
        <f t="shared" si="91"/>
        <v>34736.697879036728</v>
      </c>
    </row>
    <row r="332" spans="31:56" x14ac:dyDescent="0.25">
      <c r="AE332" s="71">
        <v>270</v>
      </c>
      <c r="AF332" s="17">
        <v>4.2725660088821193</v>
      </c>
      <c r="AG332" s="18">
        <v>-22317.627457812108</v>
      </c>
      <c r="AH332" s="20">
        <v>2867.0761277863485</v>
      </c>
      <c r="AN332" s="23">
        <v>327</v>
      </c>
      <c r="AO332" s="58">
        <v>163.5</v>
      </c>
      <c r="AP332" s="45">
        <f t="shared" si="92"/>
        <v>20219.587809697317</v>
      </c>
      <c r="AQ332" s="45">
        <f t="shared" si="93"/>
        <v>5496.3699653611247</v>
      </c>
      <c r="AR332" s="45">
        <f t="shared" si="94"/>
        <v>-4893.2184013267342</v>
      </c>
      <c r="AS332" s="45">
        <f t="shared" si="95"/>
        <v>-1017.721743645704</v>
      </c>
      <c r="AT332" s="45">
        <f t="shared" si="81"/>
        <v>-548.47726149211144</v>
      </c>
      <c r="AU332" s="45">
        <f t="shared" si="82"/>
        <v>726.93630276210729</v>
      </c>
      <c r="AV332" s="64">
        <f t="shared" si="83"/>
        <v>-108.30883589112563</v>
      </c>
      <c r="AW332" s="64">
        <f t="shared" si="84"/>
        <v>988.26449841347176</v>
      </c>
      <c r="AX332" s="64">
        <f t="shared" si="85"/>
        <v>-104.25506201311474</v>
      </c>
      <c r="AY332" s="64">
        <f t="shared" si="86"/>
        <v>11.674068634591897</v>
      </c>
      <c r="AZ332" s="64">
        <f t="shared" si="87"/>
        <v>-335.913363587871</v>
      </c>
      <c r="BA332" s="64">
        <f t="shared" si="88"/>
        <v>-273.00226428595636</v>
      </c>
      <c r="BB332" s="65">
        <f t="shared" si="89"/>
        <v>2015.6269798439009</v>
      </c>
      <c r="BC332" s="65">
        <f t="shared" si="90"/>
        <v>40470.951645233821</v>
      </c>
      <c r="BD332" s="66">
        <f t="shared" si="91"/>
        <v>32498.135193392114</v>
      </c>
    </row>
    <row r="333" spans="31:56" x14ac:dyDescent="0.25">
      <c r="AE333" s="71">
        <v>271</v>
      </c>
      <c r="AF333" s="17">
        <v>4.3353978619539149</v>
      </c>
      <c r="AG333" s="18">
        <v>-21865.174153736407</v>
      </c>
      <c r="AH333" s="20">
        <v>2735.6262915352663</v>
      </c>
      <c r="AN333" s="23">
        <v>328</v>
      </c>
      <c r="AO333" s="58">
        <v>164</v>
      </c>
      <c r="AP333" s="45">
        <f t="shared" si="92"/>
        <v>17635.859293660924</v>
      </c>
      <c r="AQ333" s="45">
        <f t="shared" si="93"/>
        <v>5169.2431692287992</v>
      </c>
      <c r="AR333" s="45">
        <f t="shared" si="94"/>
        <v>-5167.4570320727898</v>
      </c>
      <c r="AS333" s="45">
        <f t="shared" si="95"/>
        <v>-654.25359226465036</v>
      </c>
      <c r="AT333" s="45">
        <f t="shared" si="81"/>
        <v>576.2530210811783</v>
      </c>
      <c r="AU333" s="45">
        <f t="shared" si="82"/>
        <v>733.77084396872988</v>
      </c>
      <c r="AV333" s="64">
        <f t="shared" si="83"/>
        <v>1058.1830157803306</v>
      </c>
      <c r="AW333" s="64">
        <f t="shared" si="84"/>
        <v>1043.2404829470997</v>
      </c>
      <c r="AX333" s="64">
        <f t="shared" si="85"/>
        <v>-117.66373032959942</v>
      </c>
      <c r="AY333" s="64">
        <f t="shared" si="86"/>
        <v>15.1027472121374</v>
      </c>
      <c r="AZ333" s="64">
        <f t="shared" si="87"/>
        <v>-364.26626436955291</v>
      </c>
      <c r="BA333" s="64">
        <f t="shared" si="88"/>
        <v>-324.57238619050736</v>
      </c>
      <c r="BB333" s="65">
        <f t="shared" si="89"/>
        <v>3319.8778115400632</v>
      </c>
      <c r="BC333" s="65">
        <f t="shared" si="90"/>
        <v>37944.619069510838</v>
      </c>
      <c r="BD333" s="66">
        <f t="shared" si="91"/>
        <v>30317.989642816003</v>
      </c>
    </row>
    <row r="334" spans="31:56" x14ac:dyDescent="0.25">
      <c r="AE334" s="71">
        <v>272</v>
      </c>
      <c r="AF334" s="17">
        <v>4.3982297150257104</v>
      </c>
      <c r="AG334" s="18">
        <v>-21405.359859392935</v>
      </c>
      <c r="AH334" s="20">
        <v>2632.8456195348344</v>
      </c>
      <c r="AN334" s="23">
        <v>329</v>
      </c>
      <c r="AO334" s="58">
        <v>164.5</v>
      </c>
      <c r="AP334" s="45">
        <f t="shared" si="92"/>
        <v>15196.194032894822</v>
      </c>
      <c r="AQ334" s="45">
        <f t="shared" si="93"/>
        <v>5025.5590840886562</v>
      </c>
      <c r="AR334" s="45">
        <f t="shared" si="94"/>
        <v>-4879.3305215322007</v>
      </c>
      <c r="AS334" s="45">
        <f t="shared" si="95"/>
        <v>-287.36817028028543</v>
      </c>
      <c r="AT334" s="45">
        <f t="shared" si="81"/>
        <v>1193.9036616192857</v>
      </c>
      <c r="AU334" s="45">
        <f t="shared" si="82"/>
        <v>518.37357865936235</v>
      </c>
      <c r="AV334" s="64">
        <f t="shared" si="83"/>
        <v>1712.7472776549353</v>
      </c>
      <c r="AW334" s="64">
        <f t="shared" si="84"/>
        <v>882.23628753245748</v>
      </c>
      <c r="AX334" s="64">
        <f t="shared" si="85"/>
        <v>-132.93243863207286</v>
      </c>
      <c r="AY334" s="64">
        <f t="shared" si="86"/>
        <v>18.787956480897638</v>
      </c>
      <c r="AZ334" s="64">
        <f t="shared" si="87"/>
        <v>-385.91117740357657</v>
      </c>
      <c r="BA334" s="64">
        <f t="shared" si="88"/>
        <v>-382.65066535399274</v>
      </c>
      <c r="BB334" s="65">
        <f t="shared" si="89"/>
        <v>5403.6478064296052</v>
      </c>
      <c r="BC334" s="65">
        <f t="shared" si="90"/>
        <v>35545.986226676483</v>
      </c>
      <c r="BD334" s="66">
        <f t="shared" si="91"/>
        <v>28441.330314256789</v>
      </c>
    </row>
    <row r="335" spans="31:56" x14ac:dyDescent="0.25">
      <c r="AE335" s="71">
        <v>273</v>
      </c>
      <c r="AF335" s="17">
        <v>4.4610615680975068</v>
      </c>
      <c r="AG335" s="18">
        <v>-20939.999251732279</v>
      </c>
      <c r="AH335" s="20">
        <v>2559.139740141416</v>
      </c>
      <c r="AN335" s="23">
        <v>330</v>
      </c>
      <c r="AO335" s="58">
        <v>165</v>
      </c>
      <c r="AP335" s="45">
        <f t="shared" si="92"/>
        <v>13055.004687533543</v>
      </c>
      <c r="AQ335" s="45">
        <f t="shared" si="93"/>
        <v>5011.4683936133533</v>
      </c>
      <c r="AR335" s="45">
        <f t="shared" si="94"/>
        <v>-4282.3786907225576</v>
      </c>
      <c r="AS335" s="45">
        <f t="shared" si="95"/>
        <v>-28.18138095060425</v>
      </c>
      <c r="AT335" s="45">
        <f t="shared" si="81"/>
        <v>1348.0150841523614</v>
      </c>
      <c r="AU335" s="45">
        <f t="shared" si="82"/>
        <v>260.4542928856045</v>
      </c>
      <c r="AV335" s="64">
        <f t="shared" si="83"/>
        <v>1894.9205372266113</v>
      </c>
      <c r="AW335" s="64">
        <f t="shared" si="84"/>
        <v>678.98816864786204</v>
      </c>
      <c r="AX335" s="64">
        <f t="shared" si="85"/>
        <v>-149.00209049474219</v>
      </c>
      <c r="AY335" s="64">
        <f t="shared" si="86"/>
        <v>22.486810843836778</v>
      </c>
      <c r="AZ335" s="64">
        <f t="shared" si="87"/>
        <v>-397.90336257950787</v>
      </c>
      <c r="BA335" s="64">
        <f t="shared" si="88"/>
        <v>-441.02068660609433</v>
      </c>
      <c r="BB335" s="65">
        <f t="shared" si="89"/>
        <v>7377.3809340555517</v>
      </c>
      <c r="BC335" s="65">
        <f t="shared" si="90"/>
        <v>33429.310230406831</v>
      </c>
      <c r="BD335" s="66">
        <f t="shared" si="91"/>
        <v>26952.589143446763</v>
      </c>
    </row>
    <row r="336" spans="31:56" x14ac:dyDescent="0.25">
      <c r="AE336" s="71">
        <v>274</v>
      </c>
      <c r="AF336" s="17">
        <v>4.5238934211693023</v>
      </c>
      <c r="AG336" s="18">
        <v>-20470.92889646985</v>
      </c>
      <c r="AH336" s="20">
        <v>2514.799536787963</v>
      </c>
      <c r="AN336" s="23">
        <v>331</v>
      </c>
      <c r="AO336" s="58">
        <v>165.5</v>
      </c>
      <c r="AP336" s="45">
        <f t="shared" si="92"/>
        <v>11250.819113210355</v>
      </c>
      <c r="AQ336" s="45">
        <f t="shared" si="93"/>
        <v>5062.491276359453</v>
      </c>
      <c r="AR336" s="45">
        <f t="shared" si="94"/>
        <v>-3608.3711486463772</v>
      </c>
      <c r="AS336" s="45">
        <f t="shared" si="95"/>
        <v>102.045765492198</v>
      </c>
      <c r="AT336" s="45">
        <f t="shared" si="81"/>
        <v>1292.4198292676099</v>
      </c>
      <c r="AU336" s="45">
        <f t="shared" si="82"/>
        <v>48.852332820687934</v>
      </c>
      <c r="AV336" s="64">
        <f t="shared" si="83"/>
        <v>1858.2698710332961</v>
      </c>
      <c r="AW336" s="64">
        <f t="shared" si="84"/>
        <v>517.71120978435852</v>
      </c>
      <c r="AX336" s="64">
        <f t="shared" si="85"/>
        <v>-164.9585139639137</v>
      </c>
      <c r="AY336" s="64">
        <f t="shared" si="86"/>
        <v>26.062808107045935</v>
      </c>
      <c r="AZ336" s="64">
        <f t="shared" si="87"/>
        <v>-400.89152780177261</v>
      </c>
      <c r="BA336" s="64">
        <f t="shared" si="88"/>
        <v>-494.92168507071653</v>
      </c>
      <c r="BB336" s="65">
        <f t="shared" si="89"/>
        <v>9082.3793670815703</v>
      </c>
      <c r="BC336" s="65">
        <f t="shared" si="90"/>
        <v>31638.468478145714</v>
      </c>
      <c r="BD336" s="66">
        <f t="shared" si="91"/>
        <v>25818.456151836079</v>
      </c>
    </row>
    <row r="337" spans="31:56" x14ac:dyDescent="0.25">
      <c r="AE337" s="71">
        <v>275</v>
      </c>
      <c r="AF337" s="17">
        <v>4.5867252742410987</v>
      </c>
      <c r="AG337" s="18">
        <v>-20000</v>
      </c>
      <c r="AH337" s="20">
        <v>2500</v>
      </c>
      <c r="AN337" s="23">
        <v>332</v>
      </c>
      <c r="AO337" s="58">
        <v>166</v>
      </c>
      <c r="AP337" s="45">
        <f t="shared" si="92"/>
        <v>9769.7384962040687</v>
      </c>
      <c r="AQ337" s="45">
        <f t="shared" si="93"/>
        <v>5125.7272423107233</v>
      </c>
      <c r="AR337" s="45">
        <f t="shared" si="94"/>
        <v>-2962.1612340125721</v>
      </c>
      <c r="AS337" s="45">
        <f t="shared" si="95"/>
        <v>126.47193190254197</v>
      </c>
      <c r="AT337" s="45">
        <f t="shared" si="81"/>
        <v>1178.7980409022073</v>
      </c>
      <c r="AU337" s="45">
        <f t="shared" si="82"/>
        <v>-104.71672770104112</v>
      </c>
      <c r="AV337" s="64">
        <f t="shared" si="83"/>
        <v>1756.4695736698877</v>
      </c>
      <c r="AW337" s="64">
        <f t="shared" si="84"/>
        <v>407.64723921545033</v>
      </c>
      <c r="AX337" s="64">
        <f t="shared" si="85"/>
        <v>-180.0290791917468</v>
      </c>
      <c r="AY337" s="64">
        <f t="shared" si="86"/>
        <v>29.476605459873557</v>
      </c>
      <c r="AZ337" s="64">
        <f t="shared" si="87"/>
        <v>-397.64245357593364</v>
      </c>
      <c r="BA337" s="64">
        <f t="shared" si="88"/>
        <v>-541.840572376365</v>
      </c>
      <c r="BB337" s="65">
        <f t="shared" si="89"/>
        <v>10502.162708887843</v>
      </c>
      <c r="BC337" s="65">
        <f t="shared" si="90"/>
        <v>30166.137721768861</v>
      </c>
      <c r="BD337" s="66">
        <f t="shared" si="91"/>
        <v>24963.775200841326</v>
      </c>
    </row>
    <row r="338" spans="31:56" x14ac:dyDescent="0.25">
      <c r="AE338" s="71">
        <v>276</v>
      </c>
      <c r="AF338" s="17">
        <v>4.6495571273128942</v>
      </c>
      <c r="AG338" s="18">
        <v>-19529.071103530147</v>
      </c>
      <c r="AH338" s="20">
        <v>2514.799536787963</v>
      </c>
      <c r="AN338" s="23">
        <v>333</v>
      </c>
      <c r="AO338" s="58">
        <v>166.5</v>
      </c>
      <c r="AP338" s="45">
        <f t="shared" si="92"/>
        <v>8583.3573894233341</v>
      </c>
      <c r="AQ338" s="45">
        <f t="shared" si="93"/>
        <v>5162.7840263367343</v>
      </c>
      <c r="AR338" s="45">
        <f t="shared" si="94"/>
        <v>-2372.7622135614683</v>
      </c>
      <c r="AS338" s="45">
        <f t="shared" si="95"/>
        <v>74.113568052021407</v>
      </c>
      <c r="AT338" s="45">
        <f t="shared" si="81"/>
        <v>1065.8321575529292</v>
      </c>
      <c r="AU338" s="45">
        <f t="shared" si="82"/>
        <v>-210.43145267940758</v>
      </c>
      <c r="AV338" s="64">
        <f t="shared" si="83"/>
        <v>1650.8778997119621</v>
      </c>
      <c r="AW338" s="64">
        <f t="shared" si="84"/>
        <v>337.96785354390329</v>
      </c>
      <c r="AX338" s="64">
        <f t="shared" si="85"/>
        <v>-193.53306879553691</v>
      </c>
      <c r="AY338" s="64">
        <f t="shared" si="86"/>
        <v>32.751969583399941</v>
      </c>
      <c r="AZ338" s="64">
        <f t="shared" si="87"/>
        <v>-391.51267336349582</v>
      </c>
      <c r="BA338" s="64">
        <f t="shared" si="88"/>
        <v>-581.15127580671083</v>
      </c>
      <c r="BB338" s="65">
        <f t="shared" si="89"/>
        <v>11653.424689986266</v>
      </c>
      <c r="BC338" s="65">
        <f t="shared" si="90"/>
        <v>28989.773680168058</v>
      </c>
      <c r="BD338" s="66">
        <f t="shared" si="91"/>
        <v>24311.426483476884</v>
      </c>
    </row>
    <row r="339" spans="31:56" x14ac:dyDescent="0.25">
      <c r="AE339" s="71">
        <v>277</v>
      </c>
      <c r="AF339" s="17">
        <v>4.7123889803846897</v>
      </c>
      <c r="AG339" s="18">
        <v>-19060.000748267717</v>
      </c>
      <c r="AH339" s="20">
        <v>2559.139740141416</v>
      </c>
      <c r="AN339" s="23">
        <v>334</v>
      </c>
      <c r="AO339" s="58">
        <v>167</v>
      </c>
      <c r="AP339" s="45">
        <f t="shared" si="92"/>
        <v>7663.4343220308319</v>
      </c>
      <c r="AQ339" s="45">
        <f t="shared" si="93"/>
        <v>5147.2329471928933</v>
      </c>
      <c r="AR339" s="45">
        <f t="shared" si="94"/>
        <v>-1839.8461347850039</v>
      </c>
      <c r="AS339" s="45">
        <f t="shared" si="95"/>
        <v>-31.102158287682386</v>
      </c>
      <c r="AT339" s="45">
        <f t="shared" si="81"/>
        <v>970.7751013197294</v>
      </c>
      <c r="AU339" s="45">
        <f t="shared" si="82"/>
        <v>-279.70789016087565</v>
      </c>
      <c r="AV339" s="64">
        <f t="shared" si="83"/>
        <v>1561.1859115669024</v>
      </c>
      <c r="AW339" s="64">
        <f t="shared" si="84"/>
        <v>297.74143565747221</v>
      </c>
      <c r="AX339" s="64">
        <f t="shared" si="85"/>
        <v>-204.86920485966428</v>
      </c>
      <c r="AY339" s="64">
        <f t="shared" si="86"/>
        <v>35.938506980169599</v>
      </c>
      <c r="AZ339" s="64">
        <f t="shared" si="87"/>
        <v>-385.5416053875087</v>
      </c>
      <c r="BA339" s="64">
        <f t="shared" si="88"/>
        <v>-613.38783279851748</v>
      </c>
      <c r="BB339" s="65">
        <f t="shared" si="89"/>
        <v>12558.915778506578</v>
      </c>
      <c r="BC339" s="65">
        <f t="shared" si="90"/>
        <v>28085.849578713543</v>
      </c>
      <c r="BD339" s="66">
        <f t="shared" si="91"/>
        <v>23796.503193890552</v>
      </c>
    </row>
    <row r="340" spans="31:56" x14ac:dyDescent="0.25">
      <c r="AE340" s="71">
        <v>278</v>
      </c>
      <c r="AF340" s="17">
        <v>4.7752208334564861</v>
      </c>
      <c r="AG340" s="18">
        <v>-18594.640140607062</v>
      </c>
      <c r="AH340" s="20">
        <v>2632.8456195348354</v>
      </c>
      <c r="AN340" s="23">
        <v>335</v>
      </c>
      <c r="AO340" s="58">
        <v>167.5</v>
      </c>
      <c r="AP340" s="45">
        <f t="shared" si="92"/>
        <v>6986.2050299682624</v>
      </c>
      <c r="AQ340" s="45">
        <f t="shared" si="93"/>
        <v>5061.7548955088332</v>
      </c>
      <c r="AR340" s="45">
        <f t="shared" si="94"/>
        <v>-1354.4585841251392</v>
      </c>
      <c r="AS340" s="45">
        <f t="shared" si="95"/>
        <v>-170.95610336812021</v>
      </c>
      <c r="AT340" s="45">
        <f t="shared" si="81"/>
        <v>896.06715596317849</v>
      </c>
      <c r="AU340" s="45">
        <f t="shared" si="82"/>
        <v>-320.9909657567103</v>
      </c>
      <c r="AV340" s="64">
        <f t="shared" si="83"/>
        <v>1491.7087595961063</v>
      </c>
      <c r="AW340" s="64">
        <f t="shared" si="84"/>
        <v>279.48431558876229</v>
      </c>
      <c r="AX340" s="64">
        <f t="shared" si="85"/>
        <v>-213.53262960998822</v>
      </c>
      <c r="AY340" s="64">
        <f t="shared" si="86"/>
        <v>39.074648015519436</v>
      </c>
      <c r="AZ340" s="64">
        <f t="shared" si="87"/>
        <v>-382.10897402293972</v>
      </c>
      <c r="BA340" s="64">
        <f t="shared" si="88"/>
        <v>-639.549929360992</v>
      </c>
      <c r="BB340" s="65">
        <f t="shared" si="89"/>
        <v>13240.237864615518</v>
      </c>
      <c r="BC340" s="65">
        <f t="shared" si="90"/>
        <v>27434.312942581873</v>
      </c>
      <c r="BD340" s="66">
        <f t="shared" si="91"/>
        <v>23369.705186585241</v>
      </c>
    </row>
    <row r="341" spans="31:56" x14ac:dyDescent="0.25">
      <c r="AE341" s="71">
        <v>279</v>
      </c>
      <c r="AF341" s="17">
        <v>4.8380526865282816</v>
      </c>
      <c r="AG341" s="18">
        <v>-18134.825846263589</v>
      </c>
      <c r="AH341" s="20">
        <v>2735.6262915352672</v>
      </c>
      <c r="AN341" s="23">
        <v>336</v>
      </c>
      <c r="AO341" s="58">
        <v>168</v>
      </c>
      <c r="AP341" s="45">
        <f t="shared" si="92"/>
        <v>6532.9925268964871</v>
      </c>
      <c r="AQ341" s="45">
        <f t="shared" si="93"/>
        <v>4896.0291023855953</v>
      </c>
      <c r="AR341" s="45">
        <f t="shared" si="94"/>
        <v>-906.42500614354992</v>
      </c>
      <c r="AS341" s="45">
        <f t="shared" si="95"/>
        <v>-331.45158624647536</v>
      </c>
      <c r="AT341" s="45">
        <f t="shared" si="81"/>
        <v>839.59364882116768</v>
      </c>
      <c r="AU341" s="45">
        <f t="shared" si="82"/>
        <v>-339.67687548763627</v>
      </c>
      <c r="AV341" s="64">
        <f t="shared" si="83"/>
        <v>1441.6579698660892</v>
      </c>
      <c r="AW341" s="64">
        <f t="shared" si="84"/>
        <v>278.75795014911591</v>
      </c>
      <c r="AX341" s="64">
        <f t="shared" si="85"/>
        <v>-219.14461458555388</v>
      </c>
      <c r="AY341" s="64">
        <f t="shared" si="86"/>
        <v>42.155355604150621</v>
      </c>
      <c r="AZ341" s="64">
        <f t="shared" si="87"/>
        <v>-382.9197064593676</v>
      </c>
      <c r="BA341" s="64">
        <f t="shared" si="88"/>
        <v>-660.59018124090278</v>
      </c>
      <c r="BB341" s="65">
        <f t="shared" si="89"/>
        <v>13716.448327327618</v>
      </c>
      <c r="BC341" s="65">
        <f t="shared" si="90"/>
        <v>27019.441359066615</v>
      </c>
      <c r="BD341" s="66">
        <f t="shared" si="91"/>
        <v>22996.997427238734</v>
      </c>
    </row>
    <row r="342" spans="31:56" x14ac:dyDescent="0.25">
      <c r="AE342" s="71">
        <v>280</v>
      </c>
      <c r="AF342" s="17">
        <v>4.900884539600078</v>
      </c>
      <c r="AG342" s="18">
        <v>-17682.372542187895</v>
      </c>
      <c r="AH342" s="20">
        <v>2867.0761277863476</v>
      </c>
      <c r="AN342" s="23">
        <v>337</v>
      </c>
      <c r="AO342" s="58">
        <v>168.5</v>
      </c>
      <c r="AP342" s="45">
        <f t="shared" si="92"/>
        <v>6289.6784360300035</v>
      </c>
      <c r="AQ342" s="45">
        <f t="shared" si="93"/>
        <v>4645.3840903904484</v>
      </c>
      <c r="AR342" s="45">
        <f t="shared" si="94"/>
        <v>-486.62818173296608</v>
      </c>
      <c r="AS342" s="45">
        <f t="shared" si="95"/>
        <v>-501.29002399029349</v>
      </c>
      <c r="AT342" s="45">
        <f t="shared" si="81"/>
        <v>798.18369367460457</v>
      </c>
      <c r="AU342" s="45">
        <f t="shared" si="82"/>
        <v>-338.65816398301314</v>
      </c>
      <c r="AV342" s="64">
        <f t="shared" si="83"/>
        <v>1408.7722998352656</v>
      </c>
      <c r="AW342" s="64">
        <f t="shared" si="84"/>
        <v>293.31943830517343</v>
      </c>
      <c r="AX342" s="64">
        <f t="shared" si="85"/>
        <v>-221.48369846820631</v>
      </c>
      <c r="AY342" s="64">
        <f t="shared" si="86"/>
        <v>45.111245404647619</v>
      </c>
      <c r="AZ342" s="64">
        <f t="shared" si="87"/>
        <v>-389.10490769245473</v>
      </c>
      <c r="BA342" s="64">
        <f t="shared" si="88"/>
        <v>-677.08884769283418</v>
      </c>
      <c r="BB342" s="65">
        <f t="shared" si="89"/>
        <v>14004.347517069715</v>
      </c>
      <c r="BC342" s="65">
        <f t="shared" si="90"/>
        <v>26829.444716752987</v>
      </c>
      <c r="BD342" s="66">
        <f t="shared" si="91"/>
        <v>22658.286679445271</v>
      </c>
    </row>
    <row r="343" spans="31:56" x14ac:dyDescent="0.25">
      <c r="AE343" s="71">
        <v>281</v>
      </c>
      <c r="AF343" s="17">
        <v>4.9637163926718735</v>
      </c>
      <c r="AG343" s="18">
        <v>-17239.065854864912</v>
      </c>
      <c r="AH343" s="20">
        <v>3026.6763558381153</v>
      </c>
      <c r="AN343" s="23">
        <v>338</v>
      </c>
      <c r="AO343" s="58">
        <v>169</v>
      </c>
      <c r="AP343" s="45">
        <f t="shared" si="92"/>
        <v>6245.9102685821717</v>
      </c>
      <c r="AQ343" s="45">
        <f t="shared" si="93"/>
        <v>4310.0745373995478</v>
      </c>
      <c r="AR343" s="45">
        <f t="shared" si="94"/>
        <v>-87.536334895663799</v>
      </c>
      <c r="AS343" s="45">
        <f t="shared" si="95"/>
        <v>-670.61910598180009</v>
      </c>
      <c r="AT343" s="45">
        <f t="shared" si="81"/>
        <v>768.65136993444776</v>
      </c>
      <c r="AU343" s="45">
        <f t="shared" si="82"/>
        <v>-318.77876410994861</v>
      </c>
      <c r="AV343" s="64">
        <f t="shared" si="83"/>
        <v>1390.4656261018638</v>
      </c>
      <c r="AW343" s="64">
        <f t="shared" si="84"/>
        <v>322.48456947617916</v>
      </c>
      <c r="AX343" s="64">
        <f t="shared" si="85"/>
        <v>-220.51066989135822</v>
      </c>
      <c r="AY343" s="64">
        <f t="shared" si="86"/>
        <v>47.805134687664292</v>
      </c>
      <c r="AZ343" s="64">
        <f t="shared" si="87"/>
        <v>-401.30358627605779</v>
      </c>
      <c r="BA343" s="64">
        <f t="shared" si="88"/>
        <v>-689.06846827379206</v>
      </c>
      <c r="BB343" s="65">
        <f t="shared" si="89"/>
        <v>14119.157510164694</v>
      </c>
      <c r="BC343" s="65">
        <f t="shared" si="90"/>
        <v>26855.596392491752</v>
      </c>
      <c r="BD343" s="66">
        <f t="shared" si="91"/>
        <v>22346.128890904758</v>
      </c>
    </row>
    <row r="344" spans="31:56" x14ac:dyDescent="0.25">
      <c r="AE344" s="71">
        <v>282</v>
      </c>
      <c r="AF344" s="17">
        <v>5.026548245743669</v>
      </c>
      <c r="AG344" s="18">
        <v>-16806.655313261956</v>
      </c>
      <c r="AH344" s="20">
        <v>3213.7971065048532</v>
      </c>
      <c r="AN344" s="23">
        <v>339</v>
      </c>
      <c r="AO344" s="58">
        <v>169.5</v>
      </c>
      <c r="AP344" s="45">
        <f t="shared" si="92"/>
        <v>6394.3049436179517</v>
      </c>
      <c r="AQ344" s="45">
        <f t="shared" si="93"/>
        <v>3895.0702933811604</v>
      </c>
      <c r="AR344" s="45">
        <f t="shared" si="94"/>
        <v>296.78935007156008</v>
      </c>
      <c r="AS344" s="45">
        <f t="shared" si="95"/>
        <v>-830.00848803677445</v>
      </c>
      <c r="AT344" s="45">
        <f t="shared" si="81"/>
        <v>748.02055005801196</v>
      </c>
      <c r="AU344" s="45">
        <f t="shared" si="82"/>
        <v>-279.14446012210885</v>
      </c>
      <c r="AV344" s="64">
        <f t="shared" si="83"/>
        <v>1384.0556151267031</v>
      </c>
      <c r="AW344" s="64">
        <f t="shared" si="84"/>
        <v>366.71578937398465</v>
      </c>
      <c r="AX344" s="64">
        <f t="shared" si="85"/>
        <v>-216.38093168670409</v>
      </c>
      <c r="AY344" s="64">
        <f t="shared" si="86"/>
        <v>50.048310823939019</v>
      </c>
      <c r="AZ344" s="64">
        <f t="shared" si="87"/>
        <v>-419.65413338198698</v>
      </c>
      <c r="BA344" s="64">
        <f t="shared" si="88"/>
        <v>-695.90856032003251</v>
      </c>
      <c r="BB344" s="65">
        <f t="shared" si="89"/>
        <v>14075.171620869207</v>
      </c>
      <c r="BC344" s="65">
        <f t="shared" si="90"/>
        <v>27091.133239114457</v>
      </c>
      <c r="BD344" s="66">
        <f t="shared" si="91"/>
        <v>22064.765272714136</v>
      </c>
    </row>
    <row r="345" spans="31:56" x14ac:dyDescent="0.25">
      <c r="AE345" s="71">
        <v>283</v>
      </c>
      <c r="AF345" s="17">
        <v>5.0893800988154654</v>
      </c>
      <c r="AG345" s="18">
        <v>-16386.847444237133</v>
      </c>
      <c r="AH345" s="20">
        <v>3427.6998996710245</v>
      </c>
      <c r="AN345" s="23">
        <v>340</v>
      </c>
      <c r="AO345" s="58">
        <v>170</v>
      </c>
      <c r="AP345" s="45">
        <f t="shared" si="92"/>
        <v>6729.7047561682348</v>
      </c>
      <c r="AQ345" s="45">
        <f t="shared" si="93"/>
        <v>3410.2799343322458</v>
      </c>
      <c r="AR345" s="45">
        <f t="shared" si="94"/>
        <v>670.79962510056612</v>
      </c>
      <c r="AS345" s="45">
        <f t="shared" si="95"/>
        <v>-969.58071809782882</v>
      </c>
      <c r="AT345" s="45">
        <f t="shared" si="81"/>
        <v>733.53201271163425</v>
      </c>
      <c r="AU345" s="45">
        <f t="shared" si="82"/>
        <v>-217.38175749043381</v>
      </c>
      <c r="AV345" s="64">
        <f t="shared" si="83"/>
        <v>1386.6394132036976</v>
      </c>
      <c r="AW345" s="64">
        <f t="shared" si="84"/>
        <v>427.34294360638842</v>
      </c>
      <c r="AX345" s="64">
        <f t="shared" si="85"/>
        <v>-209.43829716753257</v>
      </c>
      <c r="AY345" s="64">
        <f t="shared" si="86"/>
        <v>51.633183454661605</v>
      </c>
      <c r="AZ345" s="64">
        <f t="shared" si="87"/>
        <v>-443.66910332453079</v>
      </c>
      <c r="BA345" s="64">
        <f t="shared" si="88"/>
        <v>-696.35788455148383</v>
      </c>
      <c r="BB345" s="65">
        <f t="shared" si="89"/>
        <v>13886.199842793185</v>
      </c>
      <c r="BC345" s="65">
        <f t="shared" si="90"/>
        <v>27530.011385682115</v>
      </c>
      <c r="BD345" s="66">
        <f t="shared" si="91"/>
        <v>21829.438401556563</v>
      </c>
    </row>
    <row r="346" spans="31:56" x14ac:dyDescent="0.25">
      <c r="AE346" s="71">
        <v>284</v>
      </c>
      <c r="AF346" s="17">
        <v>5.1522119518872609</v>
      </c>
      <c r="AG346" s="18">
        <v>-15981.299037657525</v>
      </c>
      <c r="AH346" s="20">
        <v>3667.5405587348878</v>
      </c>
      <c r="AN346" s="23">
        <v>341</v>
      </c>
      <c r="AO346" s="58">
        <v>170.5</v>
      </c>
      <c r="AP346" s="45">
        <f t="shared" si="92"/>
        <v>7248.4875718964267</v>
      </c>
      <c r="AQ346" s="45">
        <f t="shared" si="93"/>
        <v>2871.144135910723</v>
      </c>
      <c r="AR346" s="45">
        <f t="shared" si="94"/>
        <v>1037.5656314563832</v>
      </c>
      <c r="AS346" s="45">
        <f t="shared" si="95"/>
        <v>-1078.2715968430457</v>
      </c>
      <c r="AT346" s="45">
        <f t="shared" si="81"/>
        <v>722.62962870807041</v>
      </c>
      <c r="AU346" s="45">
        <f t="shared" si="82"/>
        <v>-129.98414931165644</v>
      </c>
      <c r="AV346" s="64">
        <f t="shared" si="83"/>
        <v>1394.8259509446948</v>
      </c>
      <c r="AW346" s="64">
        <f t="shared" si="84"/>
        <v>506.32803903203086</v>
      </c>
      <c r="AX346" s="64">
        <f t="shared" si="85"/>
        <v>-200.18633653492535</v>
      </c>
      <c r="AY346" s="64">
        <f t="shared" si="86"/>
        <v>52.373532121813454</v>
      </c>
      <c r="AZ346" s="64">
        <f t="shared" si="87"/>
        <v>-472.00998570169901</v>
      </c>
      <c r="BA346" s="64">
        <f t="shared" si="88"/>
        <v>-688.68572046550071</v>
      </c>
      <c r="BB346" s="65">
        <f t="shared" si="89"/>
        <v>13565.669014633726</v>
      </c>
      <c r="BC346" s="65">
        <f t="shared" si="90"/>
        <v>28165.593565319265</v>
      </c>
      <c r="BD346" s="66">
        <f t="shared" si="91"/>
        <v>21665.715786130801</v>
      </c>
    </row>
    <row r="347" spans="31:56" x14ac:dyDescent="0.25">
      <c r="AE347" s="71">
        <v>285</v>
      </c>
      <c r="AF347" s="17">
        <v>5.2150438049590573</v>
      </c>
      <c r="AG347" s="18">
        <v>-15591.610607806448</v>
      </c>
      <c r="AH347" s="20">
        <v>3932.3725421878971</v>
      </c>
      <c r="AN347" s="23">
        <v>342</v>
      </c>
      <c r="AO347" s="58">
        <v>171</v>
      </c>
      <c r="AP347" s="45">
        <f t="shared" si="92"/>
        <v>7947.9277948016361</v>
      </c>
      <c r="AQ347" s="45">
        <f t="shared" si="93"/>
        <v>2299.512300161286</v>
      </c>
      <c r="AR347" s="45">
        <f t="shared" si="94"/>
        <v>1398.8804458104185</v>
      </c>
      <c r="AS347" s="45">
        <f t="shared" si="95"/>
        <v>-1143.2636714988739</v>
      </c>
      <c r="AT347" s="45">
        <f t="shared" si="81"/>
        <v>712.93190194621832</v>
      </c>
      <c r="AU347" s="45">
        <f t="shared" si="82"/>
        <v>-12.89164032837914</v>
      </c>
      <c r="AV347" s="64">
        <f t="shared" si="83"/>
        <v>1404.4129521361904</v>
      </c>
      <c r="AW347" s="64">
        <f t="shared" si="84"/>
        <v>606.00634967389192</v>
      </c>
      <c r="AX347" s="64">
        <f t="shared" si="85"/>
        <v>-189.23795908173599</v>
      </c>
      <c r="AY347" s="64">
        <f t="shared" si="86"/>
        <v>52.140702056720507</v>
      </c>
      <c r="AZ347" s="64">
        <f t="shared" si="87"/>
        <v>-502.24309110823594</v>
      </c>
      <c r="BA347" s="64">
        <f t="shared" si="88"/>
        <v>-671.03869205899161</v>
      </c>
      <c r="BB347" s="65">
        <f t="shared" si="89"/>
        <v>13126.214867793715</v>
      </c>
      <c r="BC347" s="65">
        <f t="shared" si="90"/>
        <v>28989.380449378583</v>
      </c>
      <c r="BD347" s="66">
        <f t="shared" si="91"/>
        <v>21608.377079337271</v>
      </c>
    </row>
    <row r="348" spans="31:56" x14ac:dyDescent="0.25">
      <c r="AE348" s="71">
        <v>286</v>
      </c>
      <c r="AF348" s="17">
        <v>5.2778756580308528</v>
      </c>
      <c r="AG348" s="18">
        <v>-15219.320076884826</v>
      </c>
      <c r="AH348" s="20">
        <v>4221.1506791815818</v>
      </c>
      <c r="AN348" s="23">
        <v>343</v>
      </c>
      <c r="AO348" s="58">
        <v>171.5</v>
      </c>
      <c r="AP348" s="45">
        <f t="shared" si="92"/>
        <v>8825.6009931934004</v>
      </c>
      <c r="AQ348" s="45">
        <f t="shared" si="93"/>
        <v>1724.6575543297542</v>
      </c>
      <c r="AR348" s="45">
        <f t="shared" si="94"/>
        <v>1755.3463967835276</v>
      </c>
      <c r="AS348" s="45">
        <f t="shared" si="95"/>
        <v>-1149.7094916630635</v>
      </c>
      <c r="AT348" s="45">
        <f t="shared" si="81"/>
        <v>702.05092022714473</v>
      </c>
      <c r="AU348" s="45">
        <f t="shared" si="82"/>
        <v>137.61308300204985</v>
      </c>
      <c r="AV348" s="64">
        <f t="shared" si="83"/>
        <v>1410.0467360790897</v>
      </c>
      <c r="AW348" s="64">
        <f t="shared" si="84"/>
        <v>728.76427271801833</v>
      </c>
      <c r="AX348" s="64">
        <f t="shared" si="85"/>
        <v>-177.24996352860236</v>
      </c>
      <c r="AY348" s="64">
        <f t="shared" si="86"/>
        <v>50.885466257168517</v>
      </c>
      <c r="AZ348" s="64">
        <f t="shared" si="87"/>
        <v>-530.74585232334255</v>
      </c>
      <c r="BA348" s="64">
        <f t="shared" si="88"/>
        <v>-642.03665597313704</v>
      </c>
      <c r="BB348" s="65">
        <f t="shared" si="89"/>
        <v>12578.623673839706</v>
      </c>
      <c r="BC348" s="65">
        <f t="shared" si="90"/>
        <v>29989.941067162905</v>
      </c>
      <c r="BD348" s="66">
        <f t="shared" si="91"/>
        <v>21699.341306421946</v>
      </c>
    </row>
    <row r="349" spans="31:56" x14ac:dyDescent="0.25">
      <c r="AE349" s="71">
        <v>287</v>
      </c>
      <c r="AF349" s="17">
        <v>5.3407075111026492</v>
      </c>
      <c r="AG349" s="18">
        <v>-14865.896705534837</v>
      </c>
      <c r="AH349" s="20">
        <v>4532.7352943394135</v>
      </c>
      <c r="AN349" s="23">
        <v>344</v>
      </c>
      <c r="AO349" s="58">
        <v>172</v>
      </c>
      <c r="AP349" s="45">
        <f t="shared" si="92"/>
        <v>9878.7869216419494</v>
      </c>
      <c r="AQ349" s="45">
        <f t="shared" si="93"/>
        <v>1184.206079248735</v>
      </c>
      <c r="AR349" s="45">
        <f t="shared" si="94"/>
        <v>2106.3718568970999</v>
      </c>
      <c r="AS349" s="45">
        <f t="shared" si="95"/>
        <v>-1080.9029501620387</v>
      </c>
      <c r="AT349" s="45">
        <f t="shared" si="81"/>
        <v>686.98623769499216</v>
      </c>
      <c r="AU349" s="45">
        <f t="shared" si="82"/>
        <v>323.76705694554346</v>
      </c>
      <c r="AV349" s="64">
        <f t="shared" si="83"/>
        <v>1404.8347351501013</v>
      </c>
      <c r="AW349" s="64">
        <f t="shared" si="84"/>
        <v>876.63866092231501</v>
      </c>
      <c r="AX349" s="64">
        <f t="shared" si="85"/>
        <v>-164.85432094896936</v>
      </c>
      <c r="AY349" s="64">
        <f t="shared" si="86"/>
        <v>48.64058652189874</v>
      </c>
      <c r="AZ349" s="64">
        <f t="shared" si="87"/>
        <v>-552.99417650613975</v>
      </c>
      <c r="BA349" s="64">
        <f t="shared" si="88"/>
        <v>-601.51219049867029</v>
      </c>
      <c r="BB349" s="65">
        <f t="shared" si="89"/>
        <v>11930.138600490971</v>
      </c>
      <c r="BC349" s="65">
        <f t="shared" si="90"/>
        <v>31152.209076757896</v>
      </c>
      <c r="BD349" s="66">
        <f t="shared" si="91"/>
        <v>21984.240416153007</v>
      </c>
    </row>
    <row r="350" spans="31:56" x14ac:dyDescent="0.25">
      <c r="AE350" s="71">
        <v>288</v>
      </c>
      <c r="AF350" s="17">
        <v>5.4035393641744447</v>
      </c>
      <c r="AG350" s="18">
        <v>-14532.735294339411</v>
      </c>
      <c r="AH350" s="20">
        <v>4865.8967055348376</v>
      </c>
      <c r="AN350" s="23">
        <v>345</v>
      </c>
      <c r="AO350" s="58">
        <v>172.5</v>
      </c>
      <c r="AP350" s="45">
        <f t="shared" si="92"/>
        <v>11103.719409514248</v>
      </c>
      <c r="AQ350" s="45">
        <f t="shared" si="93"/>
        <v>724.69636840410158</v>
      </c>
      <c r="AR350" s="45">
        <f t="shared" si="94"/>
        <v>2449.864975744596</v>
      </c>
      <c r="AS350" s="45">
        <f t="shared" si="95"/>
        <v>-919.01942168926689</v>
      </c>
      <c r="AT350" s="45">
        <f t="shared" si="81"/>
        <v>662.74091923485696</v>
      </c>
      <c r="AU350" s="45">
        <f t="shared" si="82"/>
        <v>545.18743492638032</v>
      </c>
      <c r="AV350" s="64">
        <f t="shared" si="83"/>
        <v>1379.7257595397796</v>
      </c>
      <c r="AW350" s="64">
        <f t="shared" si="84"/>
        <v>1050.7830608685711</v>
      </c>
      <c r="AX350" s="64">
        <f t="shared" si="85"/>
        <v>-152.59958405111229</v>
      </c>
      <c r="AY350" s="64">
        <f t="shared" si="86"/>
        <v>45.506052105663919</v>
      </c>
      <c r="AZ350" s="64">
        <f t="shared" si="87"/>
        <v>-564.38525625381033</v>
      </c>
      <c r="BA350" s="64">
        <f t="shared" si="88"/>
        <v>-551.10167804785465</v>
      </c>
      <c r="BB350" s="65">
        <f t="shared" si="89"/>
        <v>11182.510793420684</v>
      </c>
      <c r="BC350" s="65">
        <f t="shared" si="90"/>
        <v>32457.24292918438</v>
      </c>
      <c r="BD350" s="66">
        <f t="shared" si="91"/>
        <v>22507.684347770366</v>
      </c>
    </row>
    <row r="351" spans="31:56" x14ac:dyDescent="0.25">
      <c r="AE351" s="71">
        <v>289</v>
      </c>
      <c r="AF351" s="17">
        <v>5.4663712172462402</v>
      </c>
      <c r="AG351" s="18">
        <v>-14221.150679181581</v>
      </c>
      <c r="AH351" s="20">
        <v>5219.3200768848274</v>
      </c>
      <c r="AN351" s="23">
        <v>346</v>
      </c>
      <c r="AO351" s="58">
        <v>173</v>
      </c>
      <c r="AP351" s="45">
        <f t="shared" si="92"/>
        <v>12494.33712719526</v>
      </c>
      <c r="AQ351" s="45">
        <f t="shared" si="93"/>
        <v>401.48351629106321</v>
      </c>
      <c r="AR351" s="45">
        <f t="shared" si="94"/>
        <v>2781.2354353620244</v>
      </c>
      <c r="AS351" s="45">
        <f t="shared" si="95"/>
        <v>-646.42570422607673</v>
      </c>
      <c r="AT351" s="45">
        <f t="shared" si="81"/>
        <v>619.84032093758105</v>
      </c>
      <c r="AU351" s="45">
        <f t="shared" si="82"/>
        <v>797.82189026987794</v>
      </c>
      <c r="AV351" s="64">
        <f t="shared" si="83"/>
        <v>1322.2135556891394</v>
      </c>
      <c r="AW351" s="64">
        <f t="shared" si="84"/>
        <v>1250.4897807294483</v>
      </c>
      <c r="AX351" s="64">
        <f t="shared" si="85"/>
        <v>-140.91326288260754</v>
      </c>
      <c r="AY351" s="64">
        <f t="shared" si="86"/>
        <v>41.624430474069648</v>
      </c>
      <c r="AZ351" s="64">
        <f t="shared" si="87"/>
        <v>-561.45997186895079</v>
      </c>
      <c r="BA351" s="64">
        <f t="shared" si="88"/>
        <v>-494.29232093363993</v>
      </c>
      <c r="BB351" s="65">
        <f t="shared" si="89"/>
        <v>10330.726568334243</v>
      </c>
      <c r="BC351" s="65">
        <f t="shared" si="90"/>
        <v>33882.347380661988</v>
      </c>
      <c r="BD351" s="66">
        <f t="shared" si="91"/>
        <v>23307.885490162935</v>
      </c>
    </row>
    <row r="352" spans="31:56" x14ac:dyDescent="0.25">
      <c r="AE352" s="71">
        <v>290</v>
      </c>
      <c r="AF352" s="17">
        <v>5.5292030703180366</v>
      </c>
      <c r="AG352" s="18">
        <v>-13932.372542187892</v>
      </c>
      <c r="AH352" s="20">
        <v>5591.6106078064558</v>
      </c>
      <c r="AN352" s="23">
        <v>347</v>
      </c>
      <c r="AO352" s="58">
        <v>173.5</v>
      </c>
      <c r="AP352" s="45">
        <f t="shared" si="92"/>
        <v>14039.914925110668</v>
      </c>
      <c r="AQ352" s="45">
        <f t="shared" si="93"/>
        <v>277.72613674549433</v>
      </c>
      <c r="AR352" s="45">
        <f t="shared" si="94"/>
        <v>3091.1555958308149</v>
      </c>
      <c r="AS352" s="45">
        <f t="shared" si="95"/>
        <v>-247.51475909113776</v>
      </c>
      <c r="AT352" s="45">
        <f t="shared" si="81"/>
        <v>540.58523521103245</v>
      </c>
      <c r="AU352" s="45">
        <f t="shared" si="82"/>
        <v>1072.1590504737023</v>
      </c>
      <c r="AV352" s="64">
        <f t="shared" si="83"/>
        <v>1213.6982127559079</v>
      </c>
      <c r="AW352" s="64">
        <f t="shared" si="84"/>
        <v>1470.7274761557767</v>
      </c>
      <c r="AX352" s="64">
        <f t="shared" si="85"/>
        <v>-130.09046122410695</v>
      </c>
      <c r="AY352" s="64">
        <f t="shared" si="86"/>
        <v>37.155647826982531</v>
      </c>
      <c r="AZ352" s="64">
        <f t="shared" si="87"/>
        <v>-543.02251632076843</v>
      </c>
      <c r="BA352" s="64">
        <f t="shared" si="88"/>
        <v>-435.72407350905684</v>
      </c>
      <c r="BB352" s="65">
        <f t="shared" si="89"/>
        <v>9363.9657120136726</v>
      </c>
      <c r="BC352" s="65">
        <f t="shared" si="90"/>
        <v>35401.107569974331</v>
      </c>
      <c r="BD352" s="66">
        <f t="shared" si="91"/>
        <v>24411.621745898989</v>
      </c>
    </row>
    <row r="353" spans="31:56" x14ac:dyDescent="0.25">
      <c r="AE353" s="71">
        <v>291</v>
      </c>
      <c r="AF353" s="17">
        <v>5.5920349233898321</v>
      </c>
      <c r="AG353" s="18">
        <v>-13667.540558734885</v>
      </c>
      <c r="AH353" s="20">
        <v>5981.2990376575272</v>
      </c>
      <c r="AN353" s="23">
        <v>348</v>
      </c>
      <c r="AO353" s="58">
        <v>174</v>
      </c>
      <c r="AP353" s="45">
        <f t="shared" si="92"/>
        <v>15720.639031828834</v>
      </c>
      <c r="AQ353" s="45">
        <f t="shared" si="93"/>
        <v>422.00851981835103</v>
      </c>
      <c r="AR353" s="45">
        <f t="shared" si="94"/>
        <v>3361.4482134363311</v>
      </c>
      <c r="AS353" s="45">
        <f t="shared" si="95"/>
        <v>288.56476614571341</v>
      </c>
      <c r="AT353" s="45">
        <f t="shared" si="81"/>
        <v>394.35692179152539</v>
      </c>
      <c r="AU353" s="45">
        <f t="shared" si="82"/>
        <v>1347.9695425617133</v>
      </c>
      <c r="AV353" s="64">
        <f t="shared" si="83"/>
        <v>1025.2322824316543</v>
      </c>
      <c r="AW353" s="64">
        <f t="shared" si="84"/>
        <v>1695.7170508006056</v>
      </c>
      <c r="AX353" s="64">
        <f t="shared" si="85"/>
        <v>-120.30791869600618</v>
      </c>
      <c r="AY353" s="64">
        <f t="shared" si="86"/>
        <v>32.258891540041347</v>
      </c>
      <c r="AZ353" s="64">
        <f t="shared" si="87"/>
        <v>-510.56744194412278</v>
      </c>
      <c r="BA353" s="64">
        <f t="shared" si="88"/>
        <v>-380.0063997789336</v>
      </c>
      <c r="BB353" s="65">
        <f t="shared" si="89"/>
        <v>8271.0878177801296</v>
      </c>
      <c r="BC353" s="65">
        <f t="shared" si="90"/>
        <v>36982.454943346384</v>
      </c>
      <c r="BD353" s="66">
        <f t="shared" si="91"/>
        <v>25829.890217976117</v>
      </c>
    </row>
    <row r="354" spans="31:56" x14ac:dyDescent="0.25">
      <c r="AE354" s="71">
        <v>292</v>
      </c>
      <c r="AF354" s="17">
        <v>5.6548667764616285</v>
      </c>
      <c r="AG354" s="18">
        <v>-13427.699899671024</v>
      </c>
      <c r="AH354" s="20">
        <v>6386.8474442371353</v>
      </c>
      <c r="AN354" s="23">
        <v>349</v>
      </c>
      <c r="AO354" s="58">
        <v>174.5</v>
      </c>
      <c r="AP354" s="45">
        <f t="shared" si="92"/>
        <v>17499.95236899488</v>
      </c>
      <c r="AQ354" s="45">
        <f t="shared" si="93"/>
        <v>903.283288531636</v>
      </c>
      <c r="AR354" s="45">
        <f t="shared" si="94"/>
        <v>3558.6266743320939</v>
      </c>
      <c r="AS354" s="45">
        <f t="shared" si="95"/>
        <v>962.54953742657005</v>
      </c>
      <c r="AT354" s="45">
        <f t="shared" si="81"/>
        <v>134.73946419642539</v>
      </c>
      <c r="AU354" s="45">
        <f t="shared" si="82"/>
        <v>1580.9611101131359</v>
      </c>
      <c r="AV354" s="64">
        <f t="shared" si="83"/>
        <v>714.20535652456374</v>
      </c>
      <c r="AW354" s="64">
        <f t="shared" si="84"/>
        <v>1884.5282595322528</v>
      </c>
      <c r="AX354" s="64">
        <f t="shared" si="85"/>
        <v>-111.65813261800832</v>
      </c>
      <c r="AY354" s="64">
        <f t="shared" si="86"/>
        <v>27.085965095715437</v>
      </c>
      <c r="AZ354" s="64">
        <f t="shared" si="87"/>
        <v>-467.80775971013009</v>
      </c>
      <c r="BA354" s="64">
        <f t="shared" si="88"/>
        <v>-330.65311451483228</v>
      </c>
      <c r="BB354" s="65">
        <f t="shared" si="89"/>
        <v>7054.5665727002888</v>
      </c>
      <c r="BC354" s="65">
        <f t="shared" si="90"/>
        <v>38587.519777845177</v>
      </c>
      <c r="BD354" s="66">
        <f t="shared" si="91"/>
        <v>27552.899592644109</v>
      </c>
    </row>
    <row r="355" spans="31:56" x14ac:dyDescent="0.25">
      <c r="AE355" s="71">
        <v>293</v>
      </c>
      <c r="AF355" s="17">
        <v>5.717698629533424</v>
      </c>
      <c r="AG355" s="18">
        <v>-13213.797106504851</v>
      </c>
      <c r="AH355" s="20">
        <v>6806.6553132619583</v>
      </c>
      <c r="AN355" s="23">
        <v>350</v>
      </c>
      <c r="AO355" s="58">
        <v>175</v>
      </c>
      <c r="AP355" s="45">
        <f t="shared" si="92"/>
        <v>19312.950572210033</v>
      </c>
      <c r="AQ355" s="45">
        <f t="shared" si="93"/>
        <v>1779.7983347732049</v>
      </c>
      <c r="AR355" s="45">
        <f t="shared" si="94"/>
        <v>3625.9964064303067</v>
      </c>
      <c r="AS355" s="45">
        <f t="shared" si="95"/>
        <v>1753.0300924831381</v>
      </c>
      <c r="AT355" s="45">
        <f t="shared" si="81"/>
        <v>-289.81250772027232</v>
      </c>
      <c r="AU355" s="45">
        <f t="shared" si="82"/>
        <v>1680.6156278087649</v>
      </c>
      <c r="AV355" s="64">
        <f t="shared" si="83"/>
        <v>234.02688671027104</v>
      </c>
      <c r="AW355" s="64">
        <f t="shared" si="84"/>
        <v>1948.4493151738327</v>
      </c>
      <c r="AX355" s="64">
        <f t="shared" si="85"/>
        <v>-104.19588707713409</v>
      </c>
      <c r="AY355" s="64">
        <f t="shared" si="86"/>
        <v>21.786998736917518</v>
      </c>
      <c r="AZ355" s="64">
        <f t="shared" si="87"/>
        <v>-419.64350735340929</v>
      </c>
      <c r="BA355" s="64">
        <f t="shared" si="88"/>
        <v>-289.62068610198526</v>
      </c>
      <c r="BB355" s="65">
        <f t="shared" si="89"/>
        <v>5761.3144339716364</v>
      </c>
      <c r="BC355" s="65">
        <f t="shared" si="90"/>
        <v>40163.164692414692</v>
      </c>
      <c r="BD355" s="66">
        <f t="shared" si="91"/>
        <v>29541.178000925855</v>
      </c>
    </row>
    <row r="356" spans="31:56" x14ac:dyDescent="0.25">
      <c r="AE356" s="71">
        <v>294</v>
      </c>
      <c r="AF356" s="17">
        <v>5.7805304826052195</v>
      </c>
      <c r="AG356" s="18">
        <v>-13026.676355838114</v>
      </c>
      <c r="AH356" s="20">
        <v>7239.0658548649162</v>
      </c>
      <c r="AN356" s="23">
        <v>351</v>
      </c>
      <c r="AO356" s="58">
        <v>175.5</v>
      </c>
      <c r="AP356" s="45">
        <f t="shared" si="92"/>
        <v>21053.495648495118</v>
      </c>
      <c r="AQ356" s="45">
        <f t="shared" si="93"/>
        <v>3076.4672879669652</v>
      </c>
      <c r="AR356" s="45">
        <f t="shared" si="94"/>
        <v>3481.0901525701706</v>
      </c>
      <c r="AS356" s="45">
        <f t="shared" si="95"/>
        <v>2593.3379063875204</v>
      </c>
      <c r="AT356" s="45">
        <f t="shared" si="81"/>
        <v>-885.18871673252511</v>
      </c>
      <c r="AU356" s="45">
        <f t="shared" si="82"/>
        <v>1506.1849001309552</v>
      </c>
      <c r="AV356" s="64">
        <f t="shared" si="83"/>
        <v>-416.09446614030372</v>
      </c>
      <c r="AW356" s="64">
        <f t="shared" si="84"/>
        <v>1747.1429377964678</v>
      </c>
      <c r="AX356" s="64">
        <f t="shared" si="85"/>
        <v>-97.985678921967803</v>
      </c>
      <c r="AY356" s="64">
        <f t="shared" si="86"/>
        <v>16.524952202258518</v>
      </c>
      <c r="AZ356" s="64">
        <f t="shared" si="87"/>
        <v>-371.10857167025358</v>
      </c>
      <c r="BA356" s="64">
        <f t="shared" si="88"/>
        <v>-257.48298986777098</v>
      </c>
      <c r="BB356" s="65">
        <f t="shared" si="89"/>
        <v>4547.2513385367738</v>
      </c>
      <c r="BC356" s="65">
        <f t="shared" si="90"/>
        <v>41633.217629383384</v>
      </c>
      <c r="BD356" s="66">
        <f t="shared" si="91"/>
        <v>31710.302822885402</v>
      </c>
    </row>
    <row r="357" spans="31:56" x14ac:dyDescent="0.25">
      <c r="AE357" s="71">
        <v>295</v>
      </c>
      <c r="AF357" s="17">
        <v>5.8433623356770159</v>
      </c>
      <c r="AG357" s="18">
        <v>-12867.076127786346</v>
      </c>
      <c r="AH357" s="20">
        <v>7682.3725421878989</v>
      </c>
      <c r="AN357" s="23">
        <v>352</v>
      </c>
      <c r="AO357" s="58">
        <v>176</v>
      </c>
      <c r="AP357" s="45">
        <f t="shared" si="92"/>
        <v>22572.743545597074</v>
      </c>
      <c r="AQ357" s="45">
        <f t="shared" si="93"/>
        <v>4749.6824661934643</v>
      </c>
      <c r="AR357" s="45">
        <f t="shared" si="94"/>
        <v>3038.4957942039082</v>
      </c>
      <c r="AS357" s="45">
        <f t="shared" si="95"/>
        <v>3346.4303564529982</v>
      </c>
      <c r="AT357" s="45">
        <f t="shared" si="81"/>
        <v>-1523.7371173252277</v>
      </c>
      <c r="AU357" s="45">
        <f t="shared" si="82"/>
        <v>957.84317884523591</v>
      </c>
      <c r="AV357" s="64">
        <f t="shared" si="83"/>
        <v>-1104.0569749703761</v>
      </c>
      <c r="AW357" s="64">
        <f t="shared" si="84"/>
        <v>1180.260372931079</v>
      </c>
      <c r="AX357" s="64">
        <f t="shared" si="85"/>
        <v>-93.12685826660865</v>
      </c>
      <c r="AY357" s="64">
        <f t="shared" si="86"/>
        <v>11.48494403001798</v>
      </c>
      <c r="AZ357" s="64">
        <f t="shared" si="87"/>
        <v>-326.55328408824278</v>
      </c>
      <c r="BA357" s="64">
        <f t="shared" si="88"/>
        <v>-233.90213811586099</v>
      </c>
      <c r="BB357" s="65">
        <f t="shared" si="89"/>
        <v>3766.0663679992504</v>
      </c>
      <c r="BC357" s="65">
        <f t="shared" si="90"/>
        <v>42895.271618267827</v>
      </c>
      <c r="BD357" s="66">
        <f t="shared" si="91"/>
        <v>33916.163464441772</v>
      </c>
    </row>
    <row r="358" spans="31:56" x14ac:dyDescent="0.25">
      <c r="AE358" s="71">
        <v>296</v>
      </c>
      <c r="AF358" s="17">
        <v>5.9061941887488114</v>
      </c>
      <c r="AG358" s="18">
        <v>-12735.626291535267</v>
      </c>
      <c r="AH358" s="20">
        <v>8134.8258462635913</v>
      </c>
      <c r="AN358" s="23">
        <v>353</v>
      </c>
      <c r="AO358" s="58">
        <v>176.5</v>
      </c>
      <c r="AP358" s="45">
        <f t="shared" si="92"/>
        <v>23711.057163367721</v>
      </c>
      <c r="AQ358" s="45">
        <f t="shared" si="93"/>
        <v>6662.3584391312725</v>
      </c>
      <c r="AR358" s="45">
        <f t="shared" si="94"/>
        <v>2276.6272355412943</v>
      </c>
      <c r="AS358" s="45">
        <f t="shared" si="95"/>
        <v>3825.3519458756164</v>
      </c>
      <c r="AT358" s="45">
        <f t="shared" si="81"/>
        <v>-1965.1875553967245</v>
      </c>
      <c r="AU358" s="45">
        <f t="shared" si="82"/>
        <v>146.92227470095571</v>
      </c>
      <c r="AV358" s="64">
        <f t="shared" si="83"/>
        <v>-1586.4935824117533</v>
      </c>
      <c r="AW358" s="64">
        <f t="shared" si="84"/>
        <v>358.0955243151347</v>
      </c>
      <c r="AX358" s="64">
        <f t="shared" si="85"/>
        <v>-89.726643540166975</v>
      </c>
      <c r="AY358" s="64">
        <f t="shared" si="86"/>
        <v>6.8512498674566897</v>
      </c>
      <c r="AZ358" s="64">
        <f t="shared" si="87"/>
        <v>-288.96732944480408</v>
      </c>
      <c r="BA358" s="64">
        <f t="shared" si="88"/>
        <v>-218.0244994816357</v>
      </c>
      <c r="BB358" s="65">
        <f t="shared" si="89"/>
        <v>3804.4169926911895</v>
      </c>
      <c r="BC358" s="65">
        <f t="shared" si="90"/>
        <v>43838.297977088921</v>
      </c>
      <c r="BD358" s="66">
        <f t="shared" si="91"/>
        <v>35966.409003173649</v>
      </c>
    </row>
    <row r="359" spans="31:56" x14ac:dyDescent="0.25">
      <c r="AE359" s="71">
        <v>297</v>
      </c>
      <c r="AF359" s="17">
        <v>5.9690260418206078</v>
      </c>
      <c r="AG359" s="18">
        <v>-12632.845619534834</v>
      </c>
      <c r="AH359" s="20">
        <v>8594.6401406070654</v>
      </c>
      <c r="AN359" s="23">
        <v>354</v>
      </c>
      <c r="AO359" s="58">
        <v>177</v>
      </c>
      <c r="AP359" s="45">
        <f t="shared" si="92"/>
        <v>24358.073892289187</v>
      </c>
      <c r="AQ359" s="45">
        <f t="shared" si="93"/>
        <v>8611.7649807443195</v>
      </c>
      <c r="AR359" s="45">
        <f t="shared" si="94"/>
        <v>1294.033457842932</v>
      </c>
      <c r="AS359" s="45">
        <f t="shared" si="95"/>
        <v>3898.813083226094</v>
      </c>
      <c r="AT359" s="45">
        <f t="shared" si="81"/>
        <v>-2078.3199863858117</v>
      </c>
      <c r="AU359" s="45">
        <f t="shared" si="82"/>
        <v>-647.56389267089855</v>
      </c>
      <c r="AV359" s="64">
        <f t="shared" si="83"/>
        <v>-1730.9331035949692</v>
      </c>
      <c r="AW359" s="64">
        <f t="shared" si="84"/>
        <v>-441.56910969151375</v>
      </c>
      <c r="AX359" s="64">
        <f t="shared" si="85"/>
        <v>-87.841757973581394</v>
      </c>
      <c r="AY359" s="64">
        <f t="shared" si="86"/>
        <v>2.7491050415763301</v>
      </c>
      <c r="AZ359" s="64">
        <f t="shared" si="87"/>
        <v>-259.54512481726107</v>
      </c>
      <c r="BA359" s="64">
        <f t="shared" si="88"/>
        <v>-208.74388802096118</v>
      </c>
      <c r="BB359" s="65">
        <f t="shared" si="89"/>
        <v>4497.6470985463102</v>
      </c>
      <c r="BC359" s="65">
        <f t="shared" si="90"/>
        <v>44379.791751454577</v>
      </c>
      <c r="BD359" s="66">
        <f t="shared" si="91"/>
        <v>37675.083917239201</v>
      </c>
    </row>
    <row r="360" spans="31:56" x14ac:dyDescent="0.25">
      <c r="AE360" s="71">
        <v>298</v>
      </c>
      <c r="AF360" s="17">
        <v>6.0318578948924033</v>
      </c>
      <c r="AG360" s="18">
        <v>-12559.139740141416</v>
      </c>
      <c r="AH360" s="20">
        <v>9060.0007482677211</v>
      </c>
      <c r="AN360" s="23">
        <v>355</v>
      </c>
      <c r="AO360" s="58">
        <v>177.5</v>
      </c>
      <c r="AP360" s="45">
        <f t="shared" si="92"/>
        <v>24485.510624614199</v>
      </c>
      <c r="AQ360" s="45">
        <f t="shared" si="93"/>
        <v>10399.280549189642</v>
      </c>
      <c r="AR360" s="45">
        <f t="shared" si="94"/>
        <v>254.87346465002611</v>
      </c>
      <c r="AS360" s="45">
        <f t="shared" si="95"/>
        <v>3575.0311368906446</v>
      </c>
      <c r="AT360" s="45">
        <f t="shared" si="81"/>
        <v>-1937.3082156755565</v>
      </c>
      <c r="AU360" s="45">
        <f t="shared" si="82"/>
        <v>-1247.6335238673182</v>
      </c>
      <c r="AV360" s="64">
        <f t="shared" si="83"/>
        <v>-1611.8546759167391</v>
      </c>
      <c r="AW360" s="64">
        <f t="shared" si="84"/>
        <v>-1041.847696082031</v>
      </c>
      <c r="AX360" s="64">
        <f t="shared" si="85"/>
        <v>-87.47235613945827</v>
      </c>
      <c r="AY360" s="64">
        <f t="shared" si="86"/>
        <v>-0.78510980109892148</v>
      </c>
      <c r="AZ360" s="64">
        <f t="shared" si="87"/>
        <v>-237.98118361935926</v>
      </c>
      <c r="BA360" s="64">
        <f t="shared" si="88"/>
        <v>-205.00071798418821</v>
      </c>
      <c r="BB360" s="65">
        <f t="shared" si="89"/>
        <v>5340.9393618010918</v>
      </c>
      <c r="BC360" s="65">
        <f t="shared" si="90"/>
        <v>44487.302463620152</v>
      </c>
      <c r="BD360" s="66">
        <f t="shared" si="91"/>
        <v>38916.818847519899</v>
      </c>
    </row>
    <row r="361" spans="31:56" x14ac:dyDescent="0.25">
      <c r="AE361" s="71">
        <v>299</v>
      </c>
      <c r="AF361" s="17">
        <v>6.0946897479641988</v>
      </c>
      <c r="AG361" s="18">
        <v>-12514.799536787963</v>
      </c>
      <c r="AH361" s="20">
        <v>9529.0711035301501</v>
      </c>
      <c r="AN361" s="23">
        <v>356</v>
      </c>
      <c r="AO361" s="58">
        <v>178</v>
      </c>
      <c r="AP361" s="45">
        <f t="shared" si="92"/>
        <v>24128.620303020321</v>
      </c>
      <c r="AQ361" s="45">
        <f t="shared" si="93"/>
        <v>11874.887736668134</v>
      </c>
      <c r="AR361" s="45">
        <f t="shared" si="94"/>
        <v>-713.78064318775216</v>
      </c>
      <c r="AS361" s="45">
        <f t="shared" si="95"/>
        <v>2951.2143749569855</v>
      </c>
      <c r="AT361" s="45">
        <f t="shared" si="81"/>
        <v>-1672.1712744680281</v>
      </c>
      <c r="AU361" s="45">
        <f t="shared" si="82"/>
        <v>-1651.1750656631948</v>
      </c>
      <c r="AV361" s="64">
        <f t="shared" si="83"/>
        <v>-1360.2193355129721</v>
      </c>
      <c r="AW361" s="64">
        <f t="shared" si="84"/>
        <v>-1441.3548481949827</v>
      </c>
      <c r="AX361" s="64">
        <f t="shared" si="85"/>
        <v>-88.616960376862096</v>
      </c>
      <c r="AY361" s="64">
        <f t="shared" si="86"/>
        <v>-3.765058846854838</v>
      </c>
      <c r="AZ361" s="64">
        <f t="shared" si="87"/>
        <v>-223.33497857819384</v>
      </c>
      <c r="BA361" s="64">
        <f t="shared" si="88"/>
        <v>-206.05515862135732</v>
      </c>
      <c r="BB361" s="65">
        <f t="shared" si="89"/>
        <v>6015.4092391923623</v>
      </c>
      <c r="BC361" s="65">
        <f t="shared" si="90"/>
        <v>44168.431417396358</v>
      </c>
      <c r="BD361" s="66">
        <f t="shared" si="91"/>
        <v>39632.513314399366</v>
      </c>
    </row>
    <row r="362" spans="31:56" x14ac:dyDescent="0.25">
      <c r="AE362" s="71">
        <v>300</v>
      </c>
      <c r="AF362" s="17">
        <v>6.1575216010359952</v>
      </c>
      <c r="AG362" s="18">
        <v>-12500</v>
      </c>
      <c r="AH362" s="20">
        <v>10000.000000000005</v>
      </c>
      <c r="AN362" s="23">
        <v>357</v>
      </c>
      <c r="AO362" s="58">
        <v>178.5</v>
      </c>
      <c r="AP362" s="45">
        <f t="shared" si="92"/>
        <v>23353.687162809438</v>
      </c>
      <c r="AQ362" s="45">
        <f t="shared" si="93"/>
        <v>12937.701157730828</v>
      </c>
      <c r="AR362" s="45">
        <f t="shared" si="94"/>
        <v>-1549.8662804217661</v>
      </c>
      <c r="AS362" s="45">
        <f t="shared" si="95"/>
        <v>2125.6268421253881</v>
      </c>
      <c r="AT362" s="45">
        <f t="shared" si="81"/>
        <v>-1356.9227116627255</v>
      </c>
      <c r="AU362" s="45">
        <f t="shared" si="82"/>
        <v>-1921.6534251427925</v>
      </c>
      <c r="AV362" s="64">
        <f t="shared" si="83"/>
        <v>-1050.8580066091224</v>
      </c>
      <c r="AW362" s="64">
        <f t="shared" si="84"/>
        <v>-1703.8714470798202</v>
      </c>
      <c r="AX362" s="64">
        <f t="shared" si="85"/>
        <v>-91.320107365820107</v>
      </c>
      <c r="AY362" s="64">
        <f t="shared" si="86"/>
        <v>-6.1879669917166167</v>
      </c>
      <c r="AZ362" s="64">
        <f t="shared" si="87"/>
        <v>-214.74459768778294</v>
      </c>
      <c r="BA362" s="64">
        <f t="shared" si="88"/>
        <v>-211.59401107125552</v>
      </c>
      <c r="BB362" s="65">
        <f t="shared" si="89"/>
        <v>6388.7253397512713</v>
      </c>
      <c r="BC362" s="65">
        <f t="shared" si="90"/>
        <v>43453.104362092257</v>
      </c>
      <c r="BD362" s="66">
        <f t="shared" si="91"/>
        <v>39805.109241216</v>
      </c>
    </row>
    <row r="363" spans="31:56" x14ac:dyDescent="0.25">
      <c r="AE363" s="71">
        <v>301</v>
      </c>
      <c r="AF363" s="17">
        <v>6.2203534541077907</v>
      </c>
      <c r="AG363" s="18" cm="1">
        <f t="array" ref="AG363:AG462">COS(AF63:AF162)*$AL$36+$K$26</f>
        <v>-12514.799536787963</v>
      </c>
      <c r="AH363" s="20" cm="1">
        <f t="array" ref="AH363:AH462">SIN(AF63:AF162)*$AL$36+$L$26</f>
        <v>10470.92889646985</v>
      </c>
      <c r="AN363" s="23">
        <v>358</v>
      </c>
      <c r="AO363" s="58">
        <v>179</v>
      </c>
      <c r="AP363" s="45">
        <f t="shared" si="92"/>
        <v>22239.523344682872</v>
      </c>
      <c r="AQ363" s="45">
        <f t="shared" si="93"/>
        <v>13520.101222507823</v>
      </c>
      <c r="AR363" s="45">
        <f t="shared" si="94"/>
        <v>-2228.3276362531287</v>
      </c>
      <c r="AS363" s="45">
        <f t="shared" si="95"/>
        <v>1164.8001295539918</v>
      </c>
      <c r="AT363" s="45">
        <f t="shared" si="81"/>
        <v>-1005.896899556984</v>
      </c>
      <c r="AU363" s="45">
        <f t="shared" si="82"/>
        <v>-2107.2218788118053</v>
      </c>
      <c r="AV363" s="64">
        <f t="shared" si="83"/>
        <v>-698.45569552624886</v>
      </c>
      <c r="AW363" s="64">
        <f t="shared" si="84"/>
        <v>-1877.5307685397408</v>
      </c>
      <c r="AX363" s="64">
        <f t="shared" si="85"/>
        <v>-95.678975608230502</v>
      </c>
      <c r="AY363" s="64">
        <f t="shared" si="86"/>
        <v>-7.9735672265635271</v>
      </c>
      <c r="AZ363" s="64">
        <f t="shared" si="87"/>
        <v>-211.76222842250462</v>
      </c>
      <c r="BA363" s="64">
        <f t="shared" si="88"/>
        <v>-221.71754304550103</v>
      </c>
      <c r="BB363" s="65">
        <f t="shared" si="89"/>
        <v>6423.167718549761</v>
      </c>
      <c r="BC363" s="65">
        <f t="shared" si="90"/>
        <v>42385.946314818902</v>
      </c>
      <c r="BD363" s="66">
        <f t="shared" si="91"/>
        <v>39438.405213542996</v>
      </c>
    </row>
    <row r="364" spans="31:56" x14ac:dyDescent="0.25">
      <c r="AE364" s="71">
        <v>302</v>
      </c>
      <c r="AF364" s="17">
        <v>6.2831853071795871</v>
      </c>
      <c r="AG364" s="18">
        <v>-12559.139740141416</v>
      </c>
      <c r="AH364" s="20">
        <v>10939.999251732283</v>
      </c>
      <c r="AN364" s="23">
        <v>359</v>
      </c>
      <c r="AO364" s="58">
        <v>179.5</v>
      </c>
      <c r="AP364" s="45">
        <f t="shared" si="92"/>
        <v>20873.885301667058</v>
      </c>
      <c r="AQ364" s="45">
        <f t="shared" si="93"/>
        <v>13575.695817581867</v>
      </c>
      <c r="AR364" s="45">
        <f t="shared" si="94"/>
        <v>-2731.2760860316207</v>
      </c>
      <c r="AS364" s="45">
        <f t="shared" si="95"/>
        <v>111.18919014808921</v>
      </c>
      <c r="AT364" s="45">
        <f t="shared" si="81"/>
        <v>-599.52438458459596</v>
      </c>
      <c r="AU364" s="45">
        <f t="shared" si="82"/>
        <v>-2215.0273509172989</v>
      </c>
      <c r="AV364" s="64">
        <f t="shared" si="83"/>
        <v>-283.2418306587299</v>
      </c>
      <c r="AW364" s="64">
        <f t="shared" si="84"/>
        <v>-1969.2415041363395</v>
      </c>
      <c r="AX364" s="64">
        <f t="shared" si="85"/>
        <v>-101.79906809095134</v>
      </c>
      <c r="AY364" s="64">
        <f t="shared" si="86"/>
        <v>-8.9055028490697552</v>
      </c>
      <c r="AZ364" s="64">
        <f t="shared" si="87"/>
        <v>-214.4834858349148</v>
      </c>
      <c r="BA364" s="64">
        <f t="shared" si="88"/>
        <v>-236.88034393188954</v>
      </c>
      <c r="BB364" s="65">
        <f t="shared" si="89"/>
        <v>6138.2208487681119</v>
      </c>
      <c r="BC364" s="65">
        <f t="shared" si="90"/>
        <v>41029.990253882672</v>
      </c>
      <c r="BD364" s="66">
        <f t="shared" si="91"/>
        <v>38549.038017346014</v>
      </c>
    </row>
    <row r="365" spans="31:56" x14ac:dyDescent="0.25">
      <c r="AE365" s="71">
        <v>303</v>
      </c>
      <c r="AF365" s="17" cm="1">
        <f t="array" ref="AF365:AF465">$AL$35*AE62:AE162</f>
        <v>0</v>
      </c>
      <c r="AG365" s="18">
        <v>-12632.845619534834</v>
      </c>
      <c r="AH365" s="20">
        <v>11405.359859392935</v>
      </c>
      <c r="AN365" s="23">
        <v>360</v>
      </c>
      <c r="AO365" s="58">
        <v>180</v>
      </c>
      <c r="AP365" s="45">
        <f t="shared" si="92"/>
        <v>19358.366162505099</v>
      </c>
      <c r="AQ365" s="45">
        <f t="shared" si="93"/>
        <v>13077.533574926587</v>
      </c>
      <c r="AR365" s="45">
        <f t="shared" si="94"/>
        <v>-3031.0382783239188</v>
      </c>
      <c r="AS365" s="45">
        <f t="shared" si="95"/>
        <v>-996.32448531056025</v>
      </c>
      <c r="AT365" s="45">
        <f t="shared" si="81"/>
        <v>-110.5528438664961</v>
      </c>
      <c r="AU365" s="45">
        <f t="shared" si="82"/>
        <v>-2202.5422447253445</v>
      </c>
      <c r="AV365" s="64">
        <f t="shared" si="83"/>
        <v>222.73852232099776</v>
      </c>
      <c r="AW365" s="64">
        <f t="shared" si="84"/>
        <v>-1936.2002345843748</v>
      </c>
      <c r="AX365" s="64">
        <f t="shared" si="85"/>
        <v>-109.66856933940322</v>
      </c>
      <c r="AY365" s="64">
        <f t="shared" si="86"/>
        <v>-8.5752722270699042</v>
      </c>
      <c r="AZ365" s="64">
        <f t="shared" si="87"/>
        <v>-223.62279684809064</v>
      </c>
      <c r="BA365" s="64">
        <f t="shared" si="88"/>
        <v>-257.76673791389959</v>
      </c>
      <c r="BB365" s="65">
        <f t="shared" si="89"/>
        <v>5614.3187263328564</v>
      </c>
      <c r="BC365" s="65">
        <f t="shared" si="90"/>
        <v>39478.503009696644</v>
      </c>
      <c r="BD365" s="66">
        <f t="shared" si="91"/>
        <v>37170.928072322902</v>
      </c>
    </row>
    <row r="366" spans="31:56" x14ac:dyDescent="0.25">
      <c r="AE366" s="71">
        <v>304</v>
      </c>
      <c r="AF366" s="17">
        <v>6.2831853071795868E-2</v>
      </c>
      <c r="AG366" s="18">
        <v>-12735.626291535267</v>
      </c>
      <c r="AH366" s="20">
        <v>11865.174153736411</v>
      </c>
      <c r="AN366" s="23">
        <v>361</v>
      </c>
      <c r="AO366" s="58">
        <v>180.5</v>
      </c>
      <c r="AP366" s="45">
        <f t="shared" si="92"/>
        <v>17815.208812376517</v>
      </c>
      <c r="AQ366" s="45">
        <f t="shared" si="93"/>
        <v>12028.735771089971</v>
      </c>
      <c r="AR366" s="45">
        <f t="shared" si="94"/>
        <v>-3086.3147002571668</v>
      </c>
      <c r="AS366" s="45">
        <f t="shared" si="95"/>
        <v>-2097.5956076732327</v>
      </c>
      <c r="AT366" s="45">
        <f t="shared" si="81"/>
        <v>456.32583016535926</v>
      </c>
      <c r="AU366" s="45">
        <f t="shared" si="82"/>
        <v>-1982.3301234643245</v>
      </c>
      <c r="AV366" s="64">
        <f t="shared" si="83"/>
        <v>815.7772466703716</v>
      </c>
      <c r="AW366" s="64">
        <f t="shared" si="84"/>
        <v>-1690.9806388664736</v>
      </c>
      <c r="AX366" s="64">
        <f t="shared" si="85"/>
        <v>-118.90525572353417</v>
      </c>
      <c r="AY366" s="64">
        <f t="shared" si="86"/>
        <v>-6.3791091794257948</v>
      </c>
      <c r="AZ366" s="64">
        <f t="shared" si="87"/>
        <v>-240.54616078147814</v>
      </c>
      <c r="BA366" s="64">
        <f t="shared" si="88"/>
        <v>-284.97037541842514</v>
      </c>
      <c r="BB366" s="65">
        <f t="shared" si="89"/>
        <v>5028.1965174272073</v>
      </c>
      <c r="BC366" s="65">
        <f t="shared" si="90"/>
        <v>37869.58920232088</v>
      </c>
      <c r="BD366" s="66">
        <f t="shared" si="91"/>
        <v>35370.69847395923</v>
      </c>
    </row>
    <row r="367" spans="31:56" x14ac:dyDescent="0.25">
      <c r="AE367" s="71">
        <v>305</v>
      </c>
      <c r="AF367" s="17">
        <v>0.12566370614359174</v>
      </c>
      <c r="AG367" s="18">
        <v>-12867.076127786349</v>
      </c>
      <c r="AH367" s="20">
        <v>12317.627457812105</v>
      </c>
      <c r="AN367" s="23">
        <v>362</v>
      </c>
      <c r="AO367" s="58">
        <v>181</v>
      </c>
      <c r="AP367" s="45">
        <f t="shared" si="92"/>
        <v>16386.132919789274</v>
      </c>
      <c r="AQ367" s="45">
        <f t="shared" si="93"/>
        <v>10484.355436387274</v>
      </c>
      <c r="AR367" s="45">
        <f t="shared" si="94"/>
        <v>-2858.151785174487</v>
      </c>
      <c r="AS367" s="45">
        <f t="shared" si="95"/>
        <v>-3088.7606694053948</v>
      </c>
      <c r="AT367" s="45">
        <f t="shared" si="81"/>
        <v>1009.2699792324927</v>
      </c>
      <c r="AU367" s="45">
        <f t="shared" si="82"/>
        <v>-1480.0715294940078</v>
      </c>
      <c r="AV367" s="64">
        <f t="shared" si="83"/>
        <v>1404.7868133643417</v>
      </c>
      <c r="AW367" s="64">
        <f t="shared" si="84"/>
        <v>-1160.0822803877359</v>
      </c>
      <c r="AX367" s="64">
        <f t="shared" si="85"/>
        <v>-128.42067261785252</v>
      </c>
      <c r="AY367" s="64">
        <f t="shared" si="86"/>
        <v>-1.7094768236043527</v>
      </c>
      <c r="AZ367" s="64">
        <f t="shared" si="87"/>
        <v>-267.09616151399655</v>
      </c>
      <c r="BA367" s="64">
        <f t="shared" si="88"/>
        <v>-318.27977228266764</v>
      </c>
      <c r="BB367" s="65">
        <f t="shared" si="89"/>
        <v>4686.8339680561621</v>
      </c>
      <c r="BC367" s="65">
        <f t="shared" si="90"/>
        <v>36389.356535192135</v>
      </c>
      <c r="BD367" s="66">
        <f t="shared" si="91"/>
        <v>33268.890171916108</v>
      </c>
    </row>
    <row r="368" spans="31:56" x14ac:dyDescent="0.25">
      <c r="AE368" s="71">
        <v>306</v>
      </c>
      <c r="AF368" s="17">
        <v>0.1884955592153876</v>
      </c>
      <c r="AG368" s="18">
        <v>-13026.676355838115</v>
      </c>
      <c r="AH368" s="20">
        <v>12760.934145135085</v>
      </c>
      <c r="AN368" s="23">
        <v>363</v>
      </c>
      <c r="AO368" s="58">
        <v>181.5</v>
      </c>
      <c r="AP368" s="45">
        <f t="shared" si="92"/>
        <v>15209.374522010154</v>
      </c>
      <c r="AQ368" s="45">
        <f t="shared" si="93"/>
        <v>8569.9572193110744</v>
      </c>
      <c r="AR368" s="45">
        <f t="shared" si="94"/>
        <v>-2353.5167955582406</v>
      </c>
      <c r="AS368" s="45">
        <f t="shared" si="95"/>
        <v>-3828.7964341523984</v>
      </c>
      <c r="AT368" s="45">
        <f t="shared" si="81"/>
        <v>1373.2477721725647</v>
      </c>
      <c r="AU368" s="45">
        <f t="shared" si="82"/>
        <v>-755.32746843125506</v>
      </c>
      <c r="AV368" s="64">
        <f t="shared" si="83"/>
        <v>1814.5123866070928</v>
      </c>
      <c r="AW368" s="64">
        <f t="shared" si="84"/>
        <v>-405.26036453892488</v>
      </c>
      <c r="AX368" s="64">
        <f t="shared" si="85"/>
        <v>-136.36105000870251</v>
      </c>
      <c r="AY368" s="64">
        <f t="shared" si="86"/>
        <v>5.5383583996985353</v>
      </c>
      <c r="AZ368" s="64">
        <f t="shared" si="87"/>
        <v>-304.90356442582566</v>
      </c>
      <c r="BA368" s="64">
        <f t="shared" si="88"/>
        <v>-355.60546229202873</v>
      </c>
      <c r="BB368" s="65">
        <f t="shared" si="89"/>
        <v>4908.6557142991123</v>
      </c>
      <c r="BC368" s="65">
        <f t="shared" si="90"/>
        <v>35238.403434119689</v>
      </c>
      <c r="BD368" s="66">
        <f t="shared" si="91"/>
        <v>31047.732636877488</v>
      </c>
    </row>
    <row r="369" spans="31:56" x14ac:dyDescent="0.25">
      <c r="AE369" s="71">
        <v>307</v>
      </c>
      <c r="AF369" s="17">
        <v>0.25132741228718347</v>
      </c>
      <c r="AG369" s="18">
        <v>-13213.797106504855</v>
      </c>
      <c r="AH369" s="20">
        <v>13193.344686738044</v>
      </c>
      <c r="AN369" s="23">
        <v>364</v>
      </c>
      <c r="AO369" s="58">
        <v>182</v>
      </c>
      <c r="AP369" s="45">
        <f t="shared" si="92"/>
        <v>14375.928067274175</v>
      </c>
      <c r="AQ369" s="45">
        <f t="shared" si="93"/>
        <v>6466.727135127061</v>
      </c>
      <c r="AR369" s="45">
        <f t="shared" si="94"/>
        <v>-1666.8929094719583</v>
      </c>
      <c r="AS369" s="45">
        <f t="shared" si="95"/>
        <v>-4206.4601683680257</v>
      </c>
      <c r="AT369" s="45">
        <f t="shared" si="81"/>
        <v>1431.4466367185018</v>
      </c>
      <c r="AU369" s="45">
        <f t="shared" si="82"/>
        <v>-23.947732033692091</v>
      </c>
      <c r="AV369" s="64">
        <f t="shared" si="83"/>
        <v>1926.4321555762051</v>
      </c>
      <c r="AW369" s="64">
        <f t="shared" si="84"/>
        <v>353.93040775188382</v>
      </c>
      <c r="AX369" s="64">
        <f t="shared" si="85"/>
        <v>-140.84509452109623</v>
      </c>
      <c r="AY369" s="64">
        <f t="shared" si="86"/>
        <v>14.476529903366011</v>
      </c>
      <c r="AZ369" s="64">
        <f t="shared" si="87"/>
        <v>-354.14042433660717</v>
      </c>
      <c r="BA369" s="64">
        <f t="shared" si="88"/>
        <v>-392.3546696889419</v>
      </c>
      <c r="BB369" s="65">
        <f t="shared" si="89"/>
        <v>5718.2023327053694</v>
      </c>
      <c r="BC369" s="65">
        <f t="shared" si="90"/>
        <v>34557.031811543879</v>
      </c>
      <c r="BD369" s="66">
        <f t="shared" si="91"/>
        <v>28917.934960196995</v>
      </c>
    </row>
    <row r="370" spans="31:56" x14ac:dyDescent="0.25">
      <c r="AE370" s="71">
        <v>308</v>
      </c>
      <c r="AF370" s="17">
        <v>0.31415926535897931</v>
      </c>
      <c r="AG370" s="18">
        <v>-13427.699899671024</v>
      </c>
      <c r="AH370" s="20">
        <v>13613.152555762865</v>
      </c>
      <c r="AN370" s="23">
        <v>365</v>
      </c>
      <c r="AO370" s="58">
        <v>182.5</v>
      </c>
      <c r="AP370" s="45">
        <f t="shared" si="92"/>
        <v>13900.343271717822</v>
      </c>
      <c r="AQ370" s="45">
        <f t="shared" si="93"/>
        <v>4357.5101179346248</v>
      </c>
      <c r="AR370" s="45">
        <f t="shared" si="94"/>
        <v>-951.16959111270739</v>
      </c>
      <c r="AS370" s="45">
        <f t="shared" si="95"/>
        <v>-4218.4340343848717</v>
      </c>
      <c r="AT370" s="45">
        <f t="shared" si="81"/>
        <v>1236.939549653644</v>
      </c>
      <c r="AU370" s="45">
        <f t="shared" si="82"/>
        <v>523.53818106715039</v>
      </c>
      <c r="AV370" s="64">
        <f t="shared" si="83"/>
        <v>1790.4776869978882</v>
      </c>
      <c r="AW370" s="64">
        <f t="shared" si="84"/>
        <v>922.43846926108324</v>
      </c>
      <c r="AX370" s="64">
        <f t="shared" si="85"/>
        <v>-141.12423040187539</v>
      </c>
      <c r="AY370" s="64">
        <f t="shared" si="86"/>
        <v>23.489202919699355</v>
      </c>
      <c r="AZ370" s="64">
        <f t="shared" si="87"/>
        <v>-412.41390694236878</v>
      </c>
      <c r="BA370" s="64">
        <f t="shared" si="88"/>
        <v>-422.38949111363212</v>
      </c>
      <c r="BB370" s="65">
        <f t="shared" si="89"/>
        <v>6861.5635872417088</v>
      </c>
      <c r="BC370" s="65">
        <f t="shared" si="90"/>
        <v>34366.713052160136</v>
      </c>
      <c r="BD370" s="66">
        <f t="shared" si="91"/>
        <v>27054.318948269804</v>
      </c>
    </row>
    <row r="371" spans="31:56" x14ac:dyDescent="0.25">
      <c r="AE371" s="71">
        <v>309</v>
      </c>
      <c r="AF371" s="17">
        <v>0.37699111843077521</v>
      </c>
      <c r="AG371" s="18">
        <v>-13667.540558734887</v>
      </c>
      <c r="AH371" s="20">
        <v>14018.700962342475</v>
      </c>
      <c r="AN371" s="23">
        <v>366</v>
      </c>
      <c r="AO371" s="58">
        <v>183</v>
      </c>
      <c r="AP371" s="45">
        <f t="shared" si="92"/>
        <v>13733.99336357488</v>
      </c>
      <c r="AQ371" s="45">
        <f t="shared" si="93"/>
        <v>2379.1776460089764</v>
      </c>
      <c r="AR371" s="45">
        <f t="shared" si="94"/>
        <v>-332.69981628588539</v>
      </c>
      <c r="AS371" s="45">
        <f t="shared" si="95"/>
        <v>-3956.6649438512964</v>
      </c>
      <c r="AT371" s="45">
        <f t="shared" si="81"/>
        <v>928.54018738942887</v>
      </c>
      <c r="AU371" s="45">
        <f t="shared" si="82"/>
        <v>850.26318373699792</v>
      </c>
      <c r="AV371" s="64">
        <f t="shared" si="83"/>
        <v>1541.1642289871256</v>
      </c>
      <c r="AW371" s="64">
        <f t="shared" si="84"/>
        <v>1259.4988631341719</v>
      </c>
      <c r="AX371" s="64">
        <f t="shared" si="85"/>
        <v>-137.90355855545508</v>
      </c>
      <c r="AY371" s="64">
        <f t="shared" si="86"/>
        <v>31.153694447248547</v>
      </c>
      <c r="AZ371" s="64">
        <f t="shared" si="87"/>
        <v>-474.72048304224177</v>
      </c>
      <c r="BA371" s="64">
        <f t="shared" si="88"/>
        <v>-440.38937384442261</v>
      </c>
      <c r="BB371" s="65">
        <f t="shared" si="89"/>
        <v>8092.3210977356675</v>
      </c>
      <c r="BC371" s="65">
        <f t="shared" si="90"/>
        <v>34584.089428591338</v>
      </c>
      <c r="BD371" s="66">
        <f t="shared" si="91"/>
        <v>25553.831865260556</v>
      </c>
    </row>
    <row r="372" spans="31:56" x14ac:dyDescent="0.25">
      <c r="AE372" s="71">
        <v>310</v>
      </c>
      <c r="AF372" s="17">
        <v>0.4398229715025711</v>
      </c>
      <c r="AG372" s="18">
        <v>-13932.372542187895</v>
      </c>
      <c r="AH372" s="20">
        <v>14408.389392193549</v>
      </c>
      <c r="AN372" s="23">
        <v>367</v>
      </c>
      <c r="AO372" s="58">
        <v>183.5</v>
      </c>
      <c r="AP372" s="45">
        <f t="shared" si="92"/>
        <v>13799.778502279296</v>
      </c>
      <c r="AQ372" s="45">
        <f t="shared" si="93"/>
        <v>613.41097001757771</v>
      </c>
      <c r="AR372" s="45">
        <f t="shared" si="94"/>
        <v>131.57027740882904</v>
      </c>
      <c r="AS372" s="45">
        <f t="shared" si="95"/>
        <v>-3531.5333519827973</v>
      </c>
      <c r="AT372" s="45">
        <f t="shared" si="81"/>
        <v>613.82761296001718</v>
      </c>
      <c r="AU372" s="45">
        <f t="shared" si="82"/>
        <v>1015.7345424251092</v>
      </c>
      <c r="AV372" s="64">
        <f t="shared" si="83"/>
        <v>1281.1482746979693</v>
      </c>
      <c r="AW372" s="64">
        <f t="shared" si="84"/>
        <v>1422.9720111707811</v>
      </c>
      <c r="AX372" s="64">
        <f t="shared" si="85"/>
        <v>-132.62619773516775</v>
      </c>
      <c r="AY372" s="64">
        <f t="shared" si="86"/>
        <v>36.831827541865536</v>
      </c>
      <c r="AZ372" s="64">
        <f t="shared" si="87"/>
        <v>-534.69446400278434</v>
      </c>
      <c r="BA372" s="64">
        <f t="shared" si="88"/>
        <v>-444.06929628753744</v>
      </c>
      <c r="BB372" s="65">
        <f t="shared" si="89"/>
        <v>9266.490980337283</v>
      </c>
      <c r="BC372" s="65">
        <f t="shared" si="90"/>
        <v>35078.954950524509</v>
      </c>
      <c r="BD372" s="66">
        <f t="shared" si="91"/>
        <v>24437.886034872739</v>
      </c>
    </row>
    <row r="373" spans="31:56" x14ac:dyDescent="0.25">
      <c r="AE373" s="71">
        <v>311</v>
      </c>
      <c r="AF373" s="17">
        <v>0.50265482457436694</v>
      </c>
      <c r="AG373" s="18">
        <v>-14221.150679181581</v>
      </c>
      <c r="AH373" s="20">
        <v>14780.679923115173</v>
      </c>
      <c r="AN373" s="23">
        <v>368</v>
      </c>
      <c r="AO373" s="58">
        <v>184</v>
      </c>
      <c r="AP373" s="45">
        <f t="shared" si="92"/>
        <v>14019.020544223715</v>
      </c>
      <c r="AQ373" s="45">
        <f t="shared" si="93"/>
        <v>-898.4220703675436</v>
      </c>
      <c r="AR373" s="45">
        <f t="shared" si="94"/>
        <v>438.48408388883763</v>
      </c>
      <c r="AS373" s="45">
        <f t="shared" si="95"/>
        <v>-3023.6660807702428</v>
      </c>
      <c r="AT373" s="45">
        <f t="shared" si="81"/>
        <v>343.61867373602388</v>
      </c>
      <c r="AU373" s="45">
        <f t="shared" si="82"/>
        <v>1089.6734960684053</v>
      </c>
      <c r="AV373" s="64">
        <f t="shared" si="83"/>
        <v>1056.8281700026353</v>
      </c>
      <c r="AW373" s="64">
        <f t="shared" si="84"/>
        <v>1483.9858744146577</v>
      </c>
      <c r="AX373" s="64">
        <f t="shared" si="85"/>
        <v>-126.66500045646659</v>
      </c>
      <c r="AY373" s="64">
        <f t="shared" si="86"/>
        <v>40.57872961754817</v>
      </c>
      <c r="AZ373" s="64">
        <f t="shared" si="87"/>
        <v>-586.54449581014478</v>
      </c>
      <c r="BA373" s="64">
        <f t="shared" si="88"/>
        <v>-434.89110796380049</v>
      </c>
      <c r="BB373" s="65">
        <f t="shared" si="89"/>
        <v>10310.46112074793</v>
      </c>
      <c r="BC373" s="65">
        <f t="shared" si="90"/>
        <v>35722.11307316785</v>
      </c>
      <c r="BD373" s="66">
        <f t="shared" si="91"/>
        <v>23676.520913493619</v>
      </c>
    </row>
    <row r="374" spans="31:56" x14ac:dyDescent="0.25">
      <c r="AE374" s="71">
        <v>312</v>
      </c>
      <c r="AF374" s="17">
        <v>0.56548667764616278</v>
      </c>
      <c r="AG374" s="18">
        <v>-14532.735294339414</v>
      </c>
      <c r="AH374" s="20">
        <v>15134.103294465165</v>
      </c>
      <c r="AN374" s="23">
        <v>369</v>
      </c>
      <c r="AO374" s="58">
        <v>184.5</v>
      </c>
      <c r="AP374" s="45">
        <f t="shared" si="92"/>
        <v>14324.16725460214</v>
      </c>
      <c r="AQ374" s="45">
        <f t="shared" si="93"/>
        <v>-2137.836736735564</v>
      </c>
      <c r="AR374" s="45">
        <f t="shared" si="94"/>
        <v>610.29342075684963</v>
      </c>
      <c r="AS374" s="45">
        <f t="shared" si="95"/>
        <v>-2478.8293327360402</v>
      </c>
      <c r="AT374" s="45">
        <f t="shared" si="81"/>
        <v>132.37140922165815</v>
      </c>
      <c r="AU374" s="45">
        <f t="shared" si="82"/>
        <v>1119.9039283111749</v>
      </c>
      <c r="AV374" s="64">
        <f t="shared" si="83"/>
        <v>879.9466888203649</v>
      </c>
      <c r="AW374" s="64">
        <f t="shared" si="84"/>
        <v>1494.1917608051806</v>
      </c>
      <c r="AX374" s="64">
        <f t="shared" si="85"/>
        <v>-120.97265973620866</v>
      </c>
      <c r="AY374" s="64">
        <f t="shared" si="86"/>
        <v>42.778791473517558</v>
      </c>
      <c r="AZ374" s="64">
        <f t="shared" si="87"/>
        <v>-626.60261986249805</v>
      </c>
      <c r="BA374" s="64">
        <f t="shared" si="88"/>
        <v>-417.06662396752307</v>
      </c>
      <c r="BB374" s="65">
        <f t="shared" si="89"/>
        <v>11184.944090951025</v>
      </c>
      <c r="BC374" s="65">
        <f t="shared" si="90"/>
        <v>36407.080882289221</v>
      </c>
      <c r="BD374" s="66">
        <f t="shared" si="91"/>
        <v>23213.329875196854</v>
      </c>
    </row>
    <row r="375" spans="31:56" x14ac:dyDescent="0.25">
      <c r="AE375" s="71">
        <v>313</v>
      </c>
      <c r="AF375" s="17">
        <v>0.62831853071795862</v>
      </c>
      <c r="AG375" s="18">
        <v>-14865.896705534837</v>
      </c>
      <c r="AH375" s="20">
        <v>15467.264705660586</v>
      </c>
      <c r="AN375" s="23">
        <v>370</v>
      </c>
      <c r="AO375" s="58">
        <v>185</v>
      </c>
      <c r="AP375" s="45">
        <f t="shared" si="92"/>
        <v>14662.406817285981</v>
      </c>
      <c r="AQ375" s="45">
        <f t="shared" si="93"/>
        <v>-3097.2754210257908</v>
      </c>
      <c r="AR375" s="45">
        <f t="shared" si="94"/>
        <v>676.47912536767876</v>
      </c>
      <c r="AS375" s="45">
        <f t="shared" si="95"/>
        <v>-1918.8773685804526</v>
      </c>
      <c r="AT375" s="45">
        <f t="shared" si="81"/>
        <v>-21.858134648671239</v>
      </c>
      <c r="AU375" s="45">
        <f t="shared" si="82"/>
        <v>1133.1346723233908</v>
      </c>
      <c r="AV375" s="64">
        <f t="shared" si="83"/>
        <v>747.96385743273731</v>
      </c>
      <c r="AW375" s="64">
        <f t="shared" si="84"/>
        <v>1485.0099531484414</v>
      </c>
      <c r="AX375" s="64">
        <f t="shared" si="85"/>
        <v>-116.08935827271377</v>
      </c>
      <c r="AY375" s="64">
        <f t="shared" si="86"/>
        <v>43.864648717631098</v>
      </c>
      <c r="AZ375" s="64">
        <f t="shared" si="87"/>
        <v>-653.7326338086948</v>
      </c>
      <c r="BA375" s="64">
        <f t="shared" si="88"/>
        <v>-395.73992954268164</v>
      </c>
      <c r="BB375" s="65">
        <f t="shared" si="89"/>
        <v>11865.586683060916</v>
      </c>
      <c r="BC375" s="65">
        <f t="shared" si="90"/>
        <v>37054.298938466505</v>
      </c>
      <c r="BD375" s="66">
        <f t="shared" si="91"/>
        <v>22984.45331634779</v>
      </c>
    </row>
    <row r="376" spans="31:56" x14ac:dyDescent="0.25">
      <c r="AE376" s="71">
        <v>314</v>
      </c>
      <c r="AF376" s="17">
        <v>0.69115038378975457</v>
      </c>
      <c r="AG376" s="18">
        <v>-15219.320076884827</v>
      </c>
      <c r="AH376" s="20">
        <v>15778.849320818419</v>
      </c>
      <c r="AN376" s="23">
        <v>371</v>
      </c>
      <c r="AO376" s="58">
        <v>185.5</v>
      </c>
      <c r="AP376" s="45">
        <f t="shared" si="92"/>
        <v>14995.181846307652</v>
      </c>
      <c r="AQ376" s="45">
        <f t="shared" si="93"/>
        <v>-3773.4304372351694</v>
      </c>
      <c r="AR376" s="45">
        <f t="shared" si="94"/>
        <v>665.55005804334314</v>
      </c>
      <c r="AS376" s="45">
        <f t="shared" si="95"/>
        <v>-1352.3100324187571</v>
      </c>
      <c r="AT376" s="45">
        <f t="shared" si="81"/>
        <v>-126.43475239418808</v>
      </c>
      <c r="AU376" s="45">
        <f t="shared" si="82"/>
        <v>1143.0767906552906</v>
      </c>
      <c r="AV376" s="64">
        <f t="shared" si="83"/>
        <v>654.52815999432369</v>
      </c>
      <c r="AW376" s="64">
        <f t="shared" si="84"/>
        <v>1474.3348218283979</v>
      </c>
      <c r="AX376" s="64">
        <f t="shared" si="85"/>
        <v>-112.27154886450059</v>
      </c>
      <c r="AY376" s="64">
        <f t="shared" si="86"/>
        <v>44.187922073306936</v>
      </c>
      <c r="AZ376" s="64">
        <f t="shared" si="87"/>
        <v>-668.69136352401119</v>
      </c>
      <c r="BA376" s="64">
        <f t="shared" si="88"/>
        <v>-375.44595324641438</v>
      </c>
      <c r="BB376" s="65">
        <f t="shared" si="89"/>
        <v>12334.441153725158</v>
      </c>
      <c r="BC376" s="65">
        <f t="shared" si="90"/>
        <v>37608.112668219561</v>
      </c>
      <c r="BD376" s="66">
        <f t="shared" si="91"/>
        <v>22931.270379429676</v>
      </c>
    </row>
    <row r="377" spans="31:56" x14ac:dyDescent="0.25">
      <c r="AE377" s="71">
        <v>315</v>
      </c>
      <c r="AF377" s="17">
        <v>0.75398223686155041</v>
      </c>
      <c r="AG377" s="18">
        <v>-15591.610607806451</v>
      </c>
      <c r="AH377" s="20">
        <v>16067.627457812105</v>
      </c>
      <c r="AN377" s="23">
        <v>372</v>
      </c>
      <c r="AO377" s="58">
        <v>186</v>
      </c>
      <c r="AP377" s="45">
        <f t="shared" si="92"/>
        <v>15296.348187230777</v>
      </c>
      <c r="AQ377" s="45">
        <f t="shared" si="93"/>
        <v>-4163.8162557807254</v>
      </c>
      <c r="AR377" s="45">
        <f t="shared" si="94"/>
        <v>602.3326818462491</v>
      </c>
      <c r="AS377" s="45">
        <f t="shared" si="95"/>
        <v>-780.77163709111187</v>
      </c>
      <c r="AT377" s="45">
        <f t="shared" si="81"/>
        <v>-188.97378221798306</v>
      </c>
      <c r="AU377" s="45">
        <f t="shared" si="82"/>
        <v>1156.8888953704886</v>
      </c>
      <c r="AV377" s="64">
        <f t="shared" si="83"/>
        <v>593.71466355086943</v>
      </c>
      <c r="AW377" s="64">
        <f t="shared" si="84"/>
        <v>1472.2558173248397</v>
      </c>
      <c r="AX377" s="64">
        <f t="shared" si="85"/>
        <v>-109.61411042662607</v>
      </c>
      <c r="AY377" s="64">
        <f t="shared" si="86"/>
        <v>43.986253503847188</v>
      </c>
      <c r="AZ377" s="64">
        <f t="shared" si="87"/>
        <v>-673.07433534222639</v>
      </c>
      <c r="BA377" s="64">
        <f t="shared" si="88"/>
        <v>-359.35317545819828</v>
      </c>
      <c r="BB377" s="65">
        <f t="shared" si="89"/>
        <v>12576.523765507778</v>
      </c>
      <c r="BC377" s="65">
        <f t="shared" si="90"/>
        <v>38032.169097774946</v>
      </c>
      <c r="BD377" s="66">
        <f t="shared" si="91"/>
        <v>23007.92532749939</v>
      </c>
    </row>
    <row r="378" spans="31:56" x14ac:dyDescent="0.25">
      <c r="AE378" s="71">
        <v>316</v>
      </c>
      <c r="AF378" s="17">
        <v>0.81681408993334625</v>
      </c>
      <c r="AG378" s="18">
        <v>-15981.299037657525</v>
      </c>
      <c r="AH378" s="20">
        <v>16332.459441265113</v>
      </c>
      <c r="AN378" s="23">
        <v>373</v>
      </c>
      <c r="AO378" s="58">
        <v>186.5</v>
      </c>
      <c r="AP378" s="45">
        <f t="shared" si="92"/>
        <v>15550.271082599405</v>
      </c>
      <c r="AQ378" s="45">
        <f t="shared" si="93"/>
        <v>-4264.979850483659</v>
      </c>
      <c r="AR378" s="45">
        <f t="shared" si="94"/>
        <v>507.84579073725757</v>
      </c>
      <c r="AS378" s="45">
        <f t="shared" si="95"/>
        <v>-202.32718940586756</v>
      </c>
      <c r="AT378" s="45">
        <f t="shared" si="81"/>
        <v>-215.02407746438894</v>
      </c>
      <c r="AU378" s="45">
        <f t="shared" si="82"/>
        <v>1178.8574379276108</v>
      </c>
      <c r="AV378" s="64">
        <f t="shared" si="83"/>
        <v>561.51373427116016</v>
      </c>
      <c r="AW378" s="64">
        <f t="shared" si="84"/>
        <v>1484.6292644112773</v>
      </c>
      <c r="AX378" s="64">
        <f t="shared" si="85"/>
        <v>-108.13170439971228</v>
      </c>
      <c r="AY378" s="64">
        <f t="shared" si="86"/>
        <v>43.389165187416758</v>
      </c>
      <c r="AZ378" s="64">
        <f t="shared" si="87"/>
        <v>-668.40610733583685</v>
      </c>
      <c r="BA378" s="64">
        <f t="shared" si="88"/>
        <v>-349.16099167108308</v>
      </c>
      <c r="BB378" s="65">
        <f t="shared" si="89"/>
        <v>12578.347996483384</v>
      </c>
      <c r="BC378" s="65">
        <f t="shared" si="90"/>
        <v>38305.501226077286</v>
      </c>
      <c r="BD378" s="66">
        <f t="shared" si="91"/>
        <v>23185.217255372943</v>
      </c>
    </row>
    <row r="379" spans="31:56" x14ac:dyDescent="0.25">
      <c r="AE379" s="71">
        <v>317</v>
      </c>
      <c r="AF379" s="17">
        <v>0.87964594300514221</v>
      </c>
      <c r="AG379" s="18">
        <v>-16386.847444237137</v>
      </c>
      <c r="AH379" s="20">
        <v>16572.300100328976</v>
      </c>
      <c r="AN379" s="23">
        <v>374</v>
      </c>
      <c r="AO379" s="58">
        <v>187</v>
      </c>
      <c r="AP379" s="45">
        <f t="shared" si="92"/>
        <v>15750.437958601937</v>
      </c>
      <c r="AQ379" s="45">
        <f t="shared" si="93"/>
        <v>-4071.4290857046899</v>
      </c>
      <c r="AR379" s="45">
        <f t="shared" si="94"/>
        <v>400.3337520050631</v>
      </c>
      <c r="AS379" s="45">
        <f t="shared" si="95"/>
        <v>387.10152955793785</v>
      </c>
      <c r="AT379" s="45">
        <f t="shared" si="81"/>
        <v>-207.04858495071375</v>
      </c>
      <c r="AU379" s="45">
        <f t="shared" si="82"/>
        <v>1212.0903264532776</v>
      </c>
      <c r="AV379" s="64">
        <f t="shared" si="83"/>
        <v>556.35731604502462</v>
      </c>
      <c r="AW379" s="64">
        <f t="shared" si="84"/>
        <v>1514.9441674723753</v>
      </c>
      <c r="AX379" s="64">
        <f t="shared" si="85"/>
        <v>-107.80206596511591</v>
      </c>
      <c r="AY379" s="64">
        <f t="shared" si="86"/>
        <v>42.431064153036445</v>
      </c>
      <c r="AZ379" s="64">
        <f t="shared" si="87"/>
        <v>-655.60383503062246</v>
      </c>
      <c r="BA379" s="64">
        <f t="shared" si="88"/>
        <v>-345.28490517213407</v>
      </c>
      <c r="BB379" s="65">
        <f t="shared" si="89"/>
        <v>12327.073806430453</v>
      </c>
      <c r="BC379" s="65">
        <f t="shared" si="90"/>
        <v>38420.03293525218</v>
      </c>
      <c r="BD379" s="66">
        <f t="shared" si="91"/>
        <v>23452.384477970882</v>
      </c>
    </row>
    <row r="380" spans="31:56" x14ac:dyDescent="0.25">
      <c r="AE380" s="71">
        <v>318</v>
      </c>
      <c r="AF380" s="17">
        <v>0.94247779607693805</v>
      </c>
      <c r="AG380" s="18">
        <v>-16806.655313261956</v>
      </c>
      <c r="AH380" s="20">
        <v>16786.202893495145</v>
      </c>
      <c r="AN380" s="23">
        <v>375</v>
      </c>
      <c r="AO380" s="58">
        <v>187.5</v>
      </c>
      <c r="AP380" s="45">
        <f t="shared" si="92"/>
        <v>15898.842688366789</v>
      </c>
      <c r="AQ380" s="45">
        <f t="shared" si="93"/>
        <v>-3574.8557393124015</v>
      </c>
      <c r="AR380" s="45">
        <f t="shared" si="94"/>
        <v>296.80945952970626</v>
      </c>
      <c r="AS380" s="45">
        <f t="shared" si="95"/>
        <v>993.14669278457666</v>
      </c>
      <c r="AT380" s="45">
        <f t="shared" si="81"/>
        <v>-163.93001695721085</v>
      </c>
      <c r="AU380" s="45">
        <f t="shared" si="82"/>
        <v>1258.8013442705555</v>
      </c>
      <c r="AV380" s="64">
        <f t="shared" si="83"/>
        <v>579.45958843577523</v>
      </c>
      <c r="AW380" s="64">
        <f t="shared" si="84"/>
        <v>1564.7854644551351</v>
      </c>
      <c r="AX380" s="64">
        <f t="shared" si="85"/>
        <v>-108.57995679470157</v>
      </c>
      <c r="AY380" s="64">
        <f t="shared" si="86"/>
        <v>41.058628615526125</v>
      </c>
      <c r="AZ380" s="64">
        <f t="shared" si="87"/>
        <v>-634.80964859828453</v>
      </c>
      <c r="BA380" s="64">
        <f t="shared" si="88"/>
        <v>-347.0427488001057</v>
      </c>
      <c r="BB380" s="65">
        <f t="shared" si="89"/>
        <v>11809.82306985771</v>
      </c>
      <c r="BC380" s="65">
        <f t="shared" si="90"/>
        <v>38379.729216179316</v>
      </c>
      <c r="BD380" s="66">
        <f t="shared" si="91"/>
        <v>23817.966896664897</v>
      </c>
    </row>
    <row r="381" spans="31:56" x14ac:dyDescent="0.25">
      <c r="AE381" s="71">
        <v>319</v>
      </c>
      <c r="AF381" s="17">
        <v>1.0053096491487339</v>
      </c>
      <c r="AG381" s="18">
        <v>-17239.065854864915</v>
      </c>
      <c r="AH381" s="20">
        <v>16973.323644161886</v>
      </c>
      <c r="AN381" s="23">
        <v>376</v>
      </c>
      <c r="AO381" s="58">
        <v>188</v>
      </c>
      <c r="AP381" s="45">
        <f t="shared" si="92"/>
        <v>16006.264913892341</v>
      </c>
      <c r="AQ381" s="45">
        <f t="shared" si="93"/>
        <v>-2763.5820568524741</v>
      </c>
      <c r="AR381" s="45">
        <f t="shared" si="94"/>
        <v>214.84445105110083</v>
      </c>
      <c r="AS381" s="45">
        <f t="shared" si="95"/>
        <v>1622.5473649198543</v>
      </c>
      <c r="AT381" s="45">
        <f t="shared" si="81"/>
        <v>-80.685868352653983</v>
      </c>
      <c r="AU381" s="45">
        <f t="shared" si="82"/>
        <v>1318.8947850376321</v>
      </c>
      <c r="AV381" s="64">
        <f t="shared" si="83"/>
        <v>635.23166892322672</v>
      </c>
      <c r="AW381" s="64">
        <f t="shared" si="84"/>
        <v>1632.4949498488413</v>
      </c>
      <c r="AX381" s="64">
        <f t="shared" si="85"/>
        <v>-110.38580878580146</v>
      </c>
      <c r="AY381" s="64">
        <f t="shared" si="86"/>
        <v>39.129810651534669</v>
      </c>
      <c r="AZ381" s="64">
        <f t="shared" si="87"/>
        <v>-605.53172849007922</v>
      </c>
      <c r="BA381" s="64">
        <f t="shared" si="88"/>
        <v>-352.72997546274377</v>
      </c>
      <c r="BB381" s="65">
        <f t="shared" si="89"/>
        <v>11013.220990053338</v>
      </c>
      <c r="BC381" s="65">
        <f t="shared" si="90"/>
        <v>38201.572480349561</v>
      </c>
      <c r="BD381" s="66">
        <f t="shared" si="91"/>
        <v>24310.349436238201</v>
      </c>
    </row>
    <row r="382" spans="31:56" x14ac:dyDescent="0.25">
      <c r="AE382" s="71">
        <v>320</v>
      </c>
      <c r="AF382" s="17">
        <v>1.0681415022205298</v>
      </c>
      <c r="AG382" s="18">
        <v>-17682.372542187895</v>
      </c>
      <c r="AH382" s="20">
        <v>17132.923872213651</v>
      </c>
      <c r="AN382" s="23">
        <v>377</v>
      </c>
      <c r="AO382" s="58">
        <v>188.5</v>
      </c>
      <c r="AP382" s="45">
        <f t="shared" si="92"/>
        <v>16093.515672329728</v>
      </c>
      <c r="AQ382" s="45">
        <f t="shared" si="93"/>
        <v>-1622.5846781331388</v>
      </c>
      <c r="AR382" s="45">
        <f t="shared" si="94"/>
        <v>174.50151687477384</v>
      </c>
      <c r="AS382" s="45">
        <f t="shared" si="95"/>
        <v>2281.9947574386706</v>
      </c>
      <c r="AT382" s="45">
        <f t="shared" si="81"/>
        <v>51.343372515109763</v>
      </c>
      <c r="AU382" s="45">
        <f t="shared" si="82"/>
        <v>1384.9574239790945</v>
      </c>
      <c r="AV382" s="64">
        <f t="shared" si="83"/>
        <v>731.47999992310088</v>
      </c>
      <c r="AW382" s="64">
        <f t="shared" si="84"/>
        <v>1708.1825190986776</v>
      </c>
      <c r="AX382" s="64">
        <f t="shared" si="85"/>
        <v>-113.06587700604636</v>
      </c>
      <c r="AY382" s="64">
        <f t="shared" si="86"/>
        <v>36.408692953055798</v>
      </c>
      <c r="AZ382" s="64">
        <f t="shared" si="87"/>
        <v>-567.07075040194479</v>
      </c>
      <c r="BA382" s="64">
        <f t="shared" si="88"/>
        <v>-359.63378807263894</v>
      </c>
      <c r="BB382" s="65">
        <f t="shared" si="89"/>
        <v>9923.8183685536569</v>
      </c>
      <c r="BC382" s="65">
        <f t="shared" si="90"/>
        <v>37918.680728489046</v>
      </c>
      <c r="BD382" s="66">
        <f t="shared" si="91"/>
        <v>24977.823045904905</v>
      </c>
    </row>
    <row r="383" spans="31:56" x14ac:dyDescent="0.25">
      <c r="AE383" s="71">
        <v>321</v>
      </c>
      <c r="AF383" s="17">
        <v>1.1309733552923256</v>
      </c>
      <c r="AG383" s="18">
        <v>-18134.825846263589</v>
      </c>
      <c r="AH383" s="20">
        <v>17264.373708464733</v>
      </c>
      <c r="AN383" s="23">
        <v>378</v>
      </c>
      <c r="AO383" s="58">
        <v>189</v>
      </c>
      <c r="AP383" s="45">
        <f t="shared" si="92"/>
        <v>16193.602273895893</v>
      </c>
      <c r="AQ383" s="45">
        <f t="shared" si="93"/>
        <v>-135.34794341902989</v>
      </c>
      <c r="AR383" s="45">
        <f t="shared" si="94"/>
        <v>200.17320313232872</v>
      </c>
      <c r="AS383" s="45">
        <f t="shared" si="95"/>
        <v>2974.4734694282179</v>
      </c>
      <c r="AT383" s="45">
        <f t="shared" si="81"/>
        <v>241.95097227204121</v>
      </c>
      <c r="AU383" s="45">
        <f t="shared" si="82"/>
        <v>1428.5891160747551</v>
      </c>
      <c r="AV383" s="64">
        <f t="shared" si="83"/>
        <v>877.49657503097421</v>
      </c>
      <c r="AW383" s="64">
        <f t="shared" si="84"/>
        <v>1760.1922215252878</v>
      </c>
      <c r="AX383" s="64">
        <f t="shared" si="85"/>
        <v>-116.31513664086411</v>
      </c>
      <c r="AY383" s="64">
        <f t="shared" si="86"/>
        <v>32.571899641825539</v>
      </c>
      <c r="AZ383" s="64">
        <f t="shared" si="87"/>
        <v>-519.23046611806888</v>
      </c>
      <c r="BA383" s="64">
        <f t="shared" si="88"/>
        <v>-364.17500509235805</v>
      </c>
      <c r="BB383" s="65">
        <f t="shared" si="89"/>
        <v>8531.5415879173761</v>
      </c>
      <c r="BC383" s="65">
        <f t="shared" si="90"/>
        <v>37585.929860722223</v>
      </c>
      <c r="BD383" s="66">
        <f t="shared" si="91"/>
        <v>25886.804710263143</v>
      </c>
    </row>
    <row r="384" spans="31:56" x14ac:dyDescent="0.25">
      <c r="AE384" s="71">
        <v>322</v>
      </c>
      <c r="AF384" s="17">
        <v>1.1938052083641215</v>
      </c>
      <c r="AG384" s="18">
        <v>-18594.640140607065</v>
      </c>
      <c r="AH384" s="20">
        <v>17367.154380465166</v>
      </c>
      <c r="AN384" s="23">
        <v>379</v>
      </c>
      <c r="AO384" s="58">
        <v>189.5</v>
      </c>
      <c r="AP384" s="45">
        <f t="shared" si="92"/>
        <v>16354.176618530068</v>
      </c>
      <c r="AQ384" s="45">
        <f t="shared" si="93"/>
        <v>1709.0360703137678</v>
      </c>
      <c r="AR384" s="45">
        <f t="shared" si="94"/>
        <v>321.14868926834936</v>
      </c>
      <c r="AS384" s="45">
        <f t="shared" si="95"/>
        <v>3688.7680274655954</v>
      </c>
      <c r="AT384" s="45">
        <f t="shared" si="81"/>
        <v>490.16515428707186</v>
      </c>
      <c r="AU384" s="45">
        <f t="shared" si="82"/>
        <v>1369.0725252750601</v>
      </c>
      <c r="AV384" s="64">
        <f t="shared" si="83"/>
        <v>1072.9613236087805</v>
      </c>
      <c r="AW384" s="64">
        <f t="shared" si="84"/>
        <v>1704.2735406622132</v>
      </c>
      <c r="AX384" s="64">
        <f t="shared" si="85"/>
        <v>-119.56115082337482</v>
      </c>
      <c r="AY384" s="64">
        <f t="shared" si="86"/>
        <v>27.267216069009041</v>
      </c>
      <c r="AZ384" s="64">
        <f t="shared" si="87"/>
        <v>-463.23501849833377</v>
      </c>
      <c r="BA384" s="64">
        <f t="shared" si="88"/>
        <v>-362.46823145616219</v>
      </c>
      <c r="BB384" s="65">
        <f t="shared" si="89"/>
        <v>6843.0469356712629</v>
      </c>
      <c r="BC384" s="65">
        <f t="shared" si="90"/>
        <v>37287.615108701124</v>
      </c>
      <c r="BD384" s="66">
        <f t="shared" si="91"/>
        <v>27114.437952028853</v>
      </c>
    </row>
    <row r="385" spans="31:56" x14ac:dyDescent="0.25">
      <c r="AE385" s="71">
        <v>323</v>
      </c>
      <c r="AF385" s="17">
        <v>1.2566370614359172</v>
      </c>
      <c r="AG385" s="18">
        <v>-19060.000748267717</v>
      </c>
      <c r="AH385" s="20">
        <v>17440.860259858586</v>
      </c>
      <c r="AN385" s="23">
        <v>380</v>
      </c>
      <c r="AO385" s="58">
        <v>190</v>
      </c>
      <c r="AP385" s="45">
        <f t="shared" si="92"/>
        <v>16637.292251736009</v>
      </c>
      <c r="AQ385" s="45">
        <f t="shared" si="93"/>
        <v>3895.6882153653305</v>
      </c>
      <c r="AR385" s="45">
        <f t="shared" si="94"/>
        <v>566.23126641188526</v>
      </c>
      <c r="AS385" s="45">
        <f t="shared" si="95"/>
        <v>4373.3042901031258</v>
      </c>
      <c r="AT385" s="45">
        <f t="shared" si="81"/>
        <v>746.10972900266438</v>
      </c>
      <c r="AU385" s="45">
        <f t="shared" si="82"/>
        <v>1030.5699920809402</v>
      </c>
      <c r="AV385" s="64">
        <f t="shared" si="83"/>
        <v>1270.5360515670793</v>
      </c>
      <c r="AW385" s="64">
        <f t="shared" si="84"/>
        <v>1361.8216051723678</v>
      </c>
      <c r="AX385" s="64">
        <f t="shared" si="85"/>
        <v>-121.86281538021926</v>
      </c>
      <c r="AY385" s="64">
        <f t="shared" si="86"/>
        <v>20.304137514392409</v>
      </c>
      <c r="AZ385" s="64">
        <f t="shared" si="87"/>
        <v>-402.56350718419571</v>
      </c>
      <c r="BA385" s="64">
        <f t="shared" si="88"/>
        <v>-351.55575060581992</v>
      </c>
      <c r="BB385" s="65">
        <f t="shared" si="89"/>
        <v>4929.3880797814081</v>
      </c>
      <c r="BC385" s="65">
        <f t="shared" si="90"/>
        <v>37142.34518582726</v>
      </c>
      <c r="BD385" s="66">
        <f t="shared" si="91"/>
        <v>28726.633097516515</v>
      </c>
    </row>
    <row r="386" spans="31:56" x14ac:dyDescent="0.25">
      <c r="AE386" s="71">
        <v>324</v>
      </c>
      <c r="AF386" s="17">
        <v>1.3194689145077132</v>
      </c>
      <c r="AG386" s="18">
        <v>-19529.07110353015</v>
      </c>
      <c r="AH386" s="20">
        <v>17485.200463212037</v>
      </c>
      <c r="AN386" s="23">
        <v>381</v>
      </c>
      <c r="AO386" s="58">
        <v>190.5</v>
      </c>
      <c r="AP386" s="45">
        <f t="shared" si="92"/>
        <v>17106.93531719262</v>
      </c>
      <c r="AQ386" s="45">
        <f t="shared" si="93"/>
        <v>6339.982858437128</v>
      </c>
      <c r="AR386" s="45">
        <f t="shared" si="94"/>
        <v>939.28613091321745</v>
      </c>
      <c r="AS386" s="45">
        <f t="shared" si="95"/>
        <v>4888.5892861435959</v>
      </c>
      <c r="AT386" s="45">
        <f t="shared" si="81"/>
        <v>852.98846168375042</v>
      </c>
      <c r="AU386" s="45">
        <f t="shared" si="82"/>
        <v>209.3710759371931</v>
      </c>
      <c r="AV386" s="64">
        <f t="shared" si="83"/>
        <v>1318.1201695400509</v>
      </c>
      <c r="AW386" s="64">
        <f t="shared" si="84"/>
        <v>528.51980821336565</v>
      </c>
      <c r="AX386" s="64">
        <f t="shared" si="85"/>
        <v>-122.04264740958845</v>
      </c>
      <c r="AY386" s="64">
        <f t="shared" si="86"/>
        <v>12.037592910936237</v>
      </c>
      <c r="AZ386" s="64">
        <f t="shared" si="87"/>
        <v>-343.0890604467121</v>
      </c>
      <c r="BA386" s="64">
        <f t="shared" si="88"/>
        <v>-331.18632518710882</v>
      </c>
      <c r="BB386" s="65">
        <f t="shared" si="89"/>
        <v>3116.9637514137157</v>
      </c>
      <c r="BC386" s="65">
        <f t="shared" si="90"/>
        <v>37287.000068533955</v>
      </c>
      <c r="BD386" s="66">
        <f t="shared" si="91"/>
        <v>30726.39675453223</v>
      </c>
    </row>
    <row r="387" spans="31:56" x14ac:dyDescent="0.25">
      <c r="AE387" s="71">
        <v>325</v>
      </c>
      <c r="AF387" s="17">
        <v>1.3823007675795091</v>
      </c>
      <c r="AG387" s="18">
        <v>-20000</v>
      </c>
      <c r="AH387" s="20">
        <v>17500</v>
      </c>
      <c r="AN387" s="23">
        <v>382</v>
      </c>
      <c r="AO387" s="58">
        <v>191</v>
      </c>
      <c r="AP387" s="45">
        <f t="shared" si="92"/>
        <v>17789.825498070168</v>
      </c>
      <c r="AQ387" s="45">
        <f t="shared" si="93"/>
        <v>8836.6202704932239</v>
      </c>
      <c r="AR387" s="45">
        <f t="shared" si="94"/>
        <v>1365.7803617550926</v>
      </c>
      <c r="AS387" s="45">
        <f t="shared" si="95"/>
        <v>4993.2748241121926</v>
      </c>
      <c r="AT387" s="45">
        <f t="shared" si="81"/>
        <v>639.42687771766032</v>
      </c>
      <c r="AU387" s="45">
        <f t="shared" si="82"/>
        <v>-936.53141292809119</v>
      </c>
      <c r="AV387" s="64">
        <f t="shared" si="83"/>
        <v>1050.3959557838004</v>
      </c>
      <c r="AW387" s="64">
        <f t="shared" si="84"/>
        <v>-635.23514786675628</v>
      </c>
      <c r="AX387" s="64">
        <f t="shared" si="85"/>
        <v>-119.39027775277347</v>
      </c>
      <c r="AY387" s="64">
        <f t="shared" si="86"/>
        <v>3.6754927340125865</v>
      </c>
      <c r="AZ387" s="64">
        <f t="shared" si="87"/>
        <v>-291.57880031336657</v>
      </c>
      <c r="BA387" s="64">
        <f t="shared" si="88"/>
        <v>-304.9717577953474</v>
      </c>
      <c r="BB387" s="65">
        <f t="shared" si="89"/>
        <v>2582.9101952011729</v>
      </c>
      <c r="BC387" s="65">
        <f t="shared" si="90"/>
        <v>37807.728886692217</v>
      </c>
      <c r="BD387" s="66">
        <f t="shared" si="91"/>
        <v>32978.183881957135</v>
      </c>
    </row>
    <row r="388" spans="31:56" x14ac:dyDescent="0.25">
      <c r="AE388" s="71">
        <v>326</v>
      </c>
      <c r="AF388" s="17">
        <v>1.4451326206513049</v>
      </c>
      <c r="AG388" s="18">
        <v>-20470.92889646985</v>
      </c>
      <c r="AH388" s="20">
        <v>17485.200463212037</v>
      </c>
      <c r="AN388" s="23">
        <v>383</v>
      </c>
      <c r="AO388" s="58">
        <v>191.5</v>
      </c>
      <c r="AP388" s="45">
        <f t="shared" si="92"/>
        <v>18632.572398377131</v>
      </c>
      <c r="AQ388" s="45">
        <f t="shared" si="93"/>
        <v>11099.124829317298</v>
      </c>
      <c r="AR388" s="45">
        <f t="shared" si="94"/>
        <v>1685.4938006139228</v>
      </c>
      <c r="AS388" s="45">
        <f t="shared" si="95"/>
        <v>4525.0091176481474</v>
      </c>
      <c r="AT388" s="45">
        <f t="shared" si="81"/>
        <v>215.04653931346266</v>
      </c>
      <c r="AU388" s="45">
        <f t="shared" si="82"/>
        <v>-1813.567138411385</v>
      </c>
      <c r="AV388" s="64">
        <f t="shared" si="83"/>
        <v>581.91086399726305</v>
      </c>
      <c r="AW388" s="64">
        <f t="shared" si="84"/>
        <v>-1531.6129618682728</v>
      </c>
      <c r="AX388" s="64">
        <f t="shared" si="85"/>
        <v>-114.50673262842984</v>
      </c>
      <c r="AY388" s="64">
        <f t="shared" si="86"/>
        <v>-3.2577999636698114</v>
      </c>
      <c r="AZ388" s="64">
        <f t="shared" si="87"/>
        <v>-252.35759205537053</v>
      </c>
      <c r="BA388" s="64">
        <f t="shared" si="88"/>
        <v>-278.69637657944236</v>
      </c>
      <c r="BB388" s="65">
        <f t="shared" si="89"/>
        <v>3850.1373719243238</v>
      </c>
      <c r="BC388" s="65">
        <f t="shared" si="90"/>
        <v>38648.20468671569</v>
      </c>
      <c r="BD388" s="66">
        <f t="shared" si="91"/>
        <v>35208.845408800662</v>
      </c>
    </row>
    <row r="389" spans="31:56" x14ac:dyDescent="0.25">
      <c r="AE389" s="71">
        <v>327</v>
      </c>
      <c r="AF389" s="17">
        <v>1.5079644737231008</v>
      </c>
      <c r="AG389" s="18">
        <v>-20939.999251732283</v>
      </c>
      <c r="AH389" s="20">
        <v>17440.860259858582</v>
      </c>
      <c r="AN389" s="23">
        <v>384</v>
      </c>
      <c r="AO389" s="58">
        <v>192</v>
      </c>
      <c r="AP389" s="45">
        <f t="shared" si="92"/>
        <v>19529.080933512458</v>
      </c>
      <c r="AQ389" s="45">
        <f t="shared" si="93"/>
        <v>12908.237603538524</v>
      </c>
      <c r="AR389" s="45">
        <f t="shared" si="94"/>
        <v>1793.0170702706541</v>
      </c>
      <c r="AS389" s="45">
        <f t="shared" si="95"/>
        <v>3618.225548442455</v>
      </c>
      <c r="AT389" s="45">
        <f t="shared" si="81"/>
        <v>-166.95135343693437</v>
      </c>
      <c r="AU389" s="45">
        <f t="shared" si="82"/>
        <v>-2186.7082484694856</v>
      </c>
      <c r="AV389" s="64">
        <f t="shared" si="83"/>
        <v>167.3736764719113</v>
      </c>
      <c r="AW389" s="64">
        <f t="shared" si="84"/>
        <v>-1922.1914663373009</v>
      </c>
      <c r="AX389" s="64">
        <f t="shared" si="85"/>
        <v>-108.87658499442536</v>
      </c>
      <c r="AY389" s="64">
        <f t="shared" si="86"/>
        <v>-8.0102792968607055</v>
      </c>
      <c r="AZ389" s="64">
        <f t="shared" si="87"/>
        <v>-225.44844491442029</v>
      </c>
      <c r="BA389" s="64">
        <f t="shared" si="88"/>
        <v>-256.50650283532411</v>
      </c>
      <c r="BB389" s="65">
        <f t="shared" si="89"/>
        <v>5428.7013864744504</v>
      </c>
      <c r="BC389" s="65">
        <f t="shared" si="90"/>
        <v>39635.919131600996</v>
      </c>
      <c r="BD389" s="66">
        <f t="shared" si="91"/>
        <v>37155.693205461343</v>
      </c>
    </row>
    <row r="390" spans="31:56" x14ac:dyDescent="0.25">
      <c r="AE390" s="71">
        <v>328</v>
      </c>
      <c r="AF390" s="17">
        <v>1.5707963267948968</v>
      </c>
      <c r="AG390" s="18">
        <v>-21405.359859392935</v>
      </c>
      <c r="AH390" s="20">
        <v>17367.154380465166</v>
      </c>
      <c r="AN390" s="23">
        <v>385</v>
      </c>
      <c r="AO390" s="58">
        <v>192.5</v>
      </c>
      <c r="AP390" s="45">
        <f t="shared" si="92"/>
        <v>20383.851630288551</v>
      </c>
      <c r="AQ390" s="45">
        <f t="shared" si="93"/>
        <v>14170.67331564238</v>
      </c>
      <c r="AR390" s="45">
        <f t="shared" si="94"/>
        <v>1709.5413935521869</v>
      </c>
      <c r="AS390" s="45">
        <f t="shared" si="95"/>
        <v>2524.8714242077122</v>
      </c>
      <c r="AT390" s="45">
        <f t="shared" ref="AT390:AT453" si="96">AV390+AX390+AZ390</f>
        <v>-427.85337595379974</v>
      </c>
      <c r="AU390" s="45">
        <f t="shared" ref="AU390:AU453" si="97">AW390+AY390+BA390</f>
        <v>-2258.1884782434454</v>
      </c>
      <c r="AV390" s="64">
        <f t="shared" ref="AV390:AV453" si="98">$K$22*(($K$18-AP390)/((BB390^2+$K$23^2)^(3/2)))</f>
        <v>-115.53294973986267</v>
      </c>
      <c r="AW390" s="64">
        <f t="shared" ref="AW390:AW453" si="99">$K$22*(($L$18-AQ390)/((BB390^2+$K$23^2)^(3/2)))</f>
        <v>-2007.7616039504969</v>
      </c>
      <c r="AX390" s="64">
        <f t="shared" ref="AX390:AX453" si="100">$K$30*(($K$26-AP390)/((BC390^2+$K$31^2)^(3/2)))</f>
        <v>-103.72459754430162</v>
      </c>
      <c r="AY390" s="64">
        <f t="shared" ref="AY390:AY453" si="101">$K$30*(($L$26-AQ390)/((BC390^2+$K$31^2)^(3/2)))</f>
        <v>-10.712237532818829</v>
      </c>
      <c r="AZ390" s="64">
        <f t="shared" ref="AZ390:AZ453" si="102">$K$38*(($K$34-AP390)/((BD390^2+$K$39^2)^(3/2)))</f>
        <v>-208.59582866963547</v>
      </c>
      <c r="BA390" s="64">
        <f t="shared" ref="BA390:BA453" si="103">$K$38*(($L$34-AQ390)/((BD390^2+$K$39^2)^(3/2)))</f>
        <v>-239.71463676012965</v>
      </c>
      <c r="BB390" s="65">
        <f t="shared" ref="BB390:BB453" si="104">SQRT(($K$18-AP390)^2+($L$18-AQ390)^2)</f>
        <v>6681.7082065964596</v>
      </c>
      <c r="BC390" s="65">
        <f t="shared" ref="BC390:BC453" si="105">SQRT(($K$26-AP390)^2+($L$26-AQ390)^2)</f>
        <v>40598.645154770507</v>
      </c>
      <c r="BD390" s="66">
        <f t="shared" ref="BD390:BD453" si="106">SQRT(($K$34-AP390)^2+($L$34-AQ390)^2)</f>
        <v>38668.696710342243</v>
      </c>
    </row>
    <row r="391" spans="31:56" x14ac:dyDescent="0.25">
      <c r="AE391" s="71">
        <v>329</v>
      </c>
      <c r="AF391" s="17">
        <v>1.6336281798666925</v>
      </c>
      <c r="AG391" s="18">
        <v>-21865.174153736411</v>
      </c>
      <c r="AH391" s="20">
        <v>17264.373708464733</v>
      </c>
      <c r="AN391" s="23">
        <v>386</v>
      </c>
      <c r="AO391" s="58">
        <v>193</v>
      </c>
      <c r="AP391" s="45">
        <f t="shared" ref="AP391:AP454" si="107">AP390+AR390*$K$5+AT390*$K$5^2</f>
        <v>21131.658983076195</v>
      </c>
      <c r="AQ391" s="45">
        <f t="shared" ref="AQ391:AQ454" si="108">AQ390+AS390*$K$5+AU390*$K$5^2</f>
        <v>14868.561908185375</v>
      </c>
      <c r="AR391" s="45">
        <f t="shared" ref="AR391:AR454" si="109">AR390+AT390*$K$5</f>
        <v>1495.6147055752872</v>
      </c>
      <c r="AS391" s="45">
        <f t="shared" ref="AS391:AS454" si="110">AS390+AU390*$K$5</f>
        <v>1395.7771850859895</v>
      </c>
      <c r="AT391" s="45">
        <f t="shared" si="96"/>
        <v>-604.60590218661753</v>
      </c>
      <c r="AU391" s="45">
        <f t="shared" si="97"/>
        <v>-2228.1590066754761</v>
      </c>
      <c r="AV391" s="64">
        <f t="shared" si="98"/>
        <v>-305.35061731199062</v>
      </c>
      <c r="AW391" s="64">
        <f t="shared" si="99"/>
        <v>-1988.2269844665132</v>
      </c>
      <c r="AX391" s="64">
        <f t="shared" si="100"/>
        <v>-99.662199953186828</v>
      </c>
      <c r="AY391" s="64">
        <f t="shared" si="101"/>
        <v>-11.79654802101909</v>
      </c>
      <c r="AZ391" s="64">
        <f t="shared" si="102"/>
        <v>-199.59308492144012</v>
      </c>
      <c r="BA391" s="64">
        <f t="shared" si="103"/>
        <v>-228.135474187944</v>
      </c>
      <c r="BB391" s="65">
        <f t="shared" si="104"/>
        <v>7454.9551741601736</v>
      </c>
      <c r="BC391" s="65">
        <f t="shared" si="105"/>
        <v>41418.791215508769</v>
      </c>
      <c r="BD391" s="66">
        <f t="shared" si="106"/>
        <v>39686.201527368285</v>
      </c>
    </row>
    <row r="392" spans="31:56" x14ac:dyDescent="0.25">
      <c r="AE392" s="71">
        <v>330</v>
      </c>
      <c r="AF392" s="17">
        <v>1.6964600329384885</v>
      </c>
      <c r="AG392" s="18">
        <v>-22317.627457812108</v>
      </c>
      <c r="AH392" s="20">
        <v>17132.923872213651</v>
      </c>
      <c r="AN392" s="23">
        <v>387</v>
      </c>
      <c r="AO392" s="58">
        <v>193.5</v>
      </c>
      <c r="AP392" s="45">
        <f t="shared" si="107"/>
        <v>21728.314860317183</v>
      </c>
      <c r="AQ392" s="45">
        <f t="shared" si="108"/>
        <v>15009.410749059502</v>
      </c>
      <c r="AR392" s="45">
        <f t="shared" si="109"/>
        <v>1193.3117544819784</v>
      </c>
      <c r="AS392" s="45">
        <f t="shared" si="110"/>
        <v>281.6976817482514</v>
      </c>
      <c r="AT392" s="45">
        <f t="shared" si="96"/>
        <v>-743.7023546401449</v>
      </c>
      <c r="AU392" s="45">
        <f t="shared" si="97"/>
        <v>-2187.0381821691931</v>
      </c>
      <c r="AV392" s="64">
        <f t="shared" si="98"/>
        <v>-449.75666823715846</v>
      </c>
      <c r="AW392" s="64">
        <f t="shared" si="99"/>
        <v>-1954.1621937460393</v>
      </c>
      <c r="AX392" s="64">
        <f t="shared" si="100"/>
        <v>-96.891193619917857</v>
      </c>
      <c r="AY392" s="64">
        <f t="shared" si="101"/>
        <v>-11.631617246791748</v>
      </c>
      <c r="AZ392" s="64">
        <f t="shared" si="102"/>
        <v>-197.05449278306861</v>
      </c>
      <c r="BA392" s="64">
        <f t="shared" si="103"/>
        <v>-221.24437117636199</v>
      </c>
      <c r="BB392" s="65">
        <f t="shared" si="104"/>
        <v>7705.7330640558521</v>
      </c>
      <c r="BC392" s="65">
        <f t="shared" si="105"/>
        <v>42027.924730285704</v>
      </c>
      <c r="BD392" s="66">
        <f t="shared" si="106"/>
        <v>40186.658840690157</v>
      </c>
    </row>
    <row r="393" spans="31:56" x14ac:dyDescent="0.25">
      <c r="AE393" s="71">
        <v>331</v>
      </c>
      <c r="AF393" s="17">
        <v>1.7592918860102844</v>
      </c>
      <c r="AG393" s="18">
        <v>-22760.934145135085</v>
      </c>
      <c r="AH393" s="20">
        <v>16973.323644161886</v>
      </c>
      <c r="AN393" s="23">
        <v>388</v>
      </c>
      <c r="AO393" s="58">
        <v>194</v>
      </c>
      <c r="AP393" s="45">
        <f t="shared" si="107"/>
        <v>22139.045148898134</v>
      </c>
      <c r="AQ393" s="45">
        <f t="shared" si="108"/>
        <v>14603.500044391329</v>
      </c>
      <c r="AR393" s="45">
        <f t="shared" si="109"/>
        <v>821.46057716190592</v>
      </c>
      <c r="AS393" s="45">
        <f t="shared" si="110"/>
        <v>-811.82140933634514</v>
      </c>
      <c r="AT393" s="45">
        <f t="shared" si="96"/>
        <v>-876.06586126855154</v>
      </c>
      <c r="AU393" s="45">
        <f t="shared" si="97"/>
        <v>-2155.8231853282555</v>
      </c>
      <c r="AV393" s="64">
        <f t="shared" si="98"/>
        <v>-580.19367403876379</v>
      </c>
      <c r="AW393" s="64">
        <f t="shared" si="99"/>
        <v>-1926.7502564931583</v>
      </c>
      <c r="AX393" s="64">
        <f t="shared" si="100"/>
        <v>-95.426332895236257</v>
      </c>
      <c r="AY393" s="64">
        <f t="shared" si="101"/>
        <v>-10.424895157616277</v>
      </c>
      <c r="AZ393" s="64">
        <f t="shared" si="102"/>
        <v>-200.44585433455157</v>
      </c>
      <c r="BA393" s="64">
        <f t="shared" si="103"/>
        <v>-218.64803367748095</v>
      </c>
      <c r="BB393" s="65">
        <f t="shared" si="104"/>
        <v>7418.5731127820154</v>
      </c>
      <c r="BC393" s="65">
        <f t="shared" si="105"/>
        <v>42389.755115116983</v>
      </c>
      <c r="BD393" s="66">
        <f t="shared" si="106"/>
        <v>40160.863866109867</v>
      </c>
    </row>
    <row r="394" spans="31:56" x14ac:dyDescent="0.25">
      <c r="AE394" s="71">
        <v>332</v>
      </c>
      <c r="AF394" s="17">
        <v>1.8221237390820801</v>
      </c>
      <c r="AG394" s="18">
        <v>-23193.344686738044</v>
      </c>
      <c r="AH394" s="20">
        <v>16786.202893495145</v>
      </c>
      <c r="AN394" s="23">
        <v>389</v>
      </c>
      <c r="AO394" s="58">
        <v>194.5</v>
      </c>
      <c r="AP394" s="45">
        <f t="shared" si="107"/>
        <v>22330.758972161948</v>
      </c>
      <c r="AQ394" s="45">
        <f t="shared" si="108"/>
        <v>13658.633543391092</v>
      </c>
      <c r="AR394" s="45">
        <f t="shared" si="109"/>
        <v>383.42764652763015</v>
      </c>
      <c r="AS394" s="45">
        <f t="shared" si="110"/>
        <v>-1889.7330020004729</v>
      </c>
      <c r="AT394" s="45">
        <f t="shared" si="96"/>
        <v>-1016.1882096970697</v>
      </c>
      <c r="AU394" s="45">
        <f t="shared" si="97"/>
        <v>-2107.0496576423498</v>
      </c>
      <c r="AV394" s="64">
        <f t="shared" si="98"/>
        <v>-710.9654972047216</v>
      </c>
      <c r="AW394" s="64">
        <f t="shared" si="99"/>
        <v>-1878.6052146856171</v>
      </c>
      <c r="AX394" s="64">
        <f t="shared" si="100"/>
        <v>-95.210810898788921</v>
      </c>
      <c r="AY394" s="64">
        <f t="shared" si="101"/>
        <v>-8.2290389992028192</v>
      </c>
      <c r="AZ394" s="64">
        <f t="shared" si="102"/>
        <v>-210.01190159355917</v>
      </c>
      <c r="BA394" s="64">
        <f t="shared" si="103"/>
        <v>-220.21540395752976</v>
      </c>
      <c r="BB394" s="65">
        <f t="shared" si="104"/>
        <v>6584.9225134465587</v>
      </c>
      <c r="BC394" s="65">
        <f t="shared" si="105"/>
        <v>42488.572046658563</v>
      </c>
      <c r="BD394" s="66">
        <f t="shared" si="106"/>
        <v>39601.61186831657</v>
      </c>
    </row>
    <row r="395" spans="31:56" x14ac:dyDescent="0.25">
      <c r="AE395" s="71">
        <v>333</v>
      </c>
      <c r="AF395" s="17">
        <v>1.8849555921538761</v>
      </c>
      <c r="AG395" s="18">
        <v>-23613.152555762867</v>
      </c>
      <c r="AH395" s="20">
        <v>16572.300100328976</v>
      </c>
      <c r="AN395" s="23">
        <v>390</v>
      </c>
      <c r="AO395" s="58">
        <v>195</v>
      </c>
      <c r="AP395" s="45">
        <f t="shared" si="107"/>
        <v>22268.425743001495</v>
      </c>
      <c r="AQ395" s="45">
        <f t="shared" si="108"/>
        <v>12187.004627980268</v>
      </c>
      <c r="AR395" s="45">
        <f t="shared" si="109"/>
        <v>-124.66645832090472</v>
      </c>
      <c r="AS395" s="45">
        <f t="shared" si="110"/>
        <v>-2943.257830821648</v>
      </c>
      <c r="AT395" s="45">
        <f t="shared" si="96"/>
        <v>-1151.6753504601559</v>
      </c>
      <c r="AU395" s="45">
        <f t="shared" si="97"/>
        <v>-1943.4542789405757</v>
      </c>
      <c r="AV395" s="64">
        <f t="shared" si="98"/>
        <v>-828.77053429175385</v>
      </c>
      <c r="AW395" s="64">
        <f t="shared" si="99"/>
        <v>-1712.3995977136863</v>
      </c>
      <c r="AX395" s="64">
        <f t="shared" si="100"/>
        <v>-96.147829813981673</v>
      </c>
      <c r="AY395" s="64">
        <f t="shared" si="101"/>
        <v>-4.9747712406406119</v>
      </c>
      <c r="AZ395" s="64">
        <f t="shared" si="102"/>
        <v>-226.75698635442035</v>
      </c>
      <c r="BA395" s="64">
        <f t="shared" si="103"/>
        <v>-226.07990998624874</v>
      </c>
      <c r="BB395" s="65">
        <f t="shared" si="104"/>
        <v>5207.0882203224037</v>
      </c>
      <c r="BC395" s="65">
        <f t="shared" si="105"/>
        <v>42324.966674935953</v>
      </c>
      <c r="BD395" s="66">
        <f t="shared" si="106"/>
        <v>38505.847129279049</v>
      </c>
    </row>
    <row r="396" spans="31:56" x14ac:dyDescent="0.25">
      <c r="AE396" s="71">
        <v>334</v>
      </c>
      <c r="AF396" s="17">
        <v>1.9477874452256718</v>
      </c>
      <c r="AG396" s="18">
        <v>-24018.700962342475</v>
      </c>
      <c r="AH396" s="20">
        <v>16332.459441265113</v>
      </c>
      <c r="AN396" s="23">
        <v>391</v>
      </c>
      <c r="AO396" s="58">
        <v>195.5</v>
      </c>
      <c r="AP396" s="45">
        <f t="shared" si="107"/>
        <v>21918.173676226004</v>
      </c>
      <c r="AQ396" s="45">
        <f t="shared" si="108"/>
        <v>10229.512142834301</v>
      </c>
      <c r="AR396" s="45">
        <f t="shared" si="109"/>
        <v>-700.50413355098271</v>
      </c>
      <c r="AS396" s="45">
        <f t="shared" si="110"/>
        <v>-3914.984970291936</v>
      </c>
      <c r="AT396" s="45">
        <f t="shared" si="96"/>
        <v>-1207.7490499586502</v>
      </c>
      <c r="AU396" s="45">
        <f t="shared" si="97"/>
        <v>-1457.0048469705441</v>
      </c>
      <c r="AV396" s="64">
        <f t="shared" si="98"/>
        <v>-857.31765082634649</v>
      </c>
      <c r="AW396" s="64">
        <f t="shared" si="99"/>
        <v>-1219.9411175325597</v>
      </c>
      <c r="AX396" s="64">
        <f t="shared" si="100"/>
        <v>-98.073438449310871</v>
      </c>
      <c r="AY396" s="64">
        <f t="shared" si="101"/>
        <v>-0.53697580403879375</v>
      </c>
      <c r="AZ396" s="64">
        <f t="shared" si="102"/>
        <v>-252.35796068299294</v>
      </c>
      <c r="BA396" s="64">
        <f t="shared" si="103"/>
        <v>-236.5267536339457</v>
      </c>
      <c r="BB396" s="65">
        <f t="shared" si="104"/>
        <v>3336.1095290841818</v>
      </c>
      <c r="BC396" s="65">
        <f t="shared" si="105"/>
        <v>41918.801988772946</v>
      </c>
      <c r="BD396" s="66">
        <f t="shared" si="106"/>
        <v>36893.310464485156</v>
      </c>
    </row>
    <row r="397" spans="31:56" x14ac:dyDescent="0.25">
      <c r="AE397" s="71">
        <v>335</v>
      </c>
      <c r="AF397" s="17">
        <v>2.0106192982974678</v>
      </c>
      <c r="AG397" s="18">
        <v>-24408.389392193549</v>
      </c>
      <c r="AH397" s="20">
        <v>16067.627457812105</v>
      </c>
      <c r="AN397" s="23">
        <v>392</v>
      </c>
      <c r="AO397" s="58">
        <v>196</v>
      </c>
      <c r="AP397" s="45">
        <f t="shared" si="107"/>
        <v>21265.98434696085</v>
      </c>
      <c r="AQ397" s="45">
        <f t="shared" si="108"/>
        <v>7907.7684459456977</v>
      </c>
      <c r="AR397" s="45">
        <f t="shared" si="109"/>
        <v>-1304.3786585303078</v>
      </c>
      <c r="AS397" s="45">
        <f t="shared" si="110"/>
        <v>-4643.4873937772081</v>
      </c>
      <c r="AT397" s="45">
        <f t="shared" si="96"/>
        <v>-1034.8683872211175</v>
      </c>
      <c r="AU397" s="45">
        <f t="shared" si="97"/>
        <v>-454.48621276765539</v>
      </c>
      <c r="AV397" s="64">
        <f t="shared" si="98"/>
        <v>-645.65980739820225</v>
      </c>
      <c r="AW397" s="64">
        <f t="shared" si="99"/>
        <v>-207.96441670420222</v>
      </c>
      <c r="AX397" s="64">
        <f t="shared" si="100"/>
        <v>-100.69366431873888</v>
      </c>
      <c r="AY397" s="64">
        <f t="shared" si="101"/>
        <v>5.1052813864728037</v>
      </c>
      <c r="AZ397" s="64">
        <f t="shared" si="102"/>
        <v>-288.51491550417632</v>
      </c>
      <c r="BA397" s="64">
        <f t="shared" si="103"/>
        <v>-251.62707744992593</v>
      </c>
      <c r="BB397" s="65">
        <f t="shared" si="104"/>
        <v>1330.0343876226877</v>
      </c>
      <c r="BC397" s="65">
        <f t="shared" si="105"/>
        <v>41318.989544752883</v>
      </c>
      <c r="BD397" s="66">
        <f t="shared" si="106"/>
        <v>34852.084426729169</v>
      </c>
    </row>
    <row r="398" spans="31:56" x14ac:dyDescent="0.25">
      <c r="AE398" s="71">
        <v>336</v>
      </c>
      <c r="AF398" s="17">
        <v>2.0734511513692637</v>
      </c>
      <c r="AG398" s="18">
        <v>-24780.679923115174</v>
      </c>
      <c r="AH398" s="20">
        <v>15778.849320818419</v>
      </c>
      <c r="AN398" s="23">
        <v>393</v>
      </c>
      <c r="AO398" s="58">
        <v>196.5</v>
      </c>
      <c r="AP398" s="45">
        <f t="shared" si="107"/>
        <v>20355.077920890417</v>
      </c>
      <c r="AQ398" s="45">
        <f t="shared" si="108"/>
        <v>5472.4031958651794</v>
      </c>
      <c r="AR398" s="45">
        <f t="shared" si="109"/>
        <v>-1821.8128521408667</v>
      </c>
      <c r="AS398" s="45">
        <f t="shared" si="110"/>
        <v>-4870.7305001610357</v>
      </c>
      <c r="AT398" s="45">
        <f t="shared" si="96"/>
        <v>-613.43918991018825</v>
      </c>
      <c r="AU398" s="45">
        <f t="shared" si="97"/>
        <v>738.57758311295458</v>
      </c>
      <c r="AV398" s="64">
        <f t="shared" si="98"/>
        <v>-174.69802818646585</v>
      </c>
      <c r="AW398" s="64">
        <f t="shared" si="99"/>
        <v>997.57586377456141</v>
      </c>
      <c r="AX398" s="64">
        <f t="shared" si="100"/>
        <v>-103.57914914621132</v>
      </c>
      <c r="AY398" s="64">
        <f t="shared" si="101"/>
        <v>11.620956985109023</v>
      </c>
      <c r="AZ398" s="64">
        <f t="shared" si="102"/>
        <v>-335.16201257751106</v>
      </c>
      <c r="BA398" s="64">
        <f t="shared" si="103"/>
        <v>-270.61923764671587</v>
      </c>
      <c r="BB398" s="65">
        <f t="shared" si="104"/>
        <v>2058.4530915329597</v>
      </c>
      <c r="BC398" s="65">
        <f t="shared" si="105"/>
        <v>40608.268207619352</v>
      </c>
      <c r="BD398" s="66">
        <f t="shared" si="106"/>
        <v>32588.330257754777</v>
      </c>
    </row>
    <row r="399" spans="31:56" x14ac:dyDescent="0.25">
      <c r="AE399" s="71">
        <v>337</v>
      </c>
      <c r="AF399" s="17">
        <v>2.1362830044410597</v>
      </c>
      <c r="AG399" s="18">
        <v>-25134.103294465167</v>
      </c>
      <c r="AH399" s="20">
        <v>15467.264705660586</v>
      </c>
      <c r="AN399" s="23">
        <v>394</v>
      </c>
      <c r="AO399" s="58">
        <v>197</v>
      </c>
      <c r="AP399" s="45">
        <f t="shared" si="107"/>
        <v>19290.811697342437</v>
      </c>
      <c r="AQ399" s="45">
        <f t="shared" si="108"/>
        <v>3221.6823415629001</v>
      </c>
      <c r="AR399" s="45">
        <f t="shared" si="109"/>
        <v>-2128.5324470959608</v>
      </c>
      <c r="AS399" s="45">
        <f t="shared" si="110"/>
        <v>-4501.4417086045587</v>
      </c>
      <c r="AT399" s="45">
        <f t="shared" si="96"/>
        <v>-208.8665721824525</v>
      </c>
      <c r="AU399" s="45">
        <f t="shared" si="97"/>
        <v>1456.2153708756623</v>
      </c>
      <c r="AV399" s="64">
        <f t="shared" si="98"/>
        <v>286.74603116333179</v>
      </c>
      <c r="AW399" s="64">
        <f t="shared" si="99"/>
        <v>1729.8517248742635</v>
      </c>
      <c r="AX399" s="64">
        <f t="shared" si="100"/>
        <v>-106.37246079803801</v>
      </c>
      <c r="AY399" s="64">
        <f t="shared" si="101"/>
        <v>18.351016389094301</v>
      </c>
      <c r="AZ399" s="64">
        <f t="shared" si="102"/>
        <v>-389.2401425477463</v>
      </c>
      <c r="BA399" s="64">
        <f t="shared" si="103"/>
        <v>-291.98737038769559</v>
      </c>
      <c r="BB399" s="65">
        <f t="shared" si="104"/>
        <v>4336.6980567156179</v>
      </c>
      <c r="BC399" s="65">
        <f t="shared" si="105"/>
        <v>39871.211094155406</v>
      </c>
      <c r="BD399" s="66">
        <f t="shared" si="106"/>
        <v>30365.658897388894</v>
      </c>
    </row>
    <row r="400" spans="31:56" x14ac:dyDescent="0.25">
      <c r="AE400" s="71">
        <v>338</v>
      </c>
      <c r="AF400" s="17">
        <v>2.1991148575128552</v>
      </c>
      <c r="AG400" s="18">
        <v>-25467.264705660586</v>
      </c>
      <c r="AH400" s="20">
        <v>15134.103294465163</v>
      </c>
      <c r="AN400" s="23">
        <v>395</v>
      </c>
      <c r="AO400" s="58">
        <v>197.5</v>
      </c>
      <c r="AP400" s="45">
        <f t="shared" si="107"/>
        <v>18174.328830748844</v>
      </c>
      <c r="AQ400" s="45">
        <f t="shared" si="108"/>
        <v>1335.0153299795363</v>
      </c>
      <c r="AR400" s="45">
        <f t="shared" si="109"/>
        <v>-2232.9657331871872</v>
      </c>
      <c r="AS400" s="45">
        <f t="shared" si="110"/>
        <v>-3773.3340231667275</v>
      </c>
      <c r="AT400" s="45">
        <f t="shared" si="96"/>
        <v>13.343261751135628</v>
      </c>
      <c r="AU400" s="45">
        <f t="shared" si="97"/>
        <v>1631.0302576343568</v>
      </c>
      <c r="AV400" s="64">
        <f t="shared" si="98"/>
        <v>568.88310574326067</v>
      </c>
      <c r="AW400" s="64">
        <f t="shared" si="99"/>
        <v>1921.022627190513</v>
      </c>
      <c r="AX400" s="64">
        <f t="shared" si="100"/>
        <v>-109.02283627678629</v>
      </c>
      <c r="AY400" s="64">
        <f t="shared" si="101"/>
        <v>24.746504626417366</v>
      </c>
      <c r="AZ400" s="64">
        <f t="shared" si="102"/>
        <v>-446.51700771533876</v>
      </c>
      <c r="BA400" s="64">
        <f t="shared" si="103"/>
        <v>-314.73887418257368</v>
      </c>
      <c r="BB400" s="65">
        <f t="shared" si="104"/>
        <v>6429.6276097315467</v>
      </c>
      <c r="BC400" s="65">
        <f t="shared" si="105"/>
        <v>39145.387225186976</v>
      </c>
      <c r="BD400" s="66">
        <f t="shared" si="106"/>
        <v>28352.817189590587</v>
      </c>
    </row>
    <row r="401" spans="31:56" x14ac:dyDescent="0.25">
      <c r="AE401" s="71">
        <v>339</v>
      </c>
      <c r="AF401" s="17">
        <v>2.2619467105846511</v>
      </c>
      <c r="AG401" s="18">
        <v>-25778.849320818419</v>
      </c>
      <c r="AH401" s="20">
        <v>14780.679923115171</v>
      </c>
      <c r="AN401" s="23">
        <v>396</v>
      </c>
      <c r="AO401" s="58">
        <v>198</v>
      </c>
      <c r="AP401" s="45">
        <f t="shared" si="107"/>
        <v>17061.181779593036</v>
      </c>
      <c r="AQ401" s="45">
        <f t="shared" si="108"/>
        <v>-143.89411719523827</v>
      </c>
      <c r="AR401" s="45">
        <f t="shared" si="109"/>
        <v>-2226.2941023116196</v>
      </c>
      <c r="AS401" s="45">
        <f t="shared" si="110"/>
        <v>-2957.8188943495493</v>
      </c>
      <c r="AT401" s="45">
        <f t="shared" si="96"/>
        <v>97.378208804914891</v>
      </c>
      <c r="AU401" s="45">
        <f t="shared" si="97"/>
        <v>1544.9776062568762</v>
      </c>
      <c r="AV401" s="64">
        <f t="shared" si="98"/>
        <v>712.59066999235552</v>
      </c>
      <c r="AW401" s="64">
        <f t="shared" si="99"/>
        <v>1853.4551039936357</v>
      </c>
      <c r="AX401" s="64">
        <f t="shared" si="100"/>
        <v>-111.71813419919725</v>
      </c>
      <c r="AY401" s="64">
        <f t="shared" si="101"/>
        <v>30.578002909536721</v>
      </c>
      <c r="AZ401" s="64">
        <f t="shared" si="102"/>
        <v>-503.49432698824336</v>
      </c>
      <c r="BA401" s="64">
        <f t="shared" si="103"/>
        <v>-339.05550064629631</v>
      </c>
      <c r="BB401" s="65">
        <f t="shared" si="104"/>
        <v>8189.3693168331292</v>
      </c>
      <c r="BC401" s="65">
        <f t="shared" si="105"/>
        <v>38424.338416697654</v>
      </c>
      <c r="BD401" s="66">
        <f t="shared" si="106"/>
        <v>26596.985233543935</v>
      </c>
    </row>
    <row r="402" spans="31:56" x14ac:dyDescent="0.25">
      <c r="AE402" s="71">
        <v>340</v>
      </c>
      <c r="AF402" s="17">
        <v>2.3247785636564471</v>
      </c>
      <c r="AG402" s="18">
        <v>-26067.627457812105</v>
      </c>
      <c r="AH402" s="20">
        <v>14408.389392193549</v>
      </c>
      <c r="AN402" s="23">
        <v>397</v>
      </c>
      <c r="AO402" s="58">
        <v>198.5</v>
      </c>
      <c r="AP402" s="45">
        <f t="shared" si="107"/>
        <v>15972.379280638455</v>
      </c>
      <c r="AQ402" s="45">
        <f t="shared" si="108"/>
        <v>-1236.5591628057939</v>
      </c>
      <c r="AR402" s="45">
        <f t="shared" si="109"/>
        <v>-2177.6049979091622</v>
      </c>
      <c r="AS402" s="45">
        <f t="shared" si="110"/>
        <v>-2185.3300912211112</v>
      </c>
      <c r="AT402" s="45">
        <f t="shared" si="96"/>
        <v>116.98946442450756</v>
      </c>
      <c r="AU402" s="45">
        <f t="shared" si="97"/>
        <v>1381.9980934021489</v>
      </c>
      <c r="AV402" s="64">
        <f t="shared" si="98"/>
        <v>789.28641673555137</v>
      </c>
      <c r="AW402" s="64">
        <f t="shared" si="99"/>
        <v>1712.0895825817049</v>
      </c>
      <c r="AX402" s="64">
        <f t="shared" si="100"/>
        <v>-114.71189523647841</v>
      </c>
      <c r="AY402" s="64">
        <f t="shared" si="101"/>
        <v>35.832130742489831</v>
      </c>
      <c r="AZ402" s="64">
        <f t="shared" si="102"/>
        <v>-557.58505707456538</v>
      </c>
      <c r="BA402" s="64">
        <f t="shared" si="103"/>
        <v>-365.92361992204587</v>
      </c>
      <c r="BB402" s="65">
        <f t="shared" si="104"/>
        <v>9620.2491996952067</v>
      </c>
      <c r="BC402" s="65">
        <f t="shared" si="105"/>
        <v>37686.500672380578</v>
      </c>
      <c r="BD402" s="66">
        <f t="shared" si="106"/>
        <v>25085.314356609095</v>
      </c>
    </row>
    <row r="403" spans="31:56" x14ac:dyDescent="0.25">
      <c r="AE403" s="71">
        <v>341</v>
      </c>
      <c r="AF403" s="17">
        <v>2.387610416728243</v>
      </c>
      <c r="AG403" s="18">
        <v>-26332.459441265113</v>
      </c>
      <c r="AH403" s="20">
        <v>14018.700962342475</v>
      </c>
      <c r="AN403" s="23">
        <v>398</v>
      </c>
      <c r="AO403" s="58">
        <v>199</v>
      </c>
      <c r="AP403" s="45">
        <f t="shared" si="107"/>
        <v>14912.824147790001</v>
      </c>
      <c r="AQ403" s="45">
        <f t="shared" si="108"/>
        <v>-1983.7246850658123</v>
      </c>
      <c r="AR403" s="45">
        <f t="shared" si="109"/>
        <v>-2119.1102656969083</v>
      </c>
      <c r="AS403" s="45">
        <f t="shared" si="110"/>
        <v>-1494.3310445200368</v>
      </c>
      <c r="AT403" s="45">
        <f t="shared" si="96"/>
        <v>115.17373360841634</v>
      </c>
      <c r="AU403" s="45">
        <f t="shared" si="97"/>
        <v>1210.175775869217</v>
      </c>
      <c r="AV403" s="64">
        <f t="shared" si="98"/>
        <v>840.11097273153143</v>
      </c>
      <c r="AW403" s="64">
        <f t="shared" si="99"/>
        <v>1566.1697967109674</v>
      </c>
      <c r="AX403" s="64">
        <f t="shared" si="100"/>
        <v>-118.23593798561976</v>
      </c>
      <c r="AY403" s="64">
        <f t="shared" si="101"/>
        <v>40.584139590147501</v>
      </c>
      <c r="AZ403" s="64">
        <f t="shared" si="102"/>
        <v>-606.70130113749531</v>
      </c>
      <c r="BA403" s="64">
        <f t="shared" si="103"/>
        <v>-396.57816043189791</v>
      </c>
      <c r="BB403" s="65">
        <f t="shared" si="104"/>
        <v>10761.988294615228</v>
      </c>
      <c r="BC403" s="65">
        <f t="shared" si="105"/>
        <v>36912.260121834377</v>
      </c>
      <c r="BD403" s="66">
        <f t="shared" si="106"/>
        <v>23789.57731055711</v>
      </c>
    </row>
    <row r="404" spans="31:56" x14ac:dyDescent="0.25">
      <c r="AE404" s="71">
        <v>342</v>
      </c>
      <c r="AF404" s="17">
        <v>2.450442269800039</v>
      </c>
      <c r="AG404" s="18">
        <v>-26572.300100328976</v>
      </c>
      <c r="AH404" s="20">
        <v>13613.152555762865</v>
      </c>
      <c r="AN404" s="23">
        <v>399</v>
      </c>
      <c r="AO404" s="58">
        <v>199.5</v>
      </c>
      <c r="AP404" s="45">
        <f t="shared" si="107"/>
        <v>13882.062448343651</v>
      </c>
      <c r="AQ404" s="45">
        <f t="shared" si="108"/>
        <v>-2428.3462633585264</v>
      </c>
      <c r="AR404" s="45">
        <f t="shared" si="109"/>
        <v>-2061.5233988927002</v>
      </c>
      <c r="AS404" s="45">
        <f t="shared" si="110"/>
        <v>-889.24315658542832</v>
      </c>
      <c r="AT404" s="45">
        <f t="shared" si="96"/>
        <v>112.16825265149691</v>
      </c>
      <c r="AU404" s="45">
        <f t="shared" si="97"/>
        <v>1046.7371913935292</v>
      </c>
      <c r="AV404" s="64">
        <f t="shared" si="98"/>
        <v>883.55236056776369</v>
      </c>
      <c r="AW404" s="64">
        <f t="shared" si="99"/>
        <v>1433.851474203035</v>
      </c>
      <c r="AX404" s="64">
        <f t="shared" si="100"/>
        <v>-122.47819474948592</v>
      </c>
      <c r="AY404" s="64">
        <f t="shared" si="101"/>
        <v>44.92646858137423</v>
      </c>
      <c r="AZ404" s="64">
        <f t="shared" si="102"/>
        <v>-648.90591316678081</v>
      </c>
      <c r="BA404" s="64">
        <f t="shared" si="103"/>
        <v>-432.04075139087996</v>
      </c>
      <c r="BB404" s="65">
        <f t="shared" si="104"/>
        <v>11661.956071393515</v>
      </c>
      <c r="BC404" s="65">
        <f t="shared" si="105"/>
        <v>36089.582244678269</v>
      </c>
      <c r="BD404" s="66">
        <f t="shared" si="106"/>
        <v>22684.328510607516</v>
      </c>
    </row>
    <row r="405" spans="31:56" x14ac:dyDescent="0.25">
      <c r="AE405" s="71">
        <v>343</v>
      </c>
      <c r="AF405" s="17">
        <v>2.5132741228718345</v>
      </c>
      <c r="AG405" s="18">
        <v>-26786.202893495145</v>
      </c>
      <c r="AH405" s="20">
        <v>13193.344686738044</v>
      </c>
      <c r="AN405" s="23">
        <v>400</v>
      </c>
      <c r="AO405" s="58">
        <v>200</v>
      </c>
      <c r="AP405" s="45">
        <f t="shared" si="107"/>
        <v>12879.342812060177</v>
      </c>
      <c r="AQ405" s="45">
        <f t="shared" si="108"/>
        <v>-2611.2835438028583</v>
      </c>
      <c r="AR405" s="45">
        <f t="shared" si="109"/>
        <v>-2005.4392725669518</v>
      </c>
      <c r="AS405" s="45">
        <f t="shared" si="110"/>
        <v>-365.87456088866372</v>
      </c>
      <c r="AT405" s="45">
        <f t="shared" si="96"/>
        <v>116.9676256470126</v>
      </c>
      <c r="AU405" s="45">
        <f t="shared" si="97"/>
        <v>892.25164492232932</v>
      </c>
      <c r="AV405" s="64">
        <f t="shared" si="98"/>
        <v>926.80369753904813</v>
      </c>
      <c r="AW405" s="64">
        <f t="shared" si="99"/>
        <v>1316.0547865067949</v>
      </c>
      <c r="AX405" s="64">
        <f t="shared" si="100"/>
        <v>-127.58163195814508</v>
      </c>
      <c r="AY405" s="64">
        <f t="shared" si="101"/>
        <v>48.935532099963282</v>
      </c>
      <c r="AZ405" s="64">
        <f t="shared" si="102"/>
        <v>-682.25443993389047</v>
      </c>
      <c r="BA405" s="64">
        <f t="shared" si="103"/>
        <v>-472.73867368442882</v>
      </c>
      <c r="BB405" s="65">
        <f t="shared" si="104"/>
        <v>12366.964611065141</v>
      </c>
      <c r="BC405" s="65">
        <f t="shared" si="105"/>
        <v>35214.991926382238</v>
      </c>
      <c r="BD405" s="66">
        <f t="shared" si="106"/>
        <v>21752.038865890656</v>
      </c>
    </row>
    <row r="406" spans="31:56" x14ac:dyDescent="0.25">
      <c r="AE406" s="71">
        <v>344</v>
      </c>
      <c r="AF406" s="17">
        <v>2.5761059759436304</v>
      </c>
      <c r="AG406" s="18">
        <v>-26973.323644161886</v>
      </c>
      <c r="AH406" s="20">
        <v>12760.934145135083</v>
      </c>
      <c r="AN406" s="23">
        <v>401</v>
      </c>
      <c r="AO406" s="58">
        <v>200.5</v>
      </c>
      <c r="AP406" s="45">
        <f t="shared" si="107"/>
        <v>11905.865082188453</v>
      </c>
      <c r="AQ406" s="45">
        <f t="shared" si="108"/>
        <v>-2571.1579130166078</v>
      </c>
      <c r="AR406" s="45">
        <f t="shared" si="109"/>
        <v>-1946.9554597434455</v>
      </c>
      <c r="AS406" s="45">
        <f t="shared" si="110"/>
        <v>80.251261572500937</v>
      </c>
      <c r="AT406" s="45">
        <f t="shared" si="96"/>
        <v>133.21571546939469</v>
      </c>
      <c r="AU406" s="45">
        <f t="shared" si="97"/>
        <v>743.5238035137711</v>
      </c>
      <c r="AV406" s="64">
        <f t="shared" si="98"/>
        <v>971.71893632613103</v>
      </c>
      <c r="AW406" s="64">
        <f t="shared" si="99"/>
        <v>1209.064953102484</v>
      </c>
      <c r="AX406" s="64">
        <f t="shared" si="100"/>
        <v>-133.64399056368575</v>
      </c>
      <c r="AY406" s="64">
        <f t="shared" si="101"/>
        <v>52.656767186033569</v>
      </c>
      <c r="AZ406" s="64">
        <f t="shared" si="102"/>
        <v>-704.85923029305059</v>
      </c>
      <c r="BA406" s="64">
        <f t="shared" si="103"/>
        <v>-518.19791677474655</v>
      </c>
      <c r="BB406" s="65">
        <f t="shared" si="104"/>
        <v>12920.65175510327</v>
      </c>
      <c r="BC406" s="65">
        <f t="shared" si="105"/>
        <v>34293.122312160674</v>
      </c>
      <c r="BD406" s="66">
        <f t="shared" si="106"/>
        <v>20982.954744275848</v>
      </c>
    </row>
    <row r="407" spans="31:56" x14ac:dyDescent="0.25">
      <c r="AE407" s="71">
        <v>345</v>
      </c>
      <c r="AF407" s="17">
        <v>2.6389378290154264</v>
      </c>
      <c r="AG407" s="18">
        <v>-27132.923872213651</v>
      </c>
      <c r="AH407" s="20">
        <v>12317.627457812103</v>
      </c>
      <c r="AN407" s="23">
        <v>402</v>
      </c>
      <c r="AO407" s="58">
        <v>201</v>
      </c>
      <c r="AP407" s="45">
        <f t="shared" si="107"/>
        <v>10965.691281184078</v>
      </c>
      <c r="AQ407" s="45">
        <f t="shared" si="108"/>
        <v>-2345.1513313519145</v>
      </c>
      <c r="AR407" s="45">
        <f t="shared" si="109"/>
        <v>-1880.3476020087483</v>
      </c>
      <c r="AS407" s="45">
        <f t="shared" si="110"/>
        <v>452.01316332938649</v>
      </c>
      <c r="AT407" s="45">
        <f t="shared" si="96"/>
        <v>161.643599952268</v>
      </c>
      <c r="AU407" s="45">
        <f t="shared" si="97"/>
        <v>598.08679965659019</v>
      </c>
      <c r="AV407" s="64">
        <f t="shared" si="98"/>
        <v>1017.5336281847972</v>
      </c>
      <c r="AW407" s="64">
        <f t="shared" si="99"/>
        <v>1108.8587811212051</v>
      </c>
      <c r="AX407" s="64">
        <f t="shared" si="100"/>
        <v>-140.71199175233073</v>
      </c>
      <c r="AY407" s="64">
        <f t="shared" si="101"/>
        <v>56.097918710892763</v>
      </c>
      <c r="AZ407" s="64">
        <f t="shared" si="102"/>
        <v>-715.17803648019844</v>
      </c>
      <c r="BA407" s="64">
        <f t="shared" si="103"/>
        <v>-566.86990017550772</v>
      </c>
      <c r="BB407" s="65">
        <f t="shared" si="104"/>
        <v>13362.100836473797</v>
      </c>
      <c r="BC407" s="65">
        <f t="shared" si="105"/>
        <v>33335.818542756373</v>
      </c>
      <c r="BD407" s="66">
        <f t="shared" si="106"/>
        <v>20372.738964421587</v>
      </c>
    </row>
    <row r="408" spans="31:56" x14ac:dyDescent="0.25">
      <c r="AE408" s="71">
        <v>346</v>
      </c>
      <c r="AF408" s="17">
        <v>2.7017696820872223</v>
      </c>
      <c r="AG408" s="18">
        <v>-27264.373708464733</v>
      </c>
      <c r="AH408" s="20">
        <v>11865.174153736411</v>
      </c>
      <c r="AN408" s="23">
        <v>403</v>
      </c>
      <c r="AO408" s="58">
        <v>201.5</v>
      </c>
      <c r="AP408" s="45">
        <f t="shared" si="107"/>
        <v>10065.92838016777</v>
      </c>
      <c r="AQ408" s="45">
        <f t="shared" si="108"/>
        <v>-1969.6230497730735</v>
      </c>
      <c r="AR408" s="45">
        <f t="shared" si="109"/>
        <v>-1799.5258020326141</v>
      </c>
      <c r="AS408" s="45">
        <f t="shared" si="110"/>
        <v>751.05656315768158</v>
      </c>
      <c r="AT408" s="45">
        <f t="shared" si="96"/>
        <v>201.01956321120247</v>
      </c>
      <c r="AU408" s="45">
        <f t="shared" si="97"/>
        <v>455.61230813920679</v>
      </c>
      <c r="AV408" s="64">
        <f t="shared" si="98"/>
        <v>1062.2443352081461</v>
      </c>
      <c r="AW408" s="64">
        <f t="shared" si="99"/>
        <v>1012.5811274700491</v>
      </c>
      <c r="AX408" s="64">
        <f t="shared" si="100"/>
        <v>-148.76942768294171</v>
      </c>
      <c r="AY408" s="64">
        <f t="shared" si="101"/>
        <v>59.226974407013174</v>
      </c>
      <c r="AZ408" s="64">
        <f t="shared" si="102"/>
        <v>-712.45534431400199</v>
      </c>
      <c r="BA408" s="64">
        <f t="shared" si="103"/>
        <v>-616.19579373785541</v>
      </c>
      <c r="BB408" s="65">
        <f t="shared" si="104"/>
        <v>13724.414000340767</v>
      </c>
      <c r="BC408" s="65">
        <f t="shared" si="105"/>
        <v>32360.96298497677</v>
      </c>
      <c r="BD408" s="66">
        <f t="shared" si="106"/>
        <v>19919.159656505337</v>
      </c>
    </row>
    <row r="409" spans="31:56" x14ac:dyDescent="0.25">
      <c r="AE409" s="71">
        <v>347</v>
      </c>
      <c r="AF409" s="17">
        <v>2.7646015351590183</v>
      </c>
      <c r="AG409" s="18">
        <v>-27367.154380465166</v>
      </c>
      <c r="AH409" s="20">
        <v>11405.359859392935</v>
      </c>
      <c r="AN409" s="23">
        <v>404</v>
      </c>
      <c r="AO409" s="58">
        <v>202</v>
      </c>
      <c r="AP409" s="45">
        <f t="shared" si="107"/>
        <v>9216.4203699542632</v>
      </c>
      <c r="AQ409" s="45">
        <f t="shared" si="108"/>
        <v>-1480.191691159431</v>
      </c>
      <c r="AR409" s="45">
        <f t="shared" si="109"/>
        <v>-1699.0160204270128</v>
      </c>
      <c r="AS409" s="45">
        <f t="shared" si="110"/>
        <v>978.86271722728497</v>
      </c>
      <c r="AT409" s="45">
        <f t="shared" si="96"/>
        <v>248.65980214899139</v>
      </c>
      <c r="AU409" s="45">
        <f t="shared" si="97"/>
        <v>317.96868377568217</v>
      </c>
      <c r="AV409" s="64">
        <f t="shared" si="98"/>
        <v>1103.5237887692849</v>
      </c>
      <c r="AW409" s="64">
        <f t="shared" si="99"/>
        <v>918.97639734503218</v>
      </c>
      <c r="AX409" s="64">
        <f t="shared" si="100"/>
        <v>-157.72144412627767</v>
      </c>
      <c r="AY409" s="64">
        <f t="shared" si="101"/>
        <v>61.97447837375136</v>
      </c>
      <c r="AZ409" s="64">
        <f t="shared" si="102"/>
        <v>-697.14254249401586</v>
      </c>
      <c r="BA409" s="64">
        <f t="shared" si="103"/>
        <v>-662.98219194310138</v>
      </c>
      <c r="BB409" s="65">
        <f t="shared" si="104"/>
        <v>14033.15475748437</v>
      </c>
      <c r="BC409" s="65">
        <f t="shared" si="105"/>
        <v>31390.986293833528</v>
      </c>
      <c r="BD409" s="66">
        <f t="shared" si="106"/>
        <v>19618.660118444506</v>
      </c>
    </row>
    <row r="410" spans="31:56" x14ac:dyDescent="0.25">
      <c r="AE410" s="71">
        <v>348</v>
      </c>
      <c r="AF410" s="17">
        <v>2.8274333882308142</v>
      </c>
      <c r="AG410" s="18">
        <v>-27440.860259858586</v>
      </c>
      <c r="AH410" s="20">
        <v>10939.999251732281</v>
      </c>
      <c r="AN410" s="23">
        <v>405</v>
      </c>
      <c r="AO410" s="58">
        <v>202.5</v>
      </c>
      <c r="AP410" s="45">
        <f t="shared" si="107"/>
        <v>8429.077310278004</v>
      </c>
      <c r="AQ410" s="45">
        <f t="shared" si="108"/>
        <v>-911.26816160186797</v>
      </c>
      <c r="AR410" s="45">
        <f t="shared" si="109"/>
        <v>-1574.6861193525172</v>
      </c>
      <c r="AS410" s="45">
        <f t="shared" si="110"/>
        <v>1137.8470591151261</v>
      </c>
      <c r="AT410" s="45">
        <f t="shared" si="96"/>
        <v>300.99873897179066</v>
      </c>
      <c r="AU410" s="45">
        <f t="shared" si="97"/>
        <v>188.5073195919839</v>
      </c>
      <c r="AV410" s="64">
        <f t="shared" si="98"/>
        <v>1139.4504744830356</v>
      </c>
      <c r="AW410" s="64">
        <f t="shared" si="99"/>
        <v>828.30244006855162</v>
      </c>
      <c r="AX410" s="64">
        <f t="shared" si="100"/>
        <v>-167.37931476913522</v>
      </c>
      <c r="AY410" s="64">
        <f t="shared" si="101"/>
        <v>64.241289585959578</v>
      </c>
      <c r="AZ410" s="64">
        <f t="shared" si="102"/>
        <v>-671.07242074210967</v>
      </c>
      <c r="BA410" s="64">
        <f t="shared" si="103"/>
        <v>-704.03641006252735</v>
      </c>
      <c r="BB410" s="65">
        <f t="shared" si="104"/>
        <v>14305.092938457288</v>
      </c>
      <c r="BC410" s="65">
        <f t="shared" si="105"/>
        <v>30451.078956387577</v>
      </c>
      <c r="BD410" s="66">
        <f t="shared" si="106"/>
        <v>19463.619453218787</v>
      </c>
    </row>
    <row r="411" spans="31:56" x14ac:dyDescent="0.25">
      <c r="AE411" s="71">
        <v>349</v>
      </c>
      <c r="AF411" s="17">
        <v>2.8902652413026098</v>
      </c>
      <c r="AG411" s="18">
        <v>-27485.200463212037</v>
      </c>
      <c r="AH411" s="20">
        <v>10470.928896469848</v>
      </c>
      <c r="AN411" s="23">
        <v>406</v>
      </c>
      <c r="AO411" s="58">
        <v>203</v>
      </c>
      <c r="AP411" s="45">
        <f t="shared" si="107"/>
        <v>7716.9839353446932</v>
      </c>
      <c r="AQ411" s="45">
        <f t="shared" si="108"/>
        <v>-295.21780214630894</v>
      </c>
      <c r="AR411" s="45">
        <f t="shared" si="109"/>
        <v>-1424.1867498666218</v>
      </c>
      <c r="AS411" s="45">
        <f t="shared" si="110"/>
        <v>1232.1007189111181</v>
      </c>
      <c r="AT411" s="45">
        <f t="shared" si="96"/>
        <v>354.34147507969476</v>
      </c>
      <c r="AU411" s="45">
        <f t="shared" si="97"/>
        <v>70.970825885673548</v>
      </c>
      <c r="AV411" s="64">
        <f t="shared" si="98"/>
        <v>1169.0369267863841</v>
      </c>
      <c r="AW411" s="64">
        <f t="shared" si="99"/>
        <v>741.91040824852689</v>
      </c>
      <c r="AX411" s="64">
        <f t="shared" si="100"/>
        <v>-177.45122238153272</v>
      </c>
      <c r="AY411" s="64">
        <f t="shared" si="101"/>
        <v>65.912618340313642</v>
      </c>
      <c r="AZ411" s="64">
        <f t="shared" si="102"/>
        <v>-637.24422932515665</v>
      </c>
      <c r="BA411" s="64">
        <f t="shared" si="103"/>
        <v>-736.852200703167</v>
      </c>
      <c r="BB411" s="65">
        <f t="shared" si="104"/>
        <v>14547.780044648705</v>
      </c>
      <c r="BC411" s="65">
        <f t="shared" si="105"/>
        <v>29567.25736462187</v>
      </c>
      <c r="BD411" s="66">
        <f t="shared" si="106"/>
        <v>19440.995342269125</v>
      </c>
    </row>
    <row r="412" spans="31:56" x14ac:dyDescent="0.25">
      <c r="AE412" s="71">
        <v>350</v>
      </c>
      <c r="AF412" s="17">
        <v>2.9530970943744057</v>
      </c>
      <c r="AG412" s="18">
        <v>-27500</v>
      </c>
      <c r="AH412" s="20">
        <v>9999.9999999999982</v>
      </c>
      <c r="AN412" s="23">
        <v>407</v>
      </c>
      <c r="AO412" s="58">
        <v>203.5</v>
      </c>
      <c r="AP412" s="45">
        <f t="shared" si="107"/>
        <v>7093.4759291813061</v>
      </c>
      <c r="AQ412" s="45">
        <f t="shared" si="108"/>
        <v>338.57526378066848</v>
      </c>
      <c r="AR412" s="45">
        <f t="shared" si="109"/>
        <v>-1247.0160123267744</v>
      </c>
      <c r="AS412" s="45">
        <f t="shared" si="110"/>
        <v>1267.5861318539548</v>
      </c>
      <c r="AT412" s="45">
        <f t="shared" si="96"/>
        <v>405.64883691939235</v>
      </c>
      <c r="AU412" s="45">
        <f t="shared" si="97"/>
        <v>-31.537168469411426</v>
      </c>
      <c r="AV412" s="64">
        <f t="shared" si="98"/>
        <v>1192.4636458807013</v>
      </c>
      <c r="AW412" s="64">
        <f t="shared" si="99"/>
        <v>661.66061472433671</v>
      </c>
      <c r="AX412" s="64">
        <f t="shared" si="100"/>
        <v>-187.54445910377902</v>
      </c>
      <c r="AY412" s="64">
        <f t="shared" si="101"/>
        <v>66.877601126644294</v>
      </c>
      <c r="AZ412" s="64">
        <f t="shared" si="102"/>
        <v>-599.27034985752994</v>
      </c>
      <c r="BA412" s="64">
        <f t="shared" si="103"/>
        <v>-760.07538432039246</v>
      </c>
      <c r="BB412" s="65">
        <f t="shared" si="104"/>
        <v>14760.229261199043</v>
      </c>
      <c r="BC412" s="65">
        <f t="shared" si="105"/>
        <v>28764.553983310041</v>
      </c>
      <c r="BD412" s="66">
        <f t="shared" si="106"/>
        <v>19532.640660503428</v>
      </c>
    </row>
    <row r="413" spans="31:56" x14ac:dyDescent="0.25">
      <c r="AE413" s="71">
        <v>351</v>
      </c>
      <c r="AF413" s="17">
        <v>3.0159289474462017</v>
      </c>
      <c r="AG413" s="18">
        <v>-27485.200463212037</v>
      </c>
      <c r="AH413" s="20">
        <v>9529.0711035301501</v>
      </c>
      <c r="AN413" s="23">
        <v>408</v>
      </c>
      <c r="AO413" s="58">
        <v>204</v>
      </c>
      <c r="AP413" s="45">
        <f t="shared" si="107"/>
        <v>6571.3801322477675</v>
      </c>
      <c r="AQ413" s="45">
        <f t="shared" si="108"/>
        <v>964.48403759029304</v>
      </c>
      <c r="AR413" s="45">
        <f t="shared" si="109"/>
        <v>-1044.1915938670782</v>
      </c>
      <c r="AS413" s="45">
        <f t="shared" si="110"/>
        <v>1251.8175476192491</v>
      </c>
      <c r="AT413" s="45">
        <f t="shared" si="96"/>
        <v>453.10692011337164</v>
      </c>
      <c r="AU413" s="45">
        <f t="shared" si="97"/>
        <v>-117.15742433210562</v>
      </c>
      <c r="AV413" s="64">
        <f t="shared" si="98"/>
        <v>1210.9994220908177</v>
      </c>
      <c r="AW413" s="64">
        <f t="shared" si="99"/>
        <v>589.37598438909777</v>
      </c>
      <c r="AX413" s="64">
        <f t="shared" si="100"/>
        <v>-197.18265715744116</v>
      </c>
      <c r="AY413" s="64">
        <f t="shared" si="101"/>
        <v>67.051355156902957</v>
      </c>
      <c r="AZ413" s="64">
        <f t="shared" si="102"/>
        <v>-560.70984482000495</v>
      </c>
      <c r="BA413" s="64">
        <f t="shared" si="103"/>
        <v>-773.58476387810629</v>
      </c>
      <c r="BB413" s="65">
        <f t="shared" si="104"/>
        <v>14934.550560612866</v>
      </c>
      <c r="BC413" s="65">
        <f t="shared" si="105"/>
        <v>28065.61581079902</v>
      </c>
      <c r="BD413" s="66">
        <f t="shared" si="106"/>
        <v>19717.038031901589</v>
      </c>
    </row>
    <row r="414" spans="31:56" x14ac:dyDescent="0.25">
      <c r="AE414" s="71">
        <v>352</v>
      </c>
      <c r="AF414" s="17">
        <v>3.0787608005179976</v>
      </c>
      <c r="AG414" s="18">
        <v>-27440.860259858586</v>
      </c>
      <c r="AH414" s="20">
        <v>9060.0007482677174</v>
      </c>
      <c r="AN414" s="23">
        <v>409</v>
      </c>
      <c r="AO414" s="58">
        <v>204.5</v>
      </c>
      <c r="AP414" s="45">
        <f t="shared" si="107"/>
        <v>6162.561065342572</v>
      </c>
      <c r="AQ414" s="45">
        <f t="shared" si="108"/>
        <v>1561.1034553168913</v>
      </c>
      <c r="AR414" s="45">
        <f t="shared" si="109"/>
        <v>-817.63813381039233</v>
      </c>
      <c r="AS414" s="45">
        <f t="shared" si="110"/>
        <v>1193.2388354531963</v>
      </c>
      <c r="AT414" s="45">
        <f t="shared" si="96"/>
        <v>496.32887819811992</v>
      </c>
      <c r="AU414" s="45">
        <f t="shared" si="97"/>
        <v>-185.33614430475268</v>
      </c>
      <c r="AV414" s="64">
        <f t="shared" si="98"/>
        <v>1226.706024828098</v>
      </c>
      <c r="AW414" s="64">
        <f t="shared" si="99"/>
        <v>526.49050207887353</v>
      </c>
      <c r="AX414" s="64">
        <f t="shared" si="100"/>
        <v>-205.83839462391441</v>
      </c>
      <c r="AY414" s="64">
        <f t="shared" si="101"/>
        <v>66.394452470325248</v>
      </c>
      <c r="AZ414" s="64">
        <f t="shared" si="102"/>
        <v>-524.53875200606365</v>
      </c>
      <c r="BA414" s="64">
        <f t="shared" si="103"/>
        <v>-778.2210988539515</v>
      </c>
      <c r="BB414" s="65">
        <f t="shared" si="104"/>
        <v>15058.06124435753</v>
      </c>
      <c r="BC414" s="65">
        <f t="shared" si="105"/>
        <v>27489.899534004187</v>
      </c>
      <c r="BD414" s="66">
        <f t="shared" si="106"/>
        <v>19971.803053185031</v>
      </c>
    </row>
    <row r="415" spans="31:56" x14ac:dyDescent="0.25">
      <c r="AE415" s="71">
        <v>353</v>
      </c>
      <c r="AF415" s="17">
        <v>3.1415926535897936</v>
      </c>
      <c r="AG415" s="18">
        <v>-27367.154380465166</v>
      </c>
      <c r="AH415" s="20">
        <v>8594.6401406070636</v>
      </c>
      <c r="AN415" s="23">
        <v>410</v>
      </c>
      <c r="AO415" s="58">
        <v>205</v>
      </c>
      <c r="AP415" s="45">
        <f t="shared" si="107"/>
        <v>5877.8242179869058</v>
      </c>
      <c r="AQ415" s="45">
        <f t="shared" si="108"/>
        <v>2111.3888369673014</v>
      </c>
      <c r="AR415" s="45">
        <f t="shared" si="109"/>
        <v>-569.47369471133243</v>
      </c>
      <c r="AS415" s="45">
        <f t="shared" si="110"/>
        <v>1100.5707633008201</v>
      </c>
      <c r="AT415" s="45">
        <f t="shared" si="96"/>
        <v>536.21822361669979</v>
      </c>
      <c r="AU415" s="45">
        <f t="shared" si="97"/>
        <v>-236.4708505329354</v>
      </c>
      <c r="AV415" s="64">
        <f t="shared" si="98"/>
        <v>1242.0834103797051</v>
      </c>
      <c r="AW415" s="64">
        <f t="shared" si="99"/>
        <v>473.94287069522022</v>
      </c>
      <c r="AX415" s="64">
        <f t="shared" si="100"/>
        <v>-212.977666055942</v>
      </c>
      <c r="AY415" s="64">
        <f t="shared" si="101"/>
        <v>64.924237052269959</v>
      </c>
      <c r="AZ415" s="64">
        <f t="shared" si="102"/>
        <v>-492.8875207070634</v>
      </c>
      <c r="BA415" s="64">
        <f t="shared" si="103"/>
        <v>-775.3379582804256</v>
      </c>
      <c r="BB415" s="65">
        <f t="shared" si="104"/>
        <v>15115.322658958947</v>
      </c>
      <c r="BC415" s="65">
        <f t="shared" si="105"/>
        <v>27053.502034645233</v>
      </c>
      <c r="BD415" s="66">
        <f t="shared" si="106"/>
        <v>20276.259212372275</v>
      </c>
    </row>
    <row r="416" spans="31:56" x14ac:dyDescent="0.25">
      <c r="AE416" s="71">
        <v>354</v>
      </c>
      <c r="AF416" s="17">
        <v>3.2044245066615891</v>
      </c>
      <c r="AG416" s="18">
        <v>-27264.373708464733</v>
      </c>
      <c r="AH416" s="20">
        <v>8134.8258462635877</v>
      </c>
      <c r="AN416" s="23">
        <v>411</v>
      </c>
      <c r="AO416" s="58">
        <v>205.5</v>
      </c>
      <c r="AP416" s="45">
        <f t="shared" si="107"/>
        <v>5727.1419265354143</v>
      </c>
      <c r="AQ416" s="45">
        <f t="shared" si="108"/>
        <v>2602.5565059844776</v>
      </c>
      <c r="AR416" s="45">
        <f t="shared" si="109"/>
        <v>-301.36458290298253</v>
      </c>
      <c r="AS416" s="45">
        <f t="shared" si="110"/>
        <v>982.33533803435239</v>
      </c>
      <c r="AT416" s="45">
        <f t="shared" si="96"/>
        <v>574.64839735387477</v>
      </c>
      <c r="AU416" s="45">
        <f t="shared" si="97"/>
        <v>-271.37638381436443</v>
      </c>
      <c r="AV416" s="64">
        <f t="shared" si="98"/>
        <v>1259.7838597585069</v>
      </c>
      <c r="AW416" s="64">
        <f t="shared" si="99"/>
        <v>432.26943307945527</v>
      </c>
      <c r="AX416" s="64">
        <f t="shared" si="100"/>
        <v>-218.10950333177482</v>
      </c>
      <c r="AY416" s="64">
        <f t="shared" si="101"/>
        <v>62.714029059732134</v>
      </c>
      <c r="AZ416" s="64">
        <f t="shared" si="102"/>
        <v>-467.02595907285746</v>
      </c>
      <c r="BA416" s="64">
        <f t="shared" si="103"/>
        <v>-766.35984595355183</v>
      </c>
      <c r="BB416" s="65">
        <f t="shared" si="104"/>
        <v>15089.712732929615</v>
      </c>
      <c r="BC416" s="65">
        <f t="shared" si="105"/>
        <v>26769.5349596374</v>
      </c>
      <c r="BD416" s="66">
        <f t="shared" si="106"/>
        <v>20613.625820277481</v>
      </c>
    </row>
    <row r="417" spans="31:56" x14ac:dyDescent="0.25">
      <c r="AE417" s="71">
        <v>355</v>
      </c>
      <c r="AF417" s="17">
        <v>3.267256359733385</v>
      </c>
      <c r="AG417" s="18">
        <v>-27132.923872213651</v>
      </c>
      <c r="AH417" s="20">
        <v>7682.3725421878917</v>
      </c>
      <c r="AN417" s="23">
        <v>412</v>
      </c>
      <c r="AO417" s="58">
        <v>206</v>
      </c>
      <c r="AP417" s="45">
        <f t="shared" si="107"/>
        <v>5720.1217344223915</v>
      </c>
      <c r="AQ417" s="45">
        <f t="shared" si="108"/>
        <v>3025.8800790480627</v>
      </c>
      <c r="AR417" s="45">
        <f t="shared" si="109"/>
        <v>-14.040384226045148</v>
      </c>
      <c r="AS417" s="45">
        <f t="shared" si="110"/>
        <v>846.64714612717012</v>
      </c>
      <c r="AT417" s="45">
        <f t="shared" si="96"/>
        <v>614.12770191158256</v>
      </c>
      <c r="AU417" s="45">
        <f t="shared" si="97"/>
        <v>-290.7636588764862</v>
      </c>
      <c r="AV417" s="64">
        <f t="shared" si="98"/>
        <v>1282.4516383455298</v>
      </c>
      <c r="AW417" s="64">
        <f t="shared" si="99"/>
        <v>401.81311885624075</v>
      </c>
      <c r="AX417" s="64">
        <f t="shared" si="100"/>
        <v>-220.83260876980364</v>
      </c>
      <c r="AY417" s="64">
        <f t="shared" si="101"/>
        <v>59.87969699055003</v>
      </c>
      <c r="AZ417" s="64">
        <f t="shared" si="102"/>
        <v>-447.49132766414345</v>
      </c>
      <c r="BA417" s="64">
        <f t="shared" si="103"/>
        <v>-752.45647472327698</v>
      </c>
      <c r="BB417" s="65">
        <f t="shared" si="104"/>
        <v>14964.380119028478</v>
      </c>
      <c r="BC417" s="65">
        <f t="shared" si="105"/>
        <v>26648.883854775715</v>
      </c>
      <c r="BD417" s="66">
        <f t="shared" si="106"/>
        <v>20972.68134085523</v>
      </c>
    </row>
    <row r="418" spans="31:56" x14ac:dyDescent="0.25">
      <c r="AE418" s="71">
        <v>356</v>
      </c>
      <c r="AF418" s="17">
        <v>3.330088212805181</v>
      </c>
      <c r="AG418" s="18">
        <v>-26973.323644161886</v>
      </c>
      <c r="AH418" s="20">
        <v>7239.0658548649126</v>
      </c>
      <c r="AN418" s="23">
        <v>413</v>
      </c>
      <c r="AO418" s="58">
        <v>206.5</v>
      </c>
      <c r="AP418" s="45">
        <f t="shared" si="107"/>
        <v>5866.6334677872646</v>
      </c>
      <c r="AQ418" s="45">
        <f t="shared" si="108"/>
        <v>3376.5127373925266</v>
      </c>
      <c r="AR418" s="45">
        <f t="shared" si="109"/>
        <v>293.02346672974613</v>
      </c>
      <c r="AS418" s="45">
        <f t="shared" si="110"/>
        <v>701.26531668892699</v>
      </c>
      <c r="AT418" s="45">
        <f t="shared" si="96"/>
        <v>657.55802553910848</v>
      </c>
      <c r="AU418" s="45">
        <f t="shared" si="97"/>
        <v>-294.81885316841539</v>
      </c>
      <c r="AV418" s="64">
        <f t="shared" si="98"/>
        <v>1312.6792530269513</v>
      </c>
      <c r="AW418" s="64">
        <f t="shared" si="99"/>
        <v>382.98137725423379</v>
      </c>
      <c r="AX418" s="64">
        <f t="shared" si="100"/>
        <v>-220.87171892360797</v>
      </c>
      <c r="AY418" s="64">
        <f t="shared" si="101"/>
        <v>56.557070667220515</v>
      </c>
      <c r="AZ418" s="64">
        <f t="shared" si="102"/>
        <v>-434.24950856423487</v>
      </c>
      <c r="BA418" s="64">
        <f t="shared" si="103"/>
        <v>-734.35730108986968</v>
      </c>
      <c r="BB418" s="65">
        <f t="shared" si="104"/>
        <v>14722.608353778793</v>
      </c>
      <c r="BC418" s="65">
        <f t="shared" si="105"/>
        <v>26701.185563093932</v>
      </c>
      <c r="BD418" s="66">
        <f t="shared" si="106"/>
        <v>21349.0033329611</v>
      </c>
    </row>
    <row r="419" spans="31:56" x14ac:dyDescent="0.25">
      <c r="AE419" s="71">
        <v>357</v>
      </c>
      <c r="AF419" s="17">
        <v>3.3929200658769769</v>
      </c>
      <c r="AG419" s="18">
        <v>-26786.202893495145</v>
      </c>
      <c r="AH419" s="20">
        <v>6806.6553132619556</v>
      </c>
      <c r="AN419" s="23">
        <v>414</v>
      </c>
      <c r="AO419" s="58">
        <v>207</v>
      </c>
      <c r="AP419" s="45">
        <f t="shared" si="107"/>
        <v>6177.5347075369145</v>
      </c>
      <c r="AQ419" s="45">
        <f t="shared" si="108"/>
        <v>3653.4406824448861</v>
      </c>
      <c r="AR419" s="45">
        <f t="shared" si="109"/>
        <v>621.80247949930038</v>
      </c>
      <c r="AS419" s="45">
        <f t="shared" si="110"/>
        <v>553.85589010471926</v>
      </c>
      <c r="AT419" s="45">
        <f t="shared" si="96"/>
        <v>708.11562692517475</v>
      </c>
      <c r="AU419" s="45">
        <f t="shared" si="97"/>
        <v>-282.88136326297916</v>
      </c>
      <c r="AV419" s="64">
        <f t="shared" si="98"/>
        <v>1353.0299796499155</v>
      </c>
      <c r="AW419" s="64">
        <f t="shared" si="99"/>
        <v>376.52545801591765</v>
      </c>
      <c r="AX419" s="64">
        <f t="shared" si="100"/>
        <v>-218.09911886047138</v>
      </c>
      <c r="AY419" s="64">
        <f t="shared" si="101"/>
        <v>52.876598595663737</v>
      </c>
      <c r="AZ419" s="64">
        <f t="shared" si="102"/>
        <v>-426.81523386426932</v>
      </c>
      <c r="BA419" s="64">
        <f t="shared" si="103"/>
        <v>-712.28341987456054</v>
      </c>
      <c r="BB419" s="65">
        <f t="shared" si="104"/>
        <v>14347.702441325466</v>
      </c>
      <c r="BC419" s="65">
        <f t="shared" si="105"/>
        <v>26935.88941422847</v>
      </c>
      <c r="BD419" s="66">
        <f t="shared" si="106"/>
        <v>21745.991157721051</v>
      </c>
    </row>
    <row r="420" spans="31:56" x14ac:dyDescent="0.25">
      <c r="AE420" s="71">
        <v>358</v>
      </c>
      <c r="AF420" s="17">
        <v>3.4557519189487729</v>
      </c>
      <c r="AG420" s="18">
        <v>-26572.300100328976</v>
      </c>
      <c r="AH420" s="20">
        <v>6386.8474442371353</v>
      </c>
      <c r="AN420" s="23">
        <v>415</v>
      </c>
      <c r="AO420" s="58">
        <v>207.5</v>
      </c>
      <c r="AP420" s="45">
        <f t="shared" si="107"/>
        <v>6665.4648540178578</v>
      </c>
      <c r="AQ420" s="45">
        <f t="shared" si="108"/>
        <v>3859.6482866815008</v>
      </c>
      <c r="AR420" s="45">
        <f t="shared" si="109"/>
        <v>975.86029296188781</v>
      </c>
      <c r="AS420" s="45">
        <f t="shared" si="110"/>
        <v>412.41520847322965</v>
      </c>
      <c r="AT420" s="45">
        <f t="shared" si="96"/>
        <v>769.20288434702957</v>
      </c>
      <c r="AU420" s="45">
        <f t="shared" si="97"/>
        <v>-253.173056729363</v>
      </c>
      <c r="AV420" s="64">
        <f t="shared" si="98"/>
        <v>1406.0419081980449</v>
      </c>
      <c r="AW420" s="64">
        <f t="shared" si="99"/>
        <v>383.85193135499935</v>
      </c>
      <c r="AX420" s="64">
        <f t="shared" si="100"/>
        <v>-212.54011858708836</v>
      </c>
      <c r="AY420" s="64">
        <f t="shared" si="101"/>
        <v>48.94237128285058</v>
      </c>
      <c r="AZ420" s="64">
        <f t="shared" si="102"/>
        <v>-424.29890526392711</v>
      </c>
      <c r="BA420" s="64">
        <f t="shared" si="103"/>
        <v>-685.96735936721291</v>
      </c>
      <c r="BB420" s="65">
        <f t="shared" si="104"/>
        <v>13822.517431933084</v>
      </c>
      <c r="BC420" s="65">
        <f t="shared" si="105"/>
        <v>27363.313670754771</v>
      </c>
      <c r="BD420" s="66">
        <f t="shared" si="106"/>
        <v>22175.874362866831</v>
      </c>
    </row>
    <row r="421" spans="31:56" x14ac:dyDescent="0.25">
      <c r="AE421" s="71">
        <v>359</v>
      </c>
      <c r="AF421" s="17">
        <v>3.5185837720205688</v>
      </c>
      <c r="AG421" s="18">
        <v>-26332.459441265113</v>
      </c>
      <c r="AH421" s="20">
        <v>5981.2990376575244</v>
      </c>
      <c r="AN421" s="23">
        <v>416</v>
      </c>
      <c r="AO421" s="58">
        <v>208</v>
      </c>
      <c r="AP421" s="45">
        <f t="shared" si="107"/>
        <v>7345.6957215855591</v>
      </c>
      <c r="AQ421" s="45">
        <f t="shared" si="108"/>
        <v>4002.5626267357748</v>
      </c>
      <c r="AR421" s="45">
        <f t="shared" si="109"/>
        <v>1360.4617351354027</v>
      </c>
      <c r="AS421" s="45">
        <f t="shared" si="110"/>
        <v>285.82868010854816</v>
      </c>
      <c r="AT421" s="45">
        <f t="shared" si="96"/>
        <v>844.30958400251575</v>
      </c>
      <c r="AU421" s="45">
        <f t="shared" si="97"/>
        <v>-202.52354379527122</v>
      </c>
      <c r="AV421" s="64">
        <f t="shared" si="98"/>
        <v>1474.0546044919081</v>
      </c>
      <c r="AW421" s="64">
        <f t="shared" si="99"/>
        <v>407.40395920273994</v>
      </c>
      <c r="AX421" s="64">
        <f t="shared" si="100"/>
        <v>-204.36419359690666</v>
      </c>
      <c r="AY421" s="64">
        <f t="shared" si="101"/>
        <v>44.821000895859704</v>
      </c>
      <c r="AZ421" s="64">
        <f t="shared" si="102"/>
        <v>-425.38082689248557</v>
      </c>
      <c r="BA421" s="64">
        <f t="shared" si="103"/>
        <v>-654.74850389387086</v>
      </c>
      <c r="BB421" s="65">
        <f t="shared" si="104"/>
        <v>13128.727468822079</v>
      </c>
      <c r="BC421" s="65">
        <f t="shared" si="105"/>
        <v>27995.648403703195</v>
      </c>
      <c r="BD421" s="66">
        <f t="shared" si="106"/>
        <v>22660.83822882532</v>
      </c>
    </row>
    <row r="422" spans="31:56" x14ac:dyDescent="0.25">
      <c r="AE422" s="71">
        <v>360</v>
      </c>
      <c r="AF422" s="17">
        <v>3.5814156250923643</v>
      </c>
      <c r="AG422" s="18">
        <v>-26067.627457812105</v>
      </c>
      <c r="AH422" s="20">
        <v>5591.6106078064495</v>
      </c>
      <c r="AN422" s="23">
        <v>417</v>
      </c>
      <c r="AO422" s="58">
        <v>208.5</v>
      </c>
      <c r="AP422" s="45">
        <f t="shared" si="107"/>
        <v>8237.0039851538895</v>
      </c>
      <c r="AQ422" s="45">
        <f t="shared" si="108"/>
        <v>4094.8460808412315</v>
      </c>
      <c r="AR422" s="45">
        <f t="shared" si="109"/>
        <v>1782.6165271366606</v>
      </c>
      <c r="AS422" s="45">
        <f t="shared" si="110"/>
        <v>184.56690821091254</v>
      </c>
      <c r="AT422" s="45">
        <f t="shared" si="96"/>
        <v>936.3768231792227</v>
      </c>
      <c r="AU422" s="45">
        <f t="shared" si="97"/>
        <v>-126.06208322910982</v>
      </c>
      <c r="AV422" s="64">
        <f t="shared" si="98"/>
        <v>1558.4848784516416</v>
      </c>
      <c r="AW422" s="64">
        <f t="shared" si="99"/>
        <v>451.15044544021396</v>
      </c>
      <c r="AX422" s="64">
        <f t="shared" si="100"/>
        <v>-193.86534792619898</v>
      </c>
      <c r="AY422" s="64">
        <f t="shared" si="101"/>
        <v>40.542711956883736</v>
      </c>
      <c r="AZ422" s="64">
        <f t="shared" si="102"/>
        <v>-428.24270734622007</v>
      </c>
      <c r="BA422" s="64">
        <f t="shared" si="103"/>
        <v>-617.75524062620752</v>
      </c>
      <c r="BB422" s="65">
        <f t="shared" si="104"/>
        <v>12245.94416361792</v>
      </c>
      <c r="BC422" s="65">
        <f t="shared" si="105"/>
        <v>28847.863644758043</v>
      </c>
      <c r="BD422" s="66">
        <f t="shared" si="106"/>
        <v>23234.272559174253</v>
      </c>
    </row>
    <row r="423" spans="31:56" x14ac:dyDescent="0.25">
      <c r="AE423" s="71">
        <v>361</v>
      </c>
      <c r="AF423" s="17">
        <v>3.6442474781641603</v>
      </c>
      <c r="AG423" s="18">
        <v>-25778.849320818419</v>
      </c>
      <c r="AH423" s="20">
        <v>5219.3200768848255</v>
      </c>
      <c r="AN423" s="23">
        <v>418</v>
      </c>
      <c r="AO423" s="58">
        <v>209</v>
      </c>
      <c r="AP423" s="45">
        <f t="shared" si="107"/>
        <v>9362.406454517024</v>
      </c>
      <c r="AQ423" s="45">
        <f t="shared" si="108"/>
        <v>4155.6140141394108</v>
      </c>
      <c r="AR423" s="45">
        <f t="shared" si="109"/>
        <v>2250.8049387262718</v>
      </c>
      <c r="AS423" s="45">
        <f t="shared" si="110"/>
        <v>121.53586659635764</v>
      </c>
      <c r="AT423" s="45">
        <f t="shared" si="96"/>
        <v>1045.6146272484671</v>
      </c>
      <c r="AU423" s="45">
        <f t="shared" si="97"/>
        <v>-16.956704132945561</v>
      </c>
      <c r="AV423" s="64">
        <f t="shared" si="98"/>
        <v>1657.5716791731895</v>
      </c>
      <c r="AW423" s="64">
        <f t="shared" si="99"/>
        <v>521.1290947227601</v>
      </c>
      <c r="AX423" s="64">
        <f t="shared" si="100"/>
        <v>-181.43645580760503</v>
      </c>
      <c r="AY423" s="64">
        <f t="shared" si="101"/>
        <v>36.113684390574001</v>
      </c>
      <c r="AZ423" s="64">
        <f t="shared" si="102"/>
        <v>-430.52059611711741</v>
      </c>
      <c r="BA423" s="64">
        <f t="shared" si="103"/>
        <v>-574.19948324627967</v>
      </c>
      <c r="BB423" s="65">
        <f t="shared" si="104"/>
        <v>11150.933326915812</v>
      </c>
      <c r="BC423" s="65">
        <f t="shared" si="105"/>
        <v>29938.399428693356</v>
      </c>
      <c r="BD423" s="66">
        <f t="shared" si="106"/>
        <v>23941.935331619421</v>
      </c>
    </row>
    <row r="424" spans="31:56" x14ac:dyDescent="0.25">
      <c r="AE424" s="71">
        <v>362</v>
      </c>
      <c r="AF424" s="17">
        <v>3.7070793312359562</v>
      </c>
      <c r="AG424" s="18">
        <v>-25467.264705660586</v>
      </c>
      <c r="AH424" s="20">
        <v>4865.8967055348348</v>
      </c>
      <c r="AN424" s="23">
        <v>419</v>
      </c>
      <c r="AO424" s="58">
        <v>209.5</v>
      </c>
      <c r="AP424" s="45">
        <f t="shared" si="107"/>
        <v>10749.212580692278</v>
      </c>
      <c r="AQ424" s="45">
        <f t="shared" si="108"/>
        <v>4212.142771404353</v>
      </c>
      <c r="AR424" s="45">
        <f t="shared" si="109"/>
        <v>2773.6122523505055</v>
      </c>
      <c r="AS424" s="45">
        <f t="shared" si="110"/>
        <v>113.05751452988486</v>
      </c>
      <c r="AT424" s="45">
        <f t="shared" si="96"/>
        <v>1163.0511804902399</v>
      </c>
      <c r="AU424" s="45">
        <f t="shared" si="97"/>
        <v>133.25878702991383</v>
      </c>
      <c r="AV424" s="64">
        <f t="shared" si="98"/>
        <v>1759.9809914296534</v>
      </c>
      <c r="AW424" s="64">
        <f t="shared" si="99"/>
        <v>625.52147861332594</v>
      </c>
      <c r="AX424" s="64">
        <f t="shared" si="100"/>
        <v>-167.54389192575343</v>
      </c>
      <c r="AY424" s="64">
        <f t="shared" si="101"/>
        <v>31.536421410622275</v>
      </c>
      <c r="AZ424" s="64">
        <f t="shared" si="102"/>
        <v>-429.38591901365999</v>
      </c>
      <c r="BA424" s="64">
        <f t="shared" si="103"/>
        <v>-523.79911299403443</v>
      </c>
      <c r="BB424" s="65">
        <f t="shared" si="104"/>
        <v>9817.691838352368</v>
      </c>
      <c r="BC424" s="65">
        <f t="shared" si="105"/>
        <v>31289.189277308084</v>
      </c>
      <c r="BD424" s="66">
        <f t="shared" si="106"/>
        <v>24842.385690200135</v>
      </c>
    </row>
    <row r="425" spans="31:56" x14ac:dyDescent="0.25">
      <c r="AE425" s="71">
        <v>363</v>
      </c>
      <c r="AF425" s="17">
        <v>3.7699111843077522</v>
      </c>
      <c r="AG425" s="18">
        <v>-25134.103294465163</v>
      </c>
      <c r="AH425" s="20">
        <v>4532.7352943394135</v>
      </c>
      <c r="AN425" s="23">
        <v>420</v>
      </c>
      <c r="AO425" s="58">
        <v>210</v>
      </c>
      <c r="AP425" s="45">
        <f t="shared" si="107"/>
        <v>12426.78150199009</v>
      </c>
      <c r="AQ425" s="45">
        <f t="shared" si="108"/>
        <v>4301.9862254267737</v>
      </c>
      <c r="AR425" s="45">
        <f t="shared" si="109"/>
        <v>3355.1378425956254</v>
      </c>
      <c r="AS425" s="45">
        <f t="shared" si="110"/>
        <v>179.68690804484177</v>
      </c>
      <c r="AT425" s="45">
        <f t="shared" si="96"/>
        <v>1253.2490490300911</v>
      </c>
      <c r="AU425" s="45">
        <f t="shared" si="97"/>
        <v>331.40655405120276</v>
      </c>
      <c r="AV425" s="64">
        <f t="shared" si="98"/>
        <v>1827.8569860306277</v>
      </c>
      <c r="AW425" s="64">
        <f t="shared" si="99"/>
        <v>771.86625749830569</v>
      </c>
      <c r="AX425" s="64">
        <f t="shared" si="100"/>
        <v>-152.71183590872064</v>
      </c>
      <c r="AY425" s="64">
        <f t="shared" si="101"/>
        <v>26.834428341118389</v>
      </c>
      <c r="AZ425" s="64">
        <f t="shared" si="102"/>
        <v>-421.89610109181598</v>
      </c>
      <c r="BA425" s="64">
        <f t="shared" si="103"/>
        <v>-467.29413178822131</v>
      </c>
      <c r="BB425" s="65">
        <f t="shared" si="104"/>
        <v>8220.7621618046815</v>
      </c>
      <c r="BC425" s="65">
        <f t="shared" si="105"/>
        <v>32923.601254313493</v>
      </c>
      <c r="BD425" s="66">
        <f t="shared" si="106"/>
        <v>26004.987709373538</v>
      </c>
    </row>
    <row r="426" spans="31:56" x14ac:dyDescent="0.25">
      <c r="AE426" s="71">
        <v>364</v>
      </c>
      <c r="AF426" s="17">
        <v>3.8327430373795481</v>
      </c>
      <c r="AG426" s="18">
        <v>-24780.679923115171</v>
      </c>
      <c r="AH426" s="20">
        <v>4221.15067918158</v>
      </c>
      <c r="AN426" s="23">
        <v>421</v>
      </c>
      <c r="AO426" s="58">
        <v>210.5</v>
      </c>
      <c r="AP426" s="45">
        <f t="shared" si="107"/>
        <v>14417.662685545425</v>
      </c>
      <c r="AQ426" s="45">
        <f t="shared" si="108"/>
        <v>4474.6813179619949</v>
      </c>
      <c r="AR426" s="45">
        <f t="shared" si="109"/>
        <v>3981.7623671106712</v>
      </c>
      <c r="AS426" s="45">
        <f t="shared" si="110"/>
        <v>345.39018507044318</v>
      </c>
      <c r="AT426" s="45">
        <f t="shared" si="96"/>
        <v>1215.2920360411561</v>
      </c>
      <c r="AU426" s="45">
        <f t="shared" si="97"/>
        <v>568.19038350456913</v>
      </c>
      <c r="AV426" s="64">
        <f t="shared" si="98"/>
        <v>1758.5646828622837</v>
      </c>
      <c r="AW426" s="64">
        <f t="shared" si="99"/>
        <v>953.04498616728995</v>
      </c>
      <c r="AX426" s="64">
        <f t="shared" si="100"/>
        <v>-137.5306742973969</v>
      </c>
      <c r="AY426" s="64">
        <f t="shared" si="101"/>
        <v>22.078803287471086</v>
      </c>
      <c r="AZ426" s="64">
        <f t="shared" si="102"/>
        <v>-405.74197252373074</v>
      </c>
      <c r="BA426" s="64">
        <f t="shared" si="103"/>
        <v>-406.93340595019185</v>
      </c>
      <c r="BB426" s="65">
        <f t="shared" si="104"/>
        <v>6349.4128090903087</v>
      </c>
      <c r="BC426" s="65">
        <f t="shared" si="105"/>
        <v>34858.35124147532</v>
      </c>
      <c r="BD426" s="66">
        <f t="shared" si="106"/>
        <v>27501.069735663026</v>
      </c>
    </row>
    <row r="427" spans="31:56" x14ac:dyDescent="0.25">
      <c r="AE427" s="71">
        <v>365</v>
      </c>
      <c r="AF427" s="17">
        <v>3.8955748904513436</v>
      </c>
      <c r="AG427" s="18">
        <v>-24408.389392193549</v>
      </c>
      <c r="AH427" s="20">
        <v>3932.3725421878953</v>
      </c>
      <c r="AN427" s="23">
        <v>422</v>
      </c>
      <c r="AO427" s="58">
        <v>211</v>
      </c>
      <c r="AP427" s="45">
        <f t="shared" si="107"/>
        <v>16712.36687811105</v>
      </c>
      <c r="AQ427" s="45">
        <f t="shared" si="108"/>
        <v>4789.4240063733587</v>
      </c>
      <c r="AR427" s="45">
        <f t="shared" si="109"/>
        <v>4589.4083851312489</v>
      </c>
      <c r="AS427" s="45">
        <f t="shared" si="110"/>
        <v>629.48537682272774</v>
      </c>
      <c r="AT427" s="45">
        <f t="shared" si="96"/>
        <v>837.19314180974402</v>
      </c>
      <c r="AU427" s="45">
        <f t="shared" si="97"/>
        <v>775.75057483445698</v>
      </c>
      <c r="AV427" s="64">
        <f t="shared" si="98"/>
        <v>1340.2927145353442</v>
      </c>
      <c r="AW427" s="64">
        <f t="shared" si="99"/>
        <v>1105.0397418933485</v>
      </c>
      <c r="AX427" s="64">
        <f t="shared" si="100"/>
        <v>-122.70547459205274</v>
      </c>
      <c r="AY427" s="64">
        <f t="shared" si="101"/>
        <v>17.415553791960008</v>
      </c>
      <c r="AZ427" s="64">
        <f t="shared" si="102"/>
        <v>-380.39409813354746</v>
      </c>
      <c r="BA427" s="64">
        <f t="shared" si="103"/>
        <v>-346.70472085085163</v>
      </c>
      <c r="BB427" s="65">
        <f t="shared" si="104"/>
        <v>4260.9569067718039</v>
      </c>
      <c r="BC427" s="65">
        <f t="shared" si="105"/>
        <v>37080.291044952486</v>
      </c>
      <c r="BD427" s="66">
        <f t="shared" si="106"/>
        <v>29377.681630001371</v>
      </c>
    </row>
    <row r="428" spans="31:56" x14ac:dyDescent="0.25">
      <c r="AE428" s="71">
        <v>366</v>
      </c>
      <c r="AF428" s="17">
        <v>3.9584067435231396</v>
      </c>
      <c r="AG428" s="18">
        <v>-24018.700962342471</v>
      </c>
      <c r="AH428" s="20">
        <v>3667.5405587348851</v>
      </c>
      <c r="AN428" s="23">
        <v>423</v>
      </c>
      <c r="AO428" s="58">
        <v>211.5</v>
      </c>
      <c r="AP428" s="45">
        <f t="shared" si="107"/>
        <v>19216.369356129107</v>
      </c>
      <c r="AQ428" s="45">
        <f t="shared" si="108"/>
        <v>5298.1043384933364</v>
      </c>
      <c r="AR428" s="45">
        <f t="shared" si="109"/>
        <v>5008.0049560361213</v>
      </c>
      <c r="AS428" s="45">
        <f t="shared" si="110"/>
        <v>1017.3606642399562</v>
      </c>
      <c r="AT428" s="45">
        <f t="shared" si="96"/>
        <v>-78.564687052370857</v>
      </c>
      <c r="AU428" s="45">
        <f t="shared" si="97"/>
        <v>785.65583044174855</v>
      </c>
      <c r="AV428" s="64">
        <f t="shared" si="98"/>
        <v>378.84662691165761</v>
      </c>
      <c r="AW428" s="64">
        <f t="shared" si="99"/>
        <v>1064.5075593938213</v>
      </c>
      <c r="AX428" s="64">
        <f t="shared" si="100"/>
        <v>-109.1222539909905</v>
      </c>
      <c r="AY428" s="64">
        <f t="shared" si="101"/>
        <v>13.083349148277978</v>
      </c>
      <c r="AZ428" s="64">
        <f t="shared" si="102"/>
        <v>-348.28905997303798</v>
      </c>
      <c r="BA428" s="64">
        <f t="shared" si="103"/>
        <v>-291.93507810035061</v>
      </c>
      <c r="BB428" s="65">
        <f t="shared" si="104"/>
        <v>2337.1823827368239</v>
      </c>
      <c r="BC428" s="65">
        <f t="shared" si="105"/>
        <v>39497.233425748156</v>
      </c>
      <c r="BD428" s="66">
        <f t="shared" si="106"/>
        <v>31598.189576759472</v>
      </c>
    </row>
    <row r="429" spans="31:56" x14ac:dyDescent="0.25">
      <c r="AE429" s="71">
        <v>367</v>
      </c>
      <c r="AF429" s="17">
        <v>4.0212385965949355</v>
      </c>
      <c r="AG429" s="18">
        <v>-23613.152555762863</v>
      </c>
      <c r="AH429" s="20">
        <v>3427.6998996710236</v>
      </c>
      <c r="AN429" s="23">
        <v>424</v>
      </c>
      <c r="AO429" s="58">
        <v>212</v>
      </c>
      <c r="AP429" s="45">
        <f t="shared" si="107"/>
        <v>21700.730662384074</v>
      </c>
      <c r="AQ429" s="45">
        <f t="shared" si="108"/>
        <v>6003.1986282237513</v>
      </c>
      <c r="AR429" s="45">
        <f t="shared" si="109"/>
        <v>4968.722612509936</v>
      </c>
      <c r="AS429" s="45">
        <f t="shared" si="110"/>
        <v>1410.1885794608306</v>
      </c>
      <c r="AT429" s="45">
        <f t="shared" si="96"/>
        <v>-1238.6416116892178</v>
      </c>
      <c r="AU429" s="45">
        <f t="shared" si="97"/>
        <v>488.7719473448484</v>
      </c>
      <c r="AV429" s="64">
        <f t="shared" si="98"/>
        <v>-826.08778980942793</v>
      </c>
      <c r="AW429" s="64">
        <f t="shared" si="99"/>
        <v>727.03418850640207</v>
      </c>
      <c r="AX429" s="64">
        <f t="shared" si="100"/>
        <v>-97.748153296646706</v>
      </c>
      <c r="AY429" s="64">
        <f t="shared" si="101"/>
        <v>9.3686596608496213</v>
      </c>
      <c r="AZ429" s="64">
        <f t="shared" si="102"/>
        <v>-314.80566858314313</v>
      </c>
      <c r="BA429" s="64">
        <f t="shared" si="103"/>
        <v>-247.63090082240333</v>
      </c>
      <c r="BB429" s="65">
        <f t="shared" si="104"/>
        <v>2265.5902393249826</v>
      </c>
      <c r="BC429" s="65">
        <f t="shared" si="105"/>
        <v>41891.829262782638</v>
      </c>
      <c r="BD429" s="66">
        <f t="shared" si="106"/>
        <v>33971.508216765964</v>
      </c>
    </row>
    <row r="430" spans="31:56" x14ac:dyDescent="0.25">
      <c r="AE430" s="71">
        <v>368</v>
      </c>
      <c r="AF430" s="17">
        <v>4.0840704496667311</v>
      </c>
      <c r="AG430" s="18">
        <v>-23193.344686738041</v>
      </c>
      <c r="AH430" s="20">
        <v>3213.7971065048514</v>
      </c>
      <c r="AN430" s="23">
        <v>425</v>
      </c>
      <c r="AO430" s="58">
        <v>212.5</v>
      </c>
      <c r="AP430" s="45">
        <f t="shared" si="107"/>
        <v>23875.431565716735</v>
      </c>
      <c r="AQ430" s="45">
        <f t="shared" si="108"/>
        <v>6830.4859047903783</v>
      </c>
      <c r="AR430" s="45">
        <f t="shared" si="109"/>
        <v>4349.4018066653271</v>
      </c>
      <c r="AS430" s="45">
        <f t="shared" si="110"/>
        <v>1654.5745531332548</v>
      </c>
      <c r="AT430" s="45">
        <f t="shared" si="96"/>
        <v>-2010.0359718735729</v>
      </c>
      <c r="AU430" s="45">
        <f t="shared" si="97"/>
        <v>73.166922718455993</v>
      </c>
      <c r="AV430" s="64">
        <f t="shared" si="98"/>
        <v>-1635.4250132088937</v>
      </c>
      <c r="AW430" s="64">
        <f t="shared" si="99"/>
        <v>282.53372029270605</v>
      </c>
      <c r="AX430" s="64">
        <f t="shared" si="100"/>
        <v>-89.159789195273262</v>
      </c>
      <c r="AY430" s="64">
        <f t="shared" si="101"/>
        <v>6.4408074974047445</v>
      </c>
      <c r="AZ430" s="64">
        <f t="shared" si="102"/>
        <v>-285.45116946940584</v>
      </c>
      <c r="BA430" s="64">
        <f t="shared" si="103"/>
        <v>-215.80760507165482</v>
      </c>
      <c r="BB430" s="65">
        <f t="shared" si="104"/>
        <v>3932.8385352360988</v>
      </c>
      <c r="BC430" s="65">
        <f t="shared" si="105"/>
        <v>43989.763748827121</v>
      </c>
      <c r="BD430" s="66">
        <f t="shared" si="106"/>
        <v>36198.904167745764</v>
      </c>
    </row>
    <row r="431" spans="31:56" x14ac:dyDescent="0.25">
      <c r="AE431" s="71">
        <v>369</v>
      </c>
      <c r="AF431" s="17">
        <v>4.1469023027385274</v>
      </c>
      <c r="AG431" s="18">
        <v>-22760.934145135085</v>
      </c>
      <c r="AH431" s="20">
        <v>3026.6763558381144</v>
      </c>
      <c r="AN431" s="23">
        <v>426</v>
      </c>
      <c r="AO431" s="58">
        <v>213</v>
      </c>
      <c r="AP431" s="45">
        <f t="shared" si="107"/>
        <v>25547.623476081008</v>
      </c>
      <c r="AQ431" s="45">
        <f t="shared" si="108"/>
        <v>7676.0649120366197</v>
      </c>
      <c r="AR431" s="45">
        <f t="shared" si="109"/>
        <v>3344.3838207285407</v>
      </c>
      <c r="AS431" s="45">
        <f t="shared" si="110"/>
        <v>1691.1580144924828</v>
      </c>
      <c r="AT431" s="45">
        <f t="shared" si="96"/>
        <v>-2287.6440445042108</v>
      </c>
      <c r="AU431" s="45">
        <f t="shared" si="97"/>
        <v>-252.43639268180817</v>
      </c>
      <c r="AV431" s="64">
        <f t="shared" si="98"/>
        <v>-1941.5943455100589</v>
      </c>
      <c r="AW431" s="64">
        <f t="shared" si="99"/>
        <v>-61.620374765325018</v>
      </c>
      <c r="AX431" s="64">
        <f t="shared" si="100"/>
        <v>-83.272010100477061</v>
      </c>
      <c r="AY431" s="64">
        <f t="shared" si="101"/>
        <v>4.248712256510256</v>
      </c>
      <c r="AZ431" s="64">
        <f t="shared" si="102"/>
        <v>-262.77768889367502</v>
      </c>
      <c r="BA431" s="64">
        <f t="shared" si="103"/>
        <v>-195.06473017299339</v>
      </c>
      <c r="BB431" s="65">
        <f t="shared" si="104"/>
        <v>5550.4166587397367</v>
      </c>
      <c r="BC431" s="65">
        <f t="shared" si="105"/>
        <v>45606.870958353553</v>
      </c>
      <c r="BD431" s="66">
        <f t="shared" si="106"/>
        <v>38044.200871240733</v>
      </c>
    </row>
    <row r="432" spans="31:56" x14ac:dyDescent="0.25">
      <c r="AE432" s="71">
        <v>370</v>
      </c>
      <c r="AF432" s="17">
        <v>4.209734155810323</v>
      </c>
      <c r="AG432" s="18">
        <v>-22317.627457812108</v>
      </c>
      <c r="AH432" s="20">
        <v>2867.0761277863485</v>
      </c>
      <c r="AN432" s="23">
        <v>427</v>
      </c>
      <c r="AO432" s="58">
        <v>213.5</v>
      </c>
      <c r="AP432" s="45">
        <f t="shared" si="107"/>
        <v>26647.904375319224</v>
      </c>
      <c r="AQ432" s="45">
        <f t="shared" si="108"/>
        <v>8458.5348211124092</v>
      </c>
      <c r="AR432" s="45">
        <f t="shared" si="109"/>
        <v>2200.5617984764353</v>
      </c>
      <c r="AS432" s="45">
        <f t="shared" si="110"/>
        <v>1564.9398181515787</v>
      </c>
      <c r="AT432" s="45">
        <f t="shared" si="96"/>
        <v>-2317.7414632528903</v>
      </c>
      <c r="AU432" s="45">
        <f t="shared" si="97"/>
        <v>-467.42204606648124</v>
      </c>
      <c r="AV432" s="64">
        <f t="shared" si="98"/>
        <v>-1991.2326863629064</v>
      </c>
      <c r="AW432" s="64">
        <f t="shared" si="99"/>
        <v>-287.10790033353913</v>
      </c>
      <c r="AX432" s="64">
        <f t="shared" si="100"/>
        <v>-79.694188294789527</v>
      </c>
      <c r="AY432" s="64">
        <f t="shared" si="101"/>
        <v>2.6334691313834271</v>
      </c>
      <c r="AZ432" s="64">
        <f t="shared" si="102"/>
        <v>-246.81458859519458</v>
      </c>
      <c r="BA432" s="64">
        <f t="shared" si="103"/>
        <v>-182.94761486432557</v>
      </c>
      <c r="BB432" s="65">
        <f t="shared" si="104"/>
        <v>6716.6525581329179</v>
      </c>
      <c r="BC432" s="65">
        <f t="shared" si="105"/>
        <v>46673.366040030247</v>
      </c>
      <c r="BD432" s="66">
        <f t="shared" si="106"/>
        <v>39394.069443289212</v>
      </c>
    </row>
    <row r="433" spans="31:56" x14ac:dyDescent="0.25">
      <c r="AE433" s="71">
        <v>371</v>
      </c>
      <c r="AF433" s="17">
        <v>4.2725660088821193</v>
      </c>
      <c r="AG433" s="18">
        <v>-21865.174153736407</v>
      </c>
      <c r="AH433" s="20">
        <v>2735.6262915352663</v>
      </c>
      <c r="AN433" s="23">
        <v>428</v>
      </c>
      <c r="AO433" s="58">
        <v>214</v>
      </c>
      <c r="AP433" s="45">
        <f t="shared" si="107"/>
        <v>27168.749908744216</v>
      </c>
      <c r="AQ433" s="45">
        <f t="shared" si="108"/>
        <v>9124.1492186715786</v>
      </c>
      <c r="AR433" s="45">
        <f t="shared" si="109"/>
        <v>1041.6910668499902</v>
      </c>
      <c r="AS433" s="45">
        <f t="shared" si="110"/>
        <v>1331.228795118338</v>
      </c>
      <c r="AT433" s="45">
        <f t="shared" si="96"/>
        <v>-2278.4064186938349</v>
      </c>
      <c r="AU433" s="45">
        <f t="shared" si="97"/>
        <v>-620.97829295100109</v>
      </c>
      <c r="AV433" s="64">
        <f t="shared" si="98"/>
        <v>-1963.5366056232956</v>
      </c>
      <c r="AW433" s="64">
        <f t="shared" si="99"/>
        <v>-444.85809722085349</v>
      </c>
      <c r="AX433" s="64">
        <f t="shared" si="100"/>
        <v>-78.085954274146644</v>
      </c>
      <c r="AY433" s="64">
        <f t="shared" si="101"/>
        <v>1.4499354804632671</v>
      </c>
      <c r="AZ433" s="64">
        <f t="shared" si="102"/>
        <v>-236.78385879639265</v>
      </c>
      <c r="BA433" s="64">
        <f t="shared" si="103"/>
        <v>-177.57013121061087</v>
      </c>
      <c r="BB433" s="65">
        <f t="shared" si="104"/>
        <v>7350.4310035964354</v>
      </c>
      <c r="BC433" s="65">
        <f t="shared" si="105"/>
        <v>47176.880805589622</v>
      </c>
      <c r="BD433" s="66">
        <f t="shared" si="106"/>
        <v>40209.489504544363</v>
      </c>
    </row>
    <row r="434" spans="31:56" x14ac:dyDescent="0.25">
      <c r="AE434" s="71">
        <v>372</v>
      </c>
      <c r="AF434" s="17">
        <v>4.3353978619539149</v>
      </c>
      <c r="AG434" s="18">
        <v>-21405.359859392935</v>
      </c>
      <c r="AH434" s="20">
        <v>2632.8456195348344</v>
      </c>
      <c r="AN434" s="23">
        <v>429</v>
      </c>
      <c r="AO434" s="58">
        <v>214.5</v>
      </c>
      <c r="AP434" s="45">
        <f t="shared" si="107"/>
        <v>27119.993837495753</v>
      </c>
      <c r="AQ434" s="45">
        <f t="shared" si="108"/>
        <v>9634.5190429929971</v>
      </c>
      <c r="AR434" s="45">
        <f t="shared" si="109"/>
        <v>-97.512142496927254</v>
      </c>
      <c r="AS434" s="45">
        <f t="shared" si="110"/>
        <v>1020.7396486428374</v>
      </c>
      <c r="AT434" s="45">
        <f t="shared" si="96"/>
        <v>-2237.4861307417814</v>
      </c>
      <c r="AU434" s="45">
        <f t="shared" si="97"/>
        <v>-755.08986778373833</v>
      </c>
      <c r="AV434" s="64">
        <f t="shared" si="98"/>
        <v>-1927.2089184606962</v>
      </c>
      <c r="AW434" s="64">
        <f t="shared" si="99"/>
        <v>-577.76231695829028</v>
      </c>
      <c r="AX434" s="64">
        <f t="shared" si="100"/>
        <v>-78.275081335723868</v>
      </c>
      <c r="AY434" s="64">
        <f t="shared" si="101"/>
        <v>0.60713190530208594</v>
      </c>
      <c r="AZ434" s="64">
        <f t="shared" si="102"/>
        <v>-232.00213094536136</v>
      </c>
      <c r="BA434" s="64">
        <f t="shared" si="103"/>
        <v>-177.93468273075021</v>
      </c>
      <c r="BB434" s="65">
        <f t="shared" si="104"/>
        <v>7433.0669168841223</v>
      </c>
      <c r="BC434" s="65">
        <f t="shared" si="105"/>
        <v>47121.411222241346</v>
      </c>
      <c r="BD434" s="66">
        <f t="shared" si="106"/>
        <v>40479.050539758828</v>
      </c>
    </row>
    <row r="435" spans="31:56" x14ac:dyDescent="0.25">
      <c r="AE435" s="71">
        <v>373</v>
      </c>
      <c r="AF435" s="17">
        <v>4.3982297150257104</v>
      </c>
      <c r="AG435" s="18">
        <v>-20939.999251732279</v>
      </c>
      <c r="AH435" s="20">
        <v>2559.139740141416</v>
      </c>
      <c r="AN435" s="23">
        <v>430</v>
      </c>
      <c r="AO435" s="58">
        <v>215</v>
      </c>
      <c r="AP435" s="45">
        <f t="shared" si="107"/>
        <v>26511.866233561843</v>
      </c>
      <c r="AQ435" s="45">
        <f t="shared" si="108"/>
        <v>9956.1164003684808</v>
      </c>
      <c r="AR435" s="45">
        <f t="shared" si="109"/>
        <v>-1216.2552078678179</v>
      </c>
      <c r="AS435" s="45">
        <f t="shared" si="110"/>
        <v>643.19471475096827</v>
      </c>
      <c r="AT435" s="45">
        <f t="shared" si="96"/>
        <v>-2197.7716670940595</v>
      </c>
      <c r="AU435" s="45">
        <f t="shared" si="97"/>
        <v>-894.88506601910785</v>
      </c>
      <c r="AV435" s="64">
        <f t="shared" si="98"/>
        <v>-1885.3467518486914</v>
      </c>
      <c r="AW435" s="64">
        <f t="shared" si="99"/>
        <v>-711.10660316254155</v>
      </c>
      <c r="AX435" s="64">
        <f t="shared" si="100"/>
        <v>-80.2738511924195</v>
      </c>
      <c r="AY435" s="64">
        <f t="shared" si="101"/>
        <v>7.5737781170053156E-2</v>
      </c>
      <c r="AZ435" s="64">
        <f t="shared" si="102"/>
        <v>-232.15106405294875</v>
      </c>
      <c r="BA435" s="64">
        <f t="shared" si="103"/>
        <v>-183.85420063773637</v>
      </c>
      <c r="BB435" s="65">
        <f t="shared" si="104"/>
        <v>6959.6630389668953</v>
      </c>
      <c r="BC435" s="65">
        <f t="shared" si="105"/>
        <v>46511.886935482064</v>
      </c>
      <c r="BD435" s="66">
        <f t="shared" si="106"/>
        <v>40197.082721394545</v>
      </c>
    </row>
    <row r="436" spans="31:56" x14ac:dyDescent="0.25">
      <c r="AE436" s="71">
        <v>374</v>
      </c>
      <c r="AF436" s="17">
        <v>4.4610615680975068</v>
      </c>
      <c r="AG436" s="18">
        <v>-20470.92889646985</v>
      </c>
      <c r="AH436" s="20">
        <v>2514.799536787963</v>
      </c>
      <c r="AN436" s="23">
        <v>431</v>
      </c>
      <c r="AO436" s="58">
        <v>215.5</v>
      </c>
      <c r="AP436" s="45">
        <f t="shared" si="107"/>
        <v>25354.295712854419</v>
      </c>
      <c r="AQ436" s="45">
        <f t="shared" si="108"/>
        <v>10053.992491239187</v>
      </c>
      <c r="AR436" s="45">
        <f t="shared" si="109"/>
        <v>-2315.1410414148477</v>
      </c>
      <c r="AS436" s="45">
        <f t="shared" si="110"/>
        <v>195.75218174141435</v>
      </c>
      <c r="AT436" s="45">
        <f t="shared" si="96"/>
        <v>-2105.1279064903842</v>
      </c>
      <c r="AU436" s="45">
        <f t="shared" si="97"/>
        <v>-1046.725657995928</v>
      </c>
      <c r="AV436" s="64">
        <f t="shared" si="98"/>
        <v>-1783.5182963527163</v>
      </c>
      <c r="AW436" s="64">
        <f t="shared" si="99"/>
        <v>-850.73604095807195</v>
      </c>
      <c r="AX436" s="64">
        <f t="shared" si="100"/>
        <v>-84.2789201830943</v>
      </c>
      <c r="AY436" s="64">
        <f t="shared" si="101"/>
        <v>-0.10033071373091948</v>
      </c>
      <c r="AZ436" s="64">
        <f t="shared" si="102"/>
        <v>-237.3306899545735</v>
      </c>
      <c r="BA436" s="64">
        <f t="shared" si="103"/>
        <v>-195.88928632412504</v>
      </c>
      <c r="BB436" s="65">
        <f t="shared" si="104"/>
        <v>5932.2306281867832</v>
      </c>
      <c r="BC436" s="65">
        <f t="shared" si="105"/>
        <v>45354.32785080334</v>
      </c>
      <c r="BD436" s="66">
        <f t="shared" si="106"/>
        <v>39358.427407284471</v>
      </c>
    </row>
    <row r="437" spans="31:56" x14ac:dyDescent="0.25">
      <c r="AE437" s="71">
        <v>375</v>
      </c>
      <c r="AF437" s="17">
        <v>4.5238934211693023</v>
      </c>
      <c r="AG437" s="18">
        <v>-20000</v>
      </c>
      <c r="AH437" s="20">
        <v>2500</v>
      </c>
      <c r="AN437" s="23">
        <v>432</v>
      </c>
      <c r="AO437" s="58">
        <v>216</v>
      </c>
      <c r="AP437" s="45">
        <f t="shared" si="107"/>
        <v>23670.443215524399</v>
      </c>
      <c r="AQ437" s="45">
        <f t="shared" si="108"/>
        <v>9890.1871676109113</v>
      </c>
      <c r="AR437" s="45">
        <f t="shared" si="109"/>
        <v>-3367.70499466004</v>
      </c>
      <c r="AS437" s="45">
        <f t="shared" si="110"/>
        <v>-327.61064725654967</v>
      </c>
      <c r="AT437" s="45">
        <f t="shared" si="96"/>
        <v>-1815.6996273814393</v>
      </c>
      <c r="AU437" s="45">
        <f t="shared" si="97"/>
        <v>-1176.9299856470968</v>
      </c>
      <c r="AV437" s="64">
        <f t="shared" si="98"/>
        <v>-1477.0116513336181</v>
      </c>
      <c r="AW437" s="64">
        <f t="shared" si="99"/>
        <v>-961.82779248501026</v>
      </c>
      <c r="AX437" s="64">
        <f t="shared" si="100"/>
        <v>-90.654050154880892</v>
      </c>
      <c r="AY437" s="64">
        <f t="shared" si="101"/>
        <v>0.22795688071952255</v>
      </c>
      <c r="AZ437" s="64">
        <f t="shared" si="102"/>
        <v>-248.03392589294032</v>
      </c>
      <c r="BA437" s="64">
        <f t="shared" si="103"/>
        <v>-215.33015004280605</v>
      </c>
      <c r="BB437" s="65">
        <f t="shared" si="104"/>
        <v>4380.0853980945358</v>
      </c>
      <c r="BC437" s="65">
        <f t="shared" si="105"/>
        <v>43670.581281893858</v>
      </c>
      <c r="BD437" s="66">
        <f t="shared" si="106"/>
        <v>37967.298184270527</v>
      </c>
    </row>
    <row r="438" spans="31:56" x14ac:dyDescent="0.25">
      <c r="AE438" s="71">
        <v>376</v>
      </c>
      <c r="AF438" s="17">
        <v>4.5867252742410987</v>
      </c>
      <c r="AG438" s="18">
        <v>-19529.071103530147</v>
      </c>
      <c r="AH438" s="20">
        <v>2514.799536787963</v>
      </c>
      <c r="AN438" s="23">
        <v>433</v>
      </c>
      <c r="AO438" s="58">
        <v>216.5</v>
      </c>
      <c r="AP438" s="45">
        <f t="shared" si="107"/>
        <v>21532.665811349019</v>
      </c>
      <c r="AQ438" s="45">
        <f t="shared" si="108"/>
        <v>9432.149347570863</v>
      </c>
      <c r="AR438" s="45">
        <f t="shared" si="109"/>
        <v>-4275.5548083507601</v>
      </c>
      <c r="AS438" s="45">
        <f t="shared" si="110"/>
        <v>-916.07564008009808</v>
      </c>
      <c r="AT438" s="45">
        <f t="shared" si="96"/>
        <v>-1099.2366842658048</v>
      </c>
      <c r="AU438" s="45">
        <f t="shared" si="97"/>
        <v>-1168.5331937698986</v>
      </c>
      <c r="AV438" s="64">
        <f t="shared" si="98"/>
        <v>-734.48327797983745</v>
      </c>
      <c r="AW438" s="64">
        <f t="shared" si="99"/>
        <v>-925.92356131527652</v>
      </c>
      <c r="AX438" s="64">
        <f t="shared" si="100"/>
        <v>-99.803910447987775</v>
      </c>
      <c r="AY438" s="64">
        <f t="shared" si="101"/>
        <v>1.3645576212298567</v>
      </c>
      <c r="AZ438" s="64">
        <f t="shared" si="102"/>
        <v>-264.94949583797967</v>
      </c>
      <c r="BA438" s="64">
        <f t="shared" si="103"/>
        <v>-243.97419007585194</v>
      </c>
      <c r="BB438" s="65">
        <f t="shared" si="104"/>
        <v>2466.2249675560133</v>
      </c>
      <c r="BC438" s="65">
        <f t="shared" si="105"/>
        <v>41536.547566699184</v>
      </c>
      <c r="BD438" s="66">
        <f t="shared" si="106"/>
        <v>36068.161538935368</v>
      </c>
    </row>
    <row r="439" spans="31:56" x14ac:dyDescent="0.25">
      <c r="AE439" s="71">
        <v>377</v>
      </c>
      <c r="AF439" s="17">
        <v>4.6495571273128942</v>
      </c>
      <c r="AG439" s="18">
        <v>-19060.000748267717</v>
      </c>
      <c r="AH439" s="20">
        <v>2559.139740141416</v>
      </c>
      <c r="AN439" s="23">
        <v>434</v>
      </c>
      <c r="AO439" s="58">
        <v>217</v>
      </c>
      <c r="AP439" s="45">
        <f t="shared" si="107"/>
        <v>19120.079236107187</v>
      </c>
      <c r="AQ439" s="45">
        <f t="shared" si="108"/>
        <v>8681.9782290883395</v>
      </c>
      <c r="AR439" s="45">
        <f t="shared" si="109"/>
        <v>-4825.1731504836625</v>
      </c>
      <c r="AS439" s="45">
        <f t="shared" si="110"/>
        <v>-1500.3422369650475</v>
      </c>
      <c r="AT439" s="45">
        <f t="shared" si="96"/>
        <v>46.048471995117438</v>
      </c>
      <c r="AU439" s="45">
        <f t="shared" si="97"/>
        <v>-878.57576870737944</v>
      </c>
      <c r="AV439" s="64">
        <f t="shared" si="98"/>
        <v>446.11682074551641</v>
      </c>
      <c r="AW439" s="64">
        <f t="shared" si="99"/>
        <v>-599.25892351772995</v>
      </c>
      <c r="AX439" s="64">
        <f t="shared" si="100"/>
        <v>-111.74964035948142</v>
      </c>
      <c r="AY439" s="64">
        <f t="shared" si="101"/>
        <v>3.7650347791064811</v>
      </c>
      <c r="AZ439" s="64">
        <f t="shared" si="102"/>
        <v>-288.31870839091755</v>
      </c>
      <c r="BA439" s="64">
        <f t="shared" si="103"/>
        <v>-283.08187996875597</v>
      </c>
      <c r="BB439" s="65">
        <f t="shared" si="104"/>
        <v>1473.5443952485853</v>
      </c>
      <c r="BC439" s="65">
        <f t="shared" si="105"/>
        <v>39142.276132436418</v>
      </c>
      <c r="BD439" s="66">
        <f t="shared" si="106"/>
        <v>33802.578528850478</v>
      </c>
    </row>
    <row r="440" spans="31:56" x14ac:dyDescent="0.25">
      <c r="AE440" s="71">
        <v>378</v>
      </c>
      <c r="AF440" s="17">
        <v>4.7123889803846897</v>
      </c>
      <c r="AG440" s="18">
        <v>-18594.640140607062</v>
      </c>
      <c r="AH440" s="20">
        <v>2632.8456195348354</v>
      </c>
      <c r="AN440" s="23">
        <v>435</v>
      </c>
      <c r="AO440" s="58">
        <v>217.5</v>
      </c>
      <c r="AP440" s="45">
        <f t="shared" si="107"/>
        <v>16719.004778864135</v>
      </c>
      <c r="AQ440" s="45">
        <f t="shared" si="108"/>
        <v>7712.1631684289714</v>
      </c>
      <c r="AR440" s="45">
        <f t="shared" si="109"/>
        <v>-4802.1489144861034</v>
      </c>
      <c r="AS440" s="45">
        <f t="shared" si="110"/>
        <v>-1939.6301213187371</v>
      </c>
      <c r="AT440" s="45">
        <f t="shared" si="96"/>
        <v>1030.1493466094973</v>
      </c>
      <c r="AU440" s="45">
        <f t="shared" si="97"/>
        <v>-418.98590284671059</v>
      </c>
      <c r="AV440" s="64">
        <f t="shared" si="98"/>
        <v>1472.7740514097115</v>
      </c>
      <c r="AW440" s="64">
        <f t="shared" si="99"/>
        <v>-95.235862312192637</v>
      </c>
      <c r="AX440" s="64">
        <f t="shared" si="100"/>
        <v>-125.5510292691026</v>
      </c>
      <c r="AY440" s="64">
        <f t="shared" si="101"/>
        <v>7.8226594302698489</v>
      </c>
      <c r="AZ440" s="64">
        <f t="shared" si="102"/>
        <v>-317.07367553111158</v>
      </c>
      <c r="BA440" s="64">
        <f t="shared" si="103"/>
        <v>-331.57269996478783</v>
      </c>
      <c r="BB440" s="65">
        <f t="shared" si="104"/>
        <v>3287.8477536458718</v>
      </c>
      <c r="BC440" s="65">
        <f t="shared" si="105"/>
        <v>36790.209422047876</v>
      </c>
      <c r="BD440" s="66">
        <f t="shared" si="106"/>
        <v>31425.427990302131</v>
      </c>
    </row>
    <row r="441" spans="31:56" x14ac:dyDescent="0.25">
      <c r="AE441" s="71">
        <v>379</v>
      </c>
      <c r="AF441" s="17">
        <v>4.7752208334564861</v>
      </c>
      <c r="AG441" s="18">
        <v>-18134.825846263589</v>
      </c>
      <c r="AH441" s="20">
        <v>2735.6262915352672</v>
      </c>
      <c r="AN441" s="23">
        <v>436</v>
      </c>
      <c r="AO441" s="58">
        <v>218</v>
      </c>
      <c r="AP441" s="45">
        <f t="shared" si="107"/>
        <v>14575.467658273457</v>
      </c>
      <c r="AQ441" s="45">
        <f t="shared" si="108"/>
        <v>6637.6016320579256</v>
      </c>
      <c r="AR441" s="45">
        <f t="shared" si="109"/>
        <v>-4287.0742411813544</v>
      </c>
      <c r="AS441" s="45">
        <f t="shared" si="110"/>
        <v>-2149.1230727420925</v>
      </c>
      <c r="AT441" s="45">
        <f t="shared" si="96"/>
        <v>1423.6640743987537</v>
      </c>
      <c r="AU441" s="45">
        <f t="shared" si="97"/>
        <v>-68.457525532373722</v>
      </c>
      <c r="AV441" s="64">
        <f t="shared" si="98"/>
        <v>1912.4855426699041</v>
      </c>
      <c r="AW441" s="64">
        <f t="shared" si="99"/>
        <v>304.04914319054166</v>
      </c>
      <c r="AX441" s="64">
        <f t="shared" si="100"/>
        <v>-139.53923290001325</v>
      </c>
      <c r="AY441" s="64">
        <f t="shared" si="101"/>
        <v>13.569924595210022</v>
      </c>
      <c r="AZ441" s="64">
        <f t="shared" si="102"/>
        <v>-349.28223537113723</v>
      </c>
      <c r="BA441" s="64">
        <f t="shared" si="103"/>
        <v>-386.07659331812539</v>
      </c>
      <c r="BB441" s="65">
        <f t="shared" si="104"/>
        <v>5492.6571048506567</v>
      </c>
      <c r="BC441" s="65">
        <f t="shared" si="105"/>
        <v>34738.576346376853</v>
      </c>
      <c r="BD441" s="66">
        <f t="shared" si="106"/>
        <v>29178.497878193557</v>
      </c>
    </row>
    <row r="442" spans="31:56" x14ac:dyDescent="0.25">
      <c r="AE442" s="71">
        <v>380</v>
      </c>
      <c r="AF442" s="17">
        <v>4.8380526865282816</v>
      </c>
      <c r="AG442" s="18">
        <v>-17682.372542187895</v>
      </c>
      <c r="AH442" s="20">
        <v>2867.0761277863476</v>
      </c>
      <c r="AN442" s="23">
        <v>437</v>
      </c>
      <c r="AO442" s="58">
        <v>218.5</v>
      </c>
      <c r="AP442" s="45">
        <f t="shared" si="107"/>
        <v>12787.846556282468</v>
      </c>
      <c r="AQ442" s="45">
        <f t="shared" si="108"/>
        <v>5545.9257143037867</v>
      </c>
      <c r="AR442" s="45">
        <f t="shared" si="109"/>
        <v>-3575.2422039819776</v>
      </c>
      <c r="AS442" s="45">
        <f t="shared" si="110"/>
        <v>-2183.3518355082792</v>
      </c>
      <c r="AT442" s="45">
        <f t="shared" si="96"/>
        <v>1405.440332703768</v>
      </c>
      <c r="AU442" s="45">
        <f t="shared" si="97"/>
        <v>103.59747366060805</v>
      </c>
      <c r="AV442" s="64">
        <f t="shared" si="98"/>
        <v>1941.2080204391032</v>
      </c>
      <c r="AW442" s="64">
        <f t="shared" si="99"/>
        <v>525.95451629382535</v>
      </c>
      <c r="AX442" s="64">
        <f t="shared" si="100"/>
        <v>-152.20677747228868</v>
      </c>
      <c r="AY442" s="64">
        <f t="shared" si="101"/>
        <v>20.676572719842337</v>
      </c>
      <c r="AZ442" s="64">
        <f t="shared" si="102"/>
        <v>-383.56091026304642</v>
      </c>
      <c r="BA442" s="64">
        <f t="shared" si="103"/>
        <v>-443.03361535305959</v>
      </c>
      <c r="BB442" s="65">
        <f t="shared" si="104"/>
        <v>7472.1859994077922</v>
      </c>
      <c r="BC442" s="65">
        <f t="shared" si="105"/>
        <v>33088.996049152425</v>
      </c>
      <c r="BD442" s="66">
        <f t="shared" si="106"/>
        <v>27176.139324185468</v>
      </c>
    </row>
    <row r="443" spans="31:56" x14ac:dyDescent="0.25">
      <c r="AE443" s="71">
        <v>381</v>
      </c>
      <c r="AF443" s="17">
        <v>4.900884539600078</v>
      </c>
      <c r="AG443" s="18">
        <v>-17239.065854864912</v>
      </c>
      <c r="AH443" s="20">
        <v>3026.6763558381153</v>
      </c>
      <c r="AN443" s="23">
        <v>438</v>
      </c>
      <c r="AO443" s="58">
        <v>219</v>
      </c>
      <c r="AP443" s="45">
        <f t="shared" si="107"/>
        <v>11351.585537467419</v>
      </c>
      <c r="AQ443" s="45">
        <f t="shared" si="108"/>
        <v>4480.1491649647987</v>
      </c>
      <c r="AR443" s="45">
        <f t="shared" si="109"/>
        <v>-2872.5220376300936</v>
      </c>
      <c r="AS443" s="45">
        <f t="shared" si="110"/>
        <v>-2131.5530986779754</v>
      </c>
      <c r="AT443" s="45">
        <f t="shared" si="96"/>
        <v>1233.4824767643045</v>
      </c>
      <c r="AU443" s="45">
        <f t="shared" si="97"/>
        <v>162.84967598741741</v>
      </c>
      <c r="AV443" s="64">
        <f t="shared" si="98"/>
        <v>1815.5612555387597</v>
      </c>
      <c r="AW443" s="64">
        <f t="shared" si="99"/>
        <v>633.95714871772395</v>
      </c>
      <c r="AX443" s="64">
        <f t="shared" si="100"/>
        <v>-162.60199889787106</v>
      </c>
      <c r="AY443" s="64">
        <f t="shared" si="101"/>
        <v>28.62817825663657</v>
      </c>
      <c r="AZ443" s="64">
        <f t="shared" si="102"/>
        <v>-419.47677987658432</v>
      </c>
      <c r="BA443" s="64">
        <f t="shared" si="103"/>
        <v>-499.73565098694314</v>
      </c>
      <c r="BB443" s="65">
        <f t="shared" si="104"/>
        <v>9160.4897129796245</v>
      </c>
      <c r="BC443" s="65">
        <f t="shared" si="105"/>
        <v>31833.797589263129</v>
      </c>
      <c r="BD443" s="66">
        <f t="shared" si="106"/>
        <v>25433.256989194135</v>
      </c>
    </row>
    <row r="444" spans="31:56" x14ac:dyDescent="0.25">
      <c r="AE444" s="71">
        <v>382</v>
      </c>
      <c r="AF444" s="17">
        <v>4.9637163926718735</v>
      </c>
      <c r="AG444" s="18">
        <v>-16806.655313261956</v>
      </c>
      <c r="AH444" s="20">
        <v>3213.7971065048532</v>
      </c>
      <c r="AN444" s="23">
        <v>439</v>
      </c>
      <c r="AO444" s="58">
        <v>219.5</v>
      </c>
      <c r="AP444" s="45">
        <f t="shared" si="107"/>
        <v>10223.69513784345</v>
      </c>
      <c r="AQ444" s="45">
        <f t="shared" si="108"/>
        <v>3455.0850346226653</v>
      </c>
      <c r="AR444" s="45">
        <f t="shared" si="109"/>
        <v>-2255.7807992479411</v>
      </c>
      <c r="AS444" s="45">
        <f t="shared" si="110"/>
        <v>-2050.1282606842669</v>
      </c>
      <c r="AT444" s="45">
        <f t="shared" si="96"/>
        <v>1031.5482523981241</v>
      </c>
      <c r="AU444" s="45">
        <f t="shared" si="97"/>
        <v>169.03765730793111</v>
      </c>
      <c r="AV444" s="64">
        <f t="shared" si="98"/>
        <v>1659.058607612676</v>
      </c>
      <c r="AW444" s="64">
        <f t="shared" si="99"/>
        <v>686.43020906063225</v>
      </c>
      <c r="AX444" s="64">
        <f t="shared" si="100"/>
        <v>-170.29104671586137</v>
      </c>
      <c r="AY444" s="64">
        <f t="shared" si="101"/>
        <v>36.876378451980962</v>
      </c>
      <c r="AZ444" s="64">
        <f t="shared" si="102"/>
        <v>-457.21930849869062</v>
      </c>
      <c r="BA444" s="64">
        <f t="shared" si="103"/>
        <v>-554.26893020468208</v>
      </c>
      <c r="BB444" s="65">
        <f t="shared" si="104"/>
        <v>10580.050748222304</v>
      </c>
      <c r="BC444" s="65">
        <f t="shared" si="105"/>
        <v>30924.224479998233</v>
      </c>
      <c r="BD444" s="66">
        <f t="shared" si="106"/>
        <v>23923.859581705285</v>
      </c>
    </row>
    <row r="445" spans="31:56" x14ac:dyDescent="0.25">
      <c r="AE445" s="71">
        <v>383</v>
      </c>
      <c r="AF445" s="17">
        <v>5.026548245743669</v>
      </c>
      <c r="AG445" s="18">
        <v>-16386.847444237133</v>
      </c>
      <c r="AH445" s="20">
        <v>3427.6998996710245</v>
      </c>
      <c r="AN445" s="23">
        <v>440</v>
      </c>
      <c r="AO445" s="58">
        <v>220</v>
      </c>
      <c r="AP445" s="45">
        <f t="shared" si="107"/>
        <v>9353.6918013190098</v>
      </c>
      <c r="AQ445" s="45">
        <f t="shared" si="108"/>
        <v>2472.2803186075143</v>
      </c>
      <c r="AR445" s="45">
        <f t="shared" si="109"/>
        <v>-1740.0066730488791</v>
      </c>
      <c r="AS445" s="45">
        <f t="shared" si="110"/>
        <v>-1965.6094320303014</v>
      </c>
      <c r="AT445" s="45">
        <f t="shared" si="96"/>
        <v>839.80433319286431</v>
      </c>
      <c r="AU445" s="45">
        <f t="shared" si="97"/>
        <v>153.83132926439851</v>
      </c>
      <c r="AV445" s="64">
        <f t="shared" si="98"/>
        <v>1512.2805338269768</v>
      </c>
      <c r="AW445" s="64">
        <f t="shared" si="99"/>
        <v>714.17457223816132</v>
      </c>
      <c r="AX445" s="64">
        <f t="shared" si="100"/>
        <v>-175.23053790482476</v>
      </c>
      <c r="AY445" s="64">
        <f t="shared" si="101"/>
        <v>44.937665009750766</v>
      </c>
      <c r="AZ445" s="64">
        <f t="shared" si="102"/>
        <v>-497.24566272928769</v>
      </c>
      <c r="BA445" s="64">
        <f t="shared" si="103"/>
        <v>-605.28090798351354</v>
      </c>
      <c r="BB445" s="65">
        <f t="shared" si="104"/>
        <v>11773.777790325561</v>
      </c>
      <c r="BC445" s="65">
        <f t="shared" si="105"/>
        <v>30303.560615354203</v>
      </c>
      <c r="BD445" s="66">
        <f t="shared" si="106"/>
        <v>22612.143813872495</v>
      </c>
    </row>
    <row r="446" spans="31:56" x14ac:dyDescent="0.25">
      <c r="AE446" s="71">
        <v>384</v>
      </c>
      <c r="AF446" s="17">
        <v>5.0893800988154654</v>
      </c>
      <c r="AG446" s="18">
        <v>-15981.299037657525</v>
      </c>
      <c r="AH446" s="20">
        <v>3667.5405587348878</v>
      </c>
      <c r="AN446" s="23">
        <v>441</v>
      </c>
      <c r="AO446" s="58">
        <v>220.5</v>
      </c>
      <c r="AP446" s="45">
        <f t="shared" si="107"/>
        <v>8693.6395480927858</v>
      </c>
      <c r="AQ446" s="45">
        <f t="shared" si="108"/>
        <v>1527.9334349084634</v>
      </c>
      <c r="AR446" s="45">
        <f t="shared" si="109"/>
        <v>-1320.1045064524469</v>
      </c>
      <c r="AS446" s="45">
        <f t="shared" si="110"/>
        <v>-1888.6937673981022</v>
      </c>
      <c r="AT446" s="45">
        <f t="shared" si="96"/>
        <v>666.35533018459296</v>
      </c>
      <c r="AU446" s="45">
        <f t="shared" si="97"/>
        <v>131.68176263594921</v>
      </c>
      <c r="AV446" s="64">
        <f t="shared" si="98"/>
        <v>1384.0509824083576</v>
      </c>
      <c r="AW446" s="64">
        <f t="shared" si="99"/>
        <v>731.06147920737442</v>
      </c>
      <c r="AX446" s="64">
        <f t="shared" si="100"/>
        <v>-177.64410046118303</v>
      </c>
      <c r="AY446" s="64">
        <f t="shared" si="101"/>
        <v>52.451089081272933</v>
      </c>
      <c r="AZ446" s="64">
        <f t="shared" si="102"/>
        <v>-540.05155176258154</v>
      </c>
      <c r="BA446" s="64">
        <f t="shared" si="103"/>
        <v>-651.83080565269813</v>
      </c>
      <c r="BB446" s="65">
        <f t="shared" si="104"/>
        <v>12786.687050457429</v>
      </c>
      <c r="BC446" s="65">
        <f t="shared" si="105"/>
        <v>29918.236284901828</v>
      </c>
      <c r="BD446" s="66">
        <f t="shared" si="106"/>
        <v>21463.65177927223</v>
      </c>
    </row>
    <row r="447" spans="31:56" x14ac:dyDescent="0.25">
      <c r="AE447" s="71">
        <v>385</v>
      </c>
      <c r="AF447" s="17">
        <v>5.1522119518872609</v>
      </c>
      <c r="AG447" s="18">
        <v>-15591.610607806448</v>
      </c>
      <c r="AH447" s="20">
        <v>3932.3725421878971</v>
      </c>
      <c r="AN447" s="23">
        <v>442</v>
      </c>
      <c r="AO447" s="58">
        <v>221</v>
      </c>
      <c r="AP447" s="45">
        <f t="shared" si="107"/>
        <v>8200.1761274127093</v>
      </c>
      <c r="AQ447" s="45">
        <f t="shared" si="108"/>
        <v>616.50699186839961</v>
      </c>
      <c r="AR447" s="45">
        <f t="shared" si="109"/>
        <v>-986.92684136015043</v>
      </c>
      <c r="AS447" s="45">
        <f t="shared" si="110"/>
        <v>-1822.8528860801275</v>
      </c>
      <c r="AT447" s="45">
        <f t="shared" si="96"/>
        <v>509.30131921609939</v>
      </c>
      <c r="AU447" s="45">
        <f t="shared" si="97"/>
        <v>108.64022370750763</v>
      </c>
      <c r="AV447" s="64">
        <f t="shared" si="98"/>
        <v>1273.2633238539333</v>
      </c>
      <c r="AW447" s="64">
        <f t="shared" si="99"/>
        <v>742.76525496453883</v>
      </c>
      <c r="AX447" s="64">
        <f t="shared" si="100"/>
        <v>-177.91440984287641</v>
      </c>
      <c r="AY447" s="64">
        <f t="shared" si="101"/>
        <v>59.200290567818477</v>
      </c>
      <c r="AZ447" s="64">
        <f t="shared" si="102"/>
        <v>-586.04759479495749</v>
      </c>
      <c r="BA447" s="64">
        <f t="shared" si="103"/>
        <v>-693.32532182484965</v>
      </c>
      <c r="BB447" s="65">
        <f t="shared" si="104"/>
        <v>13660.831578534213</v>
      </c>
      <c r="BC447" s="65">
        <f t="shared" si="105"/>
        <v>29720.361280622958</v>
      </c>
      <c r="BD447" s="66">
        <f t="shared" si="106"/>
        <v>20447.981328771577</v>
      </c>
    </row>
    <row r="448" spans="31:56" x14ac:dyDescent="0.25">
      <c r="AE448" s="71">
        <v>386</v>
      </c>
      <c r="AF448" s="17">
        <v>5.2150438049590573</v>
      </c>
      <c r="AG448" s="18">
        <v>-15219.320076884826</v>
      </c>
      <c r="AH448" s="20">
        <v>4221.1506791815818</v>
      </c>
      <c r="AN448" s="23">
        <v>443</v>
      </c>
      <c r="AO448" s="58">
        <v>221.5</v>
      </c>
      <c r="AP448" s="45">
        <f t="shared" si="107"/>
        <v>7834.0380365366582</v>
      </c>
      <c r="AQ448" s="45">
        <f t="shared" si="108"/>
        <v>-267.75939524478724</v>
      </c>
      <c r="AR448" s="45">
        <f t="shared" si="109"/>
        <v>-732.27618175210068</v>
      </c>
      <c r="AS448" s="45">
        <f t="shared" si="110"/>
        <v>-1768.5327742263737</v>
      </c>
      <c r="AT448" s="45">
        <f t="shared" si="96"/>
        <v>364.46021000219298</v>
      </c>
      <c r="AU448" s="45">
        <f t="shared" si="97"/>
        <v>86.752720125526139</v>
      </c>
      <c r="AV448" s="64">
        <f t="shared" si="98"/>
        <v>1176.4727141418439</v>
      </c>
      <c r="AW448" s="64">
        <f t="shared" si="99"/>
        <v>751.1577798754621</v>
      </c>
      <c r="AX448" s="64">
        <f t="shared" si="100"/>
        <v>-176.49516421384388</v>
      </c>
      <c r="AY448" s="64">
        <f t="shared" si="101"/>
        <v>65.107688585937467</v>
      </c>
      <c r="AZ448" s="64">
        <f t="shared" si="102"/>
        <v>-635.51733992580705</v>
      </c>
      <c r="BA448" s="64">
        <f t="shared" si="103"/>
        <v>-729.51274833587343</v>
      </c>
      <c r="BB448" s="65">
        <f t="shared" si="104"/>
        <v>14434.289609081925</v>
      </c>
      <c r="BC448" s="65">
        <f t="shared" si="105"/>
        <v>29667.500002831501</v>
      </c>
      <c r="BD448" s="66">
        <f t="shared" si="106"/>
        <v>19538.460675285245</v>
      </c>
    </row>
    <row r="449" spans="31:56" x14ac:dyDescent="0.25">
      <c r="AE449" s="71">
        <v>387</v>
      </c>
      <c r="AF449" s="17">
        <v>5.2778756580308528</v>
      </c>
      <c r="AG449" s="18">
        <v>-14865.896705534837</v>
      </c>
      <c r="AH449" s="20">
        <v>4532.7352943394135</v>
      </c>
      <c r="AN449" s="23">
        <v>444</v>
      </c>
      <c r="AO449" s="58">
        <v>222</v>
      </c>
      <c r="AP449" s="45">
        <f t="shared" si="107"/>
        <v>7559.0149981611557</v>
      </c>
      <c r="AQ449" s="45">
        <f t="shared" si="108"/>
        <v>-1130.3376023265926</v>
      </c>
      <c r="AR449" s="45">
        <f t="shared" si="109"/>
        <v>-550.04607675100419</v>
      </c>
      <c r="AS449" s="45">
        <f t="shared" si="110"/>
        <v>-1725.1564141636106</v>
      </c>
      <c r="AT449" s="45">
        <f t="shared" si="96"/>
        <v>227.80144929610219</v>
      </c>
      <c r="AU449" s="45">
        <f t="shared" si="97"/>
        <v>66.038030682593671</v>
      </c>
      <c r="AV449" s="64">
        <f t="shared" si="98"/>
        <v>1090.2931313471524</v>
      </c>
      <c r="AW449" s="64">
        <f t="shared" si="99"/>
        <v>756.33865064807537</v>
      </c>
      <c r="AX449" s="64">
        <f t="shared" si="100"/>
        <v>-173.84588241032006</v>
      </c>
      <c r="AY449" s="64">
        <f t="shared" si="101"/>
        <v>70.211629919659345</v>
      </c>
      <c r="AZ449" s="64">
        <f t="shared" si="102"/>
        <v>-688.64579964073016</v>
      </c>
      <c r="BA449" s="64">
        <f t="shared" si="103"/>
        <v>-760.51224988514105</v>
      </c>
      <c r="BB449" s="65">
        <f t="shared" si="104"/>
        <v>15141.361726942243</v>
      </c>
      <c r="BC449" s="65">
        <f t="shared" si="105"/>
        <v>29721.771865261275</v>
      </c>
      <c r="BD449" s="66">
        <f t="shared" si="106"/>
        <v>18710.862961110921</v>
      </c>
    </row>
    <row r="450" spans="31:56" x14ac:dyDescent="0.25">
      <c r="AE450" s="71">
        <v>388</v>
      </c>
      <c r="AF450" s="17">
        <v>5.3407075111026492</v>
      </c>
      <c r="AG450" s="18">
        <v>-14532.735294339411</v>
      </c>
      <c r="AH450" s="20">
        <v>4865.8967055348376</v>
      </c>
      <c r="AN450" s="23">
        <v>445</v>
      </c>
      <c r="AO450" s="58">
        <v>222.5</v>
      </c>
      <c r="AP450" s="45">
        <f t="shared" si="107"/>
        <v>7340.9423221096786</v>
      </c>
      <c r="AQ450" s="45">
        <f t="shared" si="108"/>
        <v>-1976.4063017377493</v>
      </c>
      <c r="AR450" s="45">
        <f t="shared" si="109"/>
        <v>-436.1453521029531</v>
      </c>
      <c r="AS450" s="45">
        <f t="shared" si="110"/>
        <v>-1692.1373988223138</v>
      </c>
      <c r="AT450" s="45">
        <f t="shared" si="96"/>
        <v>96.038632625455421</v>
      </c>
      <c r="AU450" s="45">
        <f t="shared" si="97"/>
        <v>45.380405120832734</v>
      </c>
      <c r="AV450" s="64">
        <f t="shared" si="98"/>
        <v>1012.0393548337345</v>
      </c>
      <c r="AW450" s="64">
        <f t="shared" si="99"/>
        <v>757.59952784663335</v>
      </c>
      <c r="AX450" s="64">
        <f t="shared" si="100"/>
        <v>-170.38884839788585</v>
      </c>
      <c r="AY450" s="64">
        <f t="shared" si="101"/>
        <v>74.637006056959407</v>
      </c>
      <c r="AZ450" s="64">
        <f t="shared" si="102"/>
        <v>-745.61187381039326</v>
      </c>
      <c r="BA450" s="64">
        <f t="shared" si="103"/>
        <v>-786.85612878276004</v>
      </c>
      <c r="BB450" s="65">
        <f t="shared" si="104"/>
        <v>15813.096397852281</v>
      </c>
      <c r="BC450" s="65">
        <f t="shared" si="105"/>
        <v>29848.977117570241</v>
      </c>
      <c r="BD450" s="66">
        <f t="shared" si="106"/>
        <v>17941.929946777022</v>
      </c>
    </row>
    <row r="451" spans="31:56" x14ac:dyDescent="0.25">
      <c r="AE451" s="71">
        <v>389</v>
      </c>
      <c r="AF451" s="17">
        <v>5.4035393641744447</v>
      </c>
      <c r="AG451" s="18">
        <v>-14221.150679181581</v>
      </c>
      <c r="AH451" s="20">
        <v>5219.3200768848274</v>
      </c>
      <c r="AN451" s="23">
        <v>446</v>
      </c>
      <c r="AO451" s="58">
        <v>223</v>
      </c>
      <c r="AP451" s="45">
        <f t="shared" si="107"/>
        <v>7146.8793042145662</v>
      </c>
      <c r="AQ451" s="45">
        <f t="shared" si="108"/>
        <v>-2811.129899868698</v>
      </c>
      <c r="AR451" s="45">
        <f t="shared" si="109"/>
        <v>-388.12603579022539</v>
      </c>
      <c r="AS451" s="45">
        <f t="shared" si="110"/>
        <v>-1669.4471962618975</v>
      </c>
      <c r="AT451" s="45">
        <f t="shared" si="96"/>
        <v>-33.431012192543676</v>
      </c>
      <c r="AU451" s="45">
        <f t="shared" si="97"/>
        <v>22.967676349821659</v>
      </c>
      <c r="AV451" s="64">
        <f t="shared" si="98"/>
        <v>939.78867820027756</v>
      </c>
      <c r="AW451" s="64">
        <f t="shared" si="99"/>
        <v>753.92454242855035</v>
      </c>
      <c r="AX451" s="64">
        <f t="shared" si="100"/>
        <v>-166.48445535936779</v>
      </c>
      <c r="AY451" s="64">
        <f t="shared" si="101"/>
        <v>78.567188516089431</v>
      </c>
      <c r="AZ451" s="64">
        <f t="shared" si="102"/>
        <v>-806.73523503345348</v>
      </c>
      <c r="BA451" s="64">
        <f t="shared" si="103"/>
        <v>-809.52405459481815</v>
      </c>
      <c r="BB451" s="65">
        <f t="shared" si="104"/>
        <v>16477.928007865376</v>
      </c>
      <c r="BC451" s="65">
        <f t="shared" si="105"/>
        <v>30017.963043299638</v>
      </c>
      <c r="BD451" s="66">
        <f t="shared" si="106"/>
        <v>17207.999045473909</v>
      </c>
    </row>
    <row r="452" spans="31:56" x14ac:dyDescent="0.25">
      <c r="AE452" s="71">
        <v>390</v>
      </c>
      <c r="AF452" s="17">
        <v>5.4663712172462402</v>
      </c>
      <c r="AG452" s="18">
        <v>-13932.372542187892</v>
      </c>
      <c r="AH452" s="20">
        <v>5591.6106078064558</v>
      </c>
      <c r="AN452" s="23">
        <v>447</v>
      </c>
      <c r="AO452" s="58">
        <v>223.5</v>
      </c>
      <c r="AP452" s="45">
        <f t="shared" si="107"/>
        <v>6944.4585332713177</v>
      </c>
      <c r="AQ452" s="45">
        <f t="shared" si="108"/>
        <v>-3640.1115789121914</v>
      </c>
      <c r="AR452" s="45">
        <f t="shared" si="109"/>
        <v>-404.84154188649723</v>
      </c>
      <c r="AS452" s="45">
        <f t="shared" si="110"/>
        <v>-1657.9633580869868</v>
      </c>
      <c r="AT452" s="45">
        <f t="shared" si="96"/>
        <v>-162.83057633237343</v>
      </c>
      <c r="AU452" s="45">
        <f t="shared" si="97"/>
        <v>-3.4517113441092988</v>
      </c>
      <c r="AV452" s="64">
        <f t="shared" si="98"/>
        <v>872.25140816263456</v>
      </c>
      <c r="AW452" s="64">
        <f t="shared" si="99"/>
        <v>744.27997004629822</v>
      </c>
      <c r="AX452" s="64">
        <f t="shared" si="100"/>
        <v>-162.41974693732635</v>
      </c>
      <c r="AY452" s="64">
        <f t="shared" si="101"/>
        <v>82.221859018179316</v>
      </c>
      <c r="AZ452" s="64">
        <f t="shared" si="102"/>
        <v>-872.66223755768158</v>
      </c>
      <c r="BA452" s="64">
        <f t="shared" si="103"/>
        <v>-829.95354040858683</v>
      </c>
      <c r="BB452" s="65">
        <f t="shared" si="104"/>
        <v>17162.437151526166</v>
      </c>
      <c r="BC452" s="65">
        <f t="shared" si="105"/>
        <v>30200.273004334776</v>
      </c>
      <c r="BD452" s="66">
        <f t="shared" si="106"/>
        <v>16483.845261121656</v>
      </c>
    </row>
    <row r="453" spans="31:56" x14ac:dyDescent="0.25">
      <c r="AE453" s="71">
        <v>391</v>
      </c>
      <c r="AF453" s="17">
        <v>5.5292030703180366</v>
      </c>
      <c r="AG453" s="18">
        <v>-13667.540558734885</v>
      </c>
      <c r="AH453" s="20">
        <v>5981.2990376575272</v>
      </c>
      <c r="AN453" s="23">
        <v>448</v>
      </c>
      <c r="AO453" s="58">
        <v>224</v>
      </c>
      <c r="AP453" s="45">
        <f t="shared" si="107"/>
        <v>6701.3301182449759</v>
      </c>
      <c r="AQ453" s="45">
        <f t="shared" si="108"/>
        <v>-4469.9561857917124</v>
      </c>
      <c r="AR453" s="45">
        <f t="shared" si="109"/>
        <v>-486.25683005268394</v>
      </c>
      <c r="AS453" s="45">
        <f t="shared" si="110"/>
        <v>-1659.6892137590414</v>
      </c>
      <c r="AT453" s="45">
        <f t="shared" si="96"/>
        <v>-294.39185101084729</v>
      </c>
      <c r="AU453" s="45">
        <f t="shared" si="97"/>
        <v>-36.382594827583034</v>
      </c>
      <c r="AV453" s="64">
        <f t="shared" si="98"/>
        <v>808.58252839986346</v>
      </c>
      <c r="AW453" s="64">
        <f t="shared" si="99"/>
        <v>727.79439775564629</v>
      </c>
      <c r="AX453" s="64">
        <f t="shared" si="100"/>
        <v>-158.40478059021945</v>
      </c>
      <c r="AY453" s="64">
        <f t="shared" si="101"/>
        <v>85.842548839701053</v>
      </c>
      <c r="AZ453" s="64">
        <f t="shared" si="102"/>
        <v>-944.56959882049125</v>
      </c>
      <c r="BA453" s="64">
        <f t="shared" si="103"/>
        <v>-850.01954142293039</v>
      </c>
      <c r="BB453" s="65">
        <f t="shared" si="104"/>
        <v>17892.302023878074</v>
      </c>
      <c r="BC453" s="65">
        <f t="shared" si="105"/>
        <v>30370.061937741055</v>
      </c>
      <c r="BD453" s="66">
        <f t="shared" si="106"/>
        <v>15741.758137682498</v>
      </c>
    </row>
    <row r="454" spans="31:56" x14ac:dyDescent="0.25">
      <c r="AE454" s="71">
        <v>392</v>
      </c>
      <c r="AF454" s="17">
        <v>5.5920349233898321</v>
      </c>
      <c r="AG454" s="18">
        <v>-13427.699899671024</v>
      </c>
      <c r="AH454" s="20">
        <v>6386.8474442371353</v>
      </c>
      <c r="AN454" s="23">
        <v>449</v>
      </c>
      <c r="AO454" s="58">
        <v>224.5</v>
      </c>
      <c r="AP454" s="45">
        <f t="shared" si="107"/>
        <v>6384.6037404659219</v>
      </c>
      <c r="AQ454" s="45">
        <f t="shared" si="108"/>
        <v>-5308.8964413781296</v>
      </c>
      <c r="AR454" s="45">
        <f t="shared" si="109"/>
        <v>-633.45275555810758</v>
      </c>
      <c r="AS454" s="45">
        <f t="shared" si="110"/>
        <v>-1677.8805111728329</v>
      </c>
      <c r="AT454" s="45">
        <f t="shared" ref="AT454:AT517" si="111">AV454+AX454+AZ454</f>
        <v>-430.73971527957781</v>
      </c>
      <c r="AU454" s="45">
        <f t="shared" ref="AU454:AU517" si="112">AW454+AY454+BA454</f>
        <v>-78.423930957673406</v>
      </c>
      <c r="AV454" s="64">
        <f t="shared" ref="AV454:AV517" si="113">$K$22*(($K$18-AP454)/((BB454^2+$K$23^2)^(3/2)))</f>
        <v>748.18915009673765</v>
      </c>
      <c r="AW454" s="64">
        <f t="shared" ref="AW454:AW517" si="114">$K$22*(($L$18-AQ454)/((BB454^2+$K$23^2)^(3/2)))</f>
        <v>703.87061525595141</v>
      </c>
      <c r="AX454" s="64">
        <f t="shared" ref="AX454:AX517" si="115">$K$30*(($K$26-AP454)/((BC454^2+$K$31^2)^(3/2)))</f>
        <v>-154.57179729376946</v>
      </c>
      <c r="AY454" s="64">
        <f t="shared" ref="AY454:AY517" si="116">$K$30*(($L$26-AQ454)/((BC454^2+$K$31^2)^(3/2)))</f>
        <v>89.685775113567132</v>
      </c>
      <c r="AZ454" s="64">
        <f t="shared" ref="AZ454:AZ517" si="117">$K$38*(($K$34-AP454)/((BD454^2+$K$39^2)^(3/2)))</f>
        <v>-1024.357068082546</v>
      </c>
      <c r="BA454" s="64">
        <f t="shared" ref="BA454:BA517" si="118">$K$38*(($L$34-AQ454)/((BD454^2+$K$39^2)^(3/2)))</f>
        <v>-871.98032132719197</v>
      </c>
      <c r="BB454" s="65">
        <f t="shared" ref="BB454:BB517" si="119">SQRT(($K$18-AP454)^2+($L$18-AQ454)^2)</f>
        <v>18693.497354697538</v>
      </c>
      <c r="BC454" s="65">
        <f t="shared" ref="BC454:BC517" si="120">SQRT(($K$26-AP454)^2+($L$26-AQ454)^2)</f>
        <v>30504.255847246106</v>
      </c>
      <c r="BD454" s="66">
        <f t="shared" ref="BD454:BD517" si="121">SQRT(($K$34-AP454)^2+($L$34-AQ454)^2)</f>
        <v>14950.809025312448</v>
      </c>
    </row>
    <row r="455" spans="31:56" x14ac:dyDescent="0.25">
      <c r="AE455" s="71">
        <v>393</v>
      </c>
      <c r="AF455" s="17">
        <v>5.6548667764616285</v>
      </c>
      <c r="AG455" s="18">
        <v>-13213.797106504851</v>
      </c>
      <c r="AH455" s="20">
        <v>6806.6553132619583</v>
      </c>
      <c r="AN455" s="23">
        <v>450</v>
      </c>
      <c r="AO455" s="58">
        <v>225</v>
      </c>
      <c r="AP455" s="45">
        <f t="shared" ref="AP455:AP518" si="122">AP454+AR454*$K$5+AT454*$K$5^2</f>
        <v>5960.1924338669733</v>
      </c>
      <c r="AQ455" s="45">
        <f t="shared" ref="AQ455:AQ518" si="123">AQ454+AS454*$K$5+AU454*$K$5^2</f>
        <v>-6167.4426797039641</v>
      </c>
      <c r="AR455" s="45">
        <f t="shared" ref="AR455:AR518" si="124">AR454+AT454*$K$5</f>
        <v>-848.82261319789654</v>
      </c>
      <c r="AS455" s="45">
        <f t="shared" ref="AS455:AS518" si="125">AS454+AU454*$K$5</f>
        <v>-1717.0924766516696</v>
      </c>
      <c r="AT455" s="45">
        <f t="shared" si="111"/>
        <v>-575.17890959229828</v>
      </c>
      <c r="AU455" s="45">
        <f t="shared" si="112"/>
        <v>-132.09523158011075</v>
      </c>
      <c r="AV455" s="64">
        <f t="shared" si="113"/>
        <v>690.56712725616671</v>
      </c>
      <c r="AW455" s="64">
        <f t="shared" si="114"/>
        <v>672.2518513023374</v>
      </c>
      <c r="AX455" s="64">
        <f t="shared" si="115"/>
        <v>-150.97243007149027</v>
      </c>
      <c r="AY455" s="64">
        <f t="shared" si="116"/>
        <v>94.022342693122013</v>
      </c>
      <c r="AZ455" s="64">
        <f t="shared" si="117"/>
        <v>-1114.7736067769747</v>
      </c>
      <c r="BA455" s="64">
        <f t="shared" si="118"/>
        <v>-898.36942557557018</v>
      </c>
      <c r="BB455" s="65">
        <f t="shared" si="119"/>
        <v>19593.75374697354</v>
      </c>
      <c r="BC455" s="65">
        <f t="shared" si="120"/>
        <v>30582.965749006707</v>
      </c>
      <c r="BD455" s="66">
        <f t="shared" si="121"/>
        <v>14076.217070069286</v>
      </c>
    </row>
    <row r="456" spans="31:56" x14ac:dyDescent="0.25">
      <c r="AE456" s="71">
        <v>394</v>
      </c>
      <c r="AF456" s="17">
        <v>5.717698629533424</v>
      </c>
      <c r="AG456" s="18">
        <v>-13026.676355838114</v>
      </c>
      <c r="AH456" s="20">
        <v>7239.0658548649162</v>
      </c>
      <c r="AN456" s="23">
        <v>451</v>
      </c>
      <c r="AO456" s="58">
        <v>225.5</v>
      </c>
      <c r="AP456" s="45">
        <f t="shared" si="122"/>
        <v>5391.9863998699502</v>
      </c>
      <c r="AQ456" s="45">
        <f t="shared" si="123"/>
        <v>-7059.0127259248266</v>
      </c>
      <c r="AR456" s="45">
        <f t="shared" si="124"/>
        <v>-1136.4120679940456</v>
      </c>
      <c r="AS456" s="45">
        <f t="shared" si="125"/>
        <v>-1783.1400924417248</v>
      </c>
      <c r="AT456" s="45">
        <f t="shared" si="111"/>
        <v>-731.69215794978425</v>
      </c>
      <c r="AU456" s="45">
        <f t="shared" si="112"/>
        <v>-199.53317222038186</v>
      </c>
      <c r="AV456" s="64">
        <f t="shared" si="113"/>
        <v>635.19289251693135</v>
      </c>
      <c r="AW456" s="64">
        <f t="shared" si="114"/>
        <v>633.06221220171074</v>
      </c>
      <c r="AX456" s="64">
        <f t="shared" si="115"/>
        <v>-147.56790402813331</v>
      </c>
      <c r="AY456" s="64">
        <f t="shared" si="116"/>
        <v>99.140048088828237</v>
      </c>
      <c r="AZ456" s="64">
        <f t="shared" si="117"/>
        <v>-1219.3171464385823</v>
      </c>
      <c r="BA456" s="64">
        <f t="shared" si="118"/>
        <v>-931.73543251092087</v>
      </c>
      <c r="BB456" s="65">
        <f t="shared" si="119"/>
        <v>20624.231207374145</v>
      </c>
      <c r="BC456" s="65">
        <f t="shared" si="120"/>
        <v>30590.24172043179</v>
      </c>
      <c r="BD456" s="66">
        <f t="shared" si="121"/>
        <v>13078.71018954491</v>
      </c>
    </row>
    <row r="457" spans="31:56" x14ac:dyDescent="0.25">
      <c r="AE457" s="71">
        <v>395</v>
      </c>
      <c r="AF457" s="17">
        <v>5.7805304826052195</v>
      </c>
      <c r="AG457" s="18">
        <v>-12867.076127786346</v>
      </c>
      <c r="AH457" s="20">
        <v>7682.3725421878989</v>
      </c>
      <c r="AN457" s="23">
        <v>452</v>
      </c>
      <c r="AO457" s="58">
        <v>226</v>
      </c>
      <c r="AP457" s="45">
        <f t="shared" si="122"/>
        <v>4640.8573263854814</v>
      </c>
      <c r="AQ457" s="45">
        <f t="shared" si="123"/>
        <v>-8000.4660652007842</v>
      </c>
      <c r="AR457" s="45">
        <f t="shared" si="124"/>
        <v>-1502.2581469689378</v>
      </c>
      <c r="AS457" s="45">
        <f t="shared" si="125"/>
        <v>-1882.9066785519158</v>
      </c>
      <c r="AT457" s="45">
        <f t="shared" si="111"/>
        <v>-904.10245995953153</v>
      </c>
      <c r="AU457" s="45">
        <f t="shared" si="112"/>
        <v>-281.69920994852657</v>
      </c>
      <c r="AV457" s="64">
        <f t="shared" si="113"/>
        <v>581.4899610930712</v>
      </c>
      <c r="AW457" s="64">
        <f t="shared" si="114"/>
        <v>586.84039862863835</v>
      </c>
      <c r="AX457" s="64">
        <f t="shared" si="115"/>
        <v>-144.20624450013062</v>
      </c>
      <c r="AY457" s="64">
        <f t="shared" si="116"/>
        <v>105.34453311147912</v>
      </c>
      <c r="AZ457" s="64">
        <f t="shared" si="117"/>
        <v>-1341.3861765524721</v>
      </c>
      <c r="BA457" s="64">
        <f t="shared" si="118"/>
        <v>-973.88414168864404</v>
      </c>
      <c r="BB457" s="65">
        <f t="shared" si="119"/>
        <v>21821.267422101944</v>
      </c>
      <c r="BC457" s="65">
        <f t="shared" si="120"/>
        <v>30515.38347036999</v>
      </c>
      <c r="BD457" s="66">
        <f t="shared" si="121"/>
        <v>11913.840912658117</v>
      </c>
    </row>
    <row r="458" spans="31:56" x14ac:dyDescent="0.25">
      <c r="AE458" s="71">
        <v>396</v>
      </c>
      <c r="AF458" s="17">
        <v>5.8433623356770159</v>
      </c>
      <c r="AG458" s="18">
        <v>-12735.626291535267</v>
      </c>
      <c r="AH458" s="20">
        <v>8134.8258462635913</v>
      </c>
      <c r="AN458" s="23">
        <v>453</v>
      </c>
      <c r="AO458" s="58">
        <v>226.5</v>
      </c>
      <c r="AP458" s="45">
        <f t="shared" si="122"/>
        <v>3663.7026379111298</v>
      </c>
      <c r="AQ458" s="45">
        <f t="shared" si="123"/>
        <v>-9012.344206963875</v>
      </c>
      <c r="AR458" s="45">
        <f t="shared" si="124"/>
        <v>-1954.3093769487036</v>
      </c>
      <c r="AS458" s="45">
        <f t="shared" si="125"/>
        <v>-2023.756283526179</v>
      </c>
      <c r="AT458" s="45">
        <f t="shared" si="111"/>
        <v>-1092.6837076868314</v>
      </c>
      <c r="AU458" s="45">
        <f t="shared" si="112"/>
        <v>-376.01010606461239</v>
      </c>
      <c r="AV458" s="64">
        <f t="shared" si="113"/>
        <v>528.88190374974749</v>
      </c>
      <c r="AW458" s="64">
        <f t="shared" si="114"/>
        <v>534.58135867536009</v>
      </c>
      <c r="AX458" s="64">
        <f t="shared" si="115"/>
        <v>-140.57962196459849</v>
      </c>
      <c r="AY458" s="64">
        <f t="shared" si="116"/>
        <v>112.94716647570829</v>
      </c>
      <c r="AZ458" s="64">
        <f t="shared" si="117"/>
        <v>-1480.9859894719805</v>
      </c>
      <c r="BA458" s="64">
        <f t="shared" si="118"/>
        <v>-1023.5386312156808</v>
      </c>
      <c r="BB458" s="65">
        <f t="shared" si="119"/>
        <v>23227.83077930105</v>
      </c>
      <c r="BC458" s="65">
        <f t="shared" si="120"/>
        <v>30355.231094155009</v>
      </c>
      <c r="BD458" s="66">
        <f t="shared" si="121"/>
        <v>10531.465486532601</v>
      </c>
    </row>
    <row r="459" spans="31:56" x14ac:dyDescent="0.25">
      <c r="AE459" s="71">
        <v>397</v>
      </c>
      <c r="AF459" s="17">
        <v>5.9061941887488114</v>
      </c>
      <c r="AG459" s="18">
        <v>-12632.845619534834</v>
      </c>
      <c r="AH459" s="20">
        <v>8594.6401406070654</v>
      </c>
      <c r="AN459" s="23">
        <v>454</v>
      </c>
      <c r="AO459" s="58">
        <v>227</v>
      </c>
      <c r="AP459" s="45">
        <f t="shared" si="122"/>
        <v>2413.3770225150702</v>
      </c>
      <c r="AQ459" s="45">
        <f t="shared" si="123"/>
        <v>-10118.224875243117</v>
      </c>
      <c r="AR459" s="45">
        <f t="shared" si="124"/>
        <v>-2500.6512307921193</v>
      </c>
      <c r="AS459" s="45">
        <f t="shared" si="125"/>
        <v>-2211.7613365584853</v>
      </c>
      <c r="AT459" s="45">
        <f t="shared" si="111"/>
        <v>-1282.8995951478528</v>
      </c>
      <c r="AU459" s="45">
        <f t="shared" si="112"/>
        <v>-469.19716108262776</v>
      </c>
      <c r="AV459" s="64">
        <f t="shared" si="113"/>
        <v>476.93789134769389</v>
      </c>
      <c r="AW459" s="64">
        <f t="shared" si="114"/>
        <v>477.79491446683801</v>
      </c>
      <c r="AX459" s="64">
        <f t="shared" si="115"/>
        <v>-136.15807351824108</v>
      </c>
      <c r="AY459" s="64">
        <f t="shared" si="116"/>
        <v>122.21535107664373</v>
      </c>
      <c r="AZ459" s="64">
        <f t="shared" si="117"/>
        <v>-1623.6794129773054</v>
      </c>
      <c r="BA459" s="64">
        <f t="shared" si="118"/>
        <v>-1069.2074266261095</v>
      </c>
      <c r="BB459" s="65">
        <f t="shared" si="119"/>
        <v>24893.596676792935</v>
      </c>
      <c r="BC459" s="65">
        <f t="shared" si="120"/>
        <v>30118.141404878515</v>
      </c>
      <c r="BD459" s="66">
        <f t="shared" si="121"/>
        <v>8876.3667818905215</v>
      </c>
    </row>
    <row r="460" spans="31:56" x14ac:dyDescent="0.25">
      <c r="AE460" s="71">
        <v>398</v>
      </c>
      <c r="AF460" s="17">
        <v>5.9690260418206078</v>
      </c>
      <c r="AG460" s="18">
        <v>-12559.139740141416</v>
      </c>
      <c r="AH460" s="20">
        <v>9060.0007482677211</v>
      </c>
      <c r="AN460" s="23">
        <v>455</v>
      </c>
      <c r="AO460" s="58">
        <v>227.5</v>
      </c>
      <c r="AP460" s="45">
        <f t="shared" si="122"/>
        <v>842.3265083320473</v>
      </c>
      <c r="AQ460" s="45">
        <f t="shared" si="123"/>
        <v>-11341.404833793016</v>
      </c>
      <c r="AR460" s="45">
        <f t="shared" si="124"/>
        <v>-3142.1010283660457</v>
      </c>
      <c r="AS460" s="45">
        <f t="shared" si="125"/>
        <v>-2446.3599170997991</v>
      </c>
      <c r="AT460" s="45">
        <f t="shared" si="111"/>
        <v>-1411.8248676005874</v>
      </c>
      <c r="AU460" s="45">
        <f t="shared" si="112"/>
        <v>-517.33817041219686</v>
      </c>
      <c r="AV460" s="64">
        <f t="shared" si="113"/>
        <v>425.61976132370165</v>
      </c>
      <c r="AW460" s="64">
        <f t="shared" si="114"/>
        <v>418.59332407194228</v>
      </c>
      <c r="AX460" s="64">
        <f t="shared" si="115"/>
        <v>-130.11847876455508</v>
      </c>
      <c r="AY460" s="64">
        <f t="shared" si="116"/>
        <v>133.23422078440021</v>
      </c>
      <c r="AZ460" s="64">
        <f t="shared" si="117"/>
        <v>-1707.326150159734</v>
      </c>
      <c r="BA460" s="64">
        <f t="shared" si="118"/>
        <v>-1069.1657152685393</v>
      </c>
      <c r="BB460" s="65">
        <f t="shared" si="119"/>
        <v>26870.336613526742</v>
      </c>
      <c r="BC460" s="65">
        <f t="shared" si="120"/>
        <v>29830.490015414842</v>
      </c>
      <c r="BD460" s="66">
        <f t="shared" si="121"/>
        <v>6893.3371903710358</v>
      </c>
    </row>
    <row r="461" spans="31:56" x14ac:dyDescent="0.25">
      <c r="AE461" s="71">
        <v>399</v>
      </c>
      <c r="AF461" s="17">
        <v>6.0318578948924033</v>
      </c>
      <c r="AG461" s="18">
        <v>-12514.799536787963</v>
      </c>
      <c r="AH461" s="20">
        <v>9529.0711035301501</v>
      </c>
      <c r="AN461" s="23">
        <v>456</v>
      </c>
      <c r="AO461" s="58">
        <v>228</v>
      </c>
      <c r="AP461" s="45">
        <f t="shared" si="122"/>
        <v>-1081.6802227511225</v>
      </c>
      <c r="AQ461" s="45">
        <f t="shared" si="123"/>
        <v>-12693.919334945966</v>
      </c>
      <c r="AR461" s="45">
        <f t="shared" si="124"/>
        <v>-3848.0134621663392</v>
      </c>
      <c r="AS461" s="45">
        <f t="shared" si="125"/>
        <v>-2705.0290023058974</v>
      </c>
      <c r="AT461" s="45">
        <f t="shared" si="111"/>
        <v>-1293.4433090187672</v>
      </c>
      <c r="AU461" s="45">
        <f t="shared" si="112"/>
        <v>-405.45550374519939</v>
      </c>
      <c r="AV461" s="64">
        <f t="shared" si="113"/>
        <v>375.65566835195881</v>
      </c>
      <c r="AW461" s="64">
        <f t="shared" si="114"/>
        <v>359.83660620314237</v>
      </c>
      <c r="AX461" s="64">
        <f t="shared" si="115"/>
        <v>-121.3773669719331</v>
      </c>
      <c r="AY461" s="64">
        <f t="shared" si="116"/>
        <v>145.601100287023</v>
      </c>
      <c r="AZ461" s="64">
        <f t="shared" si="117"/>
        <v>-1547.721610398793</v>
      </c>
      <c r="BA461" s="64">
        <f t="shared" si="118"/>
        <v>-910.89321023536479</v>
      </c>
      <c r="BB461" s="65">
        <f t="shared" si="119"/>
        <v>29193.00633920118</v>
      </c>
      <c r="BC461" s="65">
        <f t="shared" si="120"/>
        <v>29545.165390893999</v>
      </c>
      <c r="BD461" s="66">
        <f t="shared" si="121"/>
        <v>4546.5633076551067</v>
      </c>
    </row>
    <row r="462" spans="31:56" x14ac:dyDescent="0.25">
      <c r="AE462" s="71">
        <v>400</v>
      </c>
      <c r="AF462" s="17">
        <v>6.0946897479641988</v>
      </c>
      <c r="AG462" s="18">
        <v>-12500</v>
      </c>
      <c r="AH462" s="20">
        <v>10000.000000000005</v>
      </c>
      <c r="AN462" s="23">
        <v>457</v>
      </c>
      <c r="AO462" s="58">
        <v>228.5</v>
      </c>
      <c r="AP462" s="45">
        <f t="shared" si="122"/>
        <v>-3329.0477810889838</v>
      </c>
      <c r="AQ462" s="45">
        <f t="shared" si="123"/>
        <v>-14147.797712035215</v>
      </c>
      <c r="AR462" s="45">
        <f t="shared" si="124"/>
        <v>-4494.7351166757226</v>
      </c>
      <c r="AS462" s="45">
        <f t="shared" si="125"/>
        <v>-2907.756754178497</v>
      </c>
      <c r="AT462" s="45">
        <f t="shared" si="111"/>
        <v>-610.72122473244212</v>
      </c>
      <c r="AU462" s="45">
        <f t="shared" si="112"/>
        <v>39.627223327352397</v>
      </c>
      <c r="AV462" s="64">
        <f t="shared" si="113"/>
        <v>329.02434720562553</v>
      </c>
      <c r="AW462" s="64">
        <f t="shared" si="114"/>
        <v>305.31261187675187</v>
      </c>
      <c r="AX462" s="64">
        <f t="shared" si="115"/>
        <v>-109.05980827577235</v>
      </c>
      <c r="AY462" s="64">
        <f t="shared" si="116"/>
        <v>157.9726313275178</v>
      </c>
      <c r="AZ462" s="64">
        <f t="shared" si="117"/>
        <v>-830.68576366229524</v>
      </c>
      <c r="BA462" s="64">
        <f t="shared" si="118"/>
        <v>-423.65801987691731</v>
      </c>
      <c r="BB462" s="65">
        <f t="shared" si="119"/>
        <v>31825.644002180536</v>
      </c>
      <c r="BC462" s="65">
        <f t="shared" si="120"/>
        <v>29343.428263012953</v>
      </c>
      <c r="BD462" s="66">
        <f t="shared" si="121"/>
        <v>1875.7212099606013</v>
      </c>
    </row>
    <row r="463" spans="31:56" x14ac:dyDescent="0.25">
      <c r="AE463" s="71">
        <v>401</v>
      </c>
      <c r="AF463" s="17">
        <v>6.1575216010359952</v>
      </c>
      <c r="AG463" s="18" cm="1">
        <f t="array" ref="AG463:AG562">COS(AF63:AF162)*$AL$36+$K$26</f>
        <v>-12514.799536787963</v>
      </c>
      <c r="AH463" s="20" cm="1">
        <f t="array" ref="AH463:AH562">SIN(AF63:AF162)*$AL$36+$L$26</f>
        <v>10470.92889646985</v>
      </c>
      <c r="AN463" s="23">
        <v>458</v>
      </c>
      <c r="AO463" s="58">
        <v>229</v>
      </c>
      <c r="AP463" s="45">
        <f t="shared" si="122"/>
        <v>-5729.0956456099557</v>
      </c>
      <c r="AQ463" s="45">
        <f t="shared" si="123"/>
        <v>-15591.769283292624</v>
      </c>
      <c r="AR463" s="45">
        <f t="shared" si="124"/>
        <v>-4800.0957290419437</v>
      </c>
      <c r="AS463" s="45">
        <f t="shared" si="125"/>
        <v>-2887.9431425148209</v>
      </c>
      <c r="AT463" s="45">
        <f t="shared" si="111"/>
        <v>572.03174776164803</v>
      </c>
      <c r="AU463" s="45">
        <f t="shared" si="112"/>
        <v>733.27408181179771</v>
      </c>
      <c r="AV463" s="64">
        <f t="shared" si="113"/>
        <v>289.00792808223736</v>
      </c>
      <c r="AW463" s="64">
        <f t="shared" si="114"/>
        <v>259.38355891868122</v>
      </c>
      <c r="AX463" s="64">
        <f t="shared" si="115"/>
        <v>-93.735564133943441</v>
      </c>
      <c r="AY463" s="64">
        <f t="shared" si="116"/>
        <v>168.0943878106238</v>
      </c>
      <c r="AZ463" s="64">
        <f t="shared" si="117"/>
        <v>376.75938381335413</v>
      </c>
      <c r="BA463" s="64">
        <f t="shared" si="118"/>
        <v>305.7961350824927</v>
      </c>
      <c r="BB463" s="65">
        <f t="shared" si="119"/>
        <v>34571.89857924731</v>
      </c>
      <c r="BC463" s="65">
        <f t="shared" si="120"/>
        <v>29301.83212943226</v>
      </c>
      <c r="BD463" s="66">
        <f t="shared" si="121"/>
        <v>939.02680744271845</v>
      </c>
    </row>
    <row r="464" spans="31:56" x14ac:dyDescent="0.25">
      <c r="AE464" s="71">
        <v>402</v>
      </c>
      <c r="AF464" s="17">
        <v>6.2203534541077907</v>
      </c>
      <c r="AG464" s="18">
        <v>-12559.139740141416</v>
      </c>
      <c r="AH464" s="20">
        <v>10939.999251732283</v>
      </c>
      <c r="AN464" s="23">
        <v>459</v>
      </c>
      <c r="AO464" s="58">
        <v>229.5</v>
      </c>
      <c r="AP464" s="45">
        <f t="shared" si="122"/>
        <v>-7986.1355731905151</v>
      </c>
      <c r="AQ464" s="45">
        <f t="shared" si="123"/>
        <v>-16852.422334097082</v>
      </c>
      <c r="AR464" s="45">
        <f t="shared" si="124"/>
        <v>-4514.0798551611197</v>
      </c>
      <c r="AS464" s="45">
        <f t="shared" si="125"/>
        <v>-2521.3061016089223</v>
      </c>
      <c r="AT464" s="45">
        <f t="shared" si="111"/>
        <v>1493.2864379668329</v>
      </c>
      <c r="AU464" s="45">
        <f t="shared" si="112"/>
        <v>1213.7074273534167</v>
      </c>
      <c r="AV464" s="64">
        <f t="shared" si="113"/>
        <v>258.34222658713861</v>
      </c>
      <c r="AW464" s="64">
        <f t="shared" si="114"/>
        <v>224.79913284661401</v>
      </c>
      <c r="AX464" s="64">
        <f t="shared" si="115"/>
        <v>-78.0335664523882</v>
      </c>
      <c r="AY464" s="64">
        <f t="shared" si="116"/>
        <v>174.41434397573181</v>
      </c>
      <c r="AZ464" s="64">
        <f t="shared" si="117"/>
        <v>1312.9777778320824</v>
      </c>
      <c r="BA464" s="64">
        <f t="shared" si="118"/>
        <v>814.49395053107082</v>
      </c>
      <c r="BB464" s="65">
        <f t="shared" si="119"/>
        <v>37098.035768207861</v>
      </c>
      <c r="BC464" s="65">
        <f t="shared" si="120"/>
        <v>29417.435708682602</v>
      </c>
      <c r="BD464" s="66">
        <f t="shared" si="121"/>
        <v>3514.0395793638309</v>
      </c>
    </row>
    <row r="465" spans="31:56" x14ac:dyDescent="0.25">
      <c r="AE465" s="71">
        <v>403</v>
      </c>
      <c r="AF465" s="17">
        <v>6.2831853071795871</v>
      </c>
      <c r="AG465" s="18">
        <v>-12632.845619534834</v>
      </c>
      <c r="AH465" s="20">
        <v>11405.359859392935</v>
      </c>
      <c r="AN465" s="23">
        <v>460</v>
      </c>
      <c r="AO465" s="58">
        <v>230</v>
      </c>
      <c r="AP465" s="45">
        <f t="shared" si="122"/>
        <v>-9869.8538912793665</v>
      </c>
      <c r="AQ465" s="45">
        <f t="shared" si="123"/>
        <v>-17809.648528063186</v>
      </c>
      <c r="AR465" s="45">
        <f t="shared" si="124"/>
        <v>-3767.4366361777033</v>
      </c>
      <c r="AS465" s="45">
        <f t="shared" si="125"/>
        <v>-1914.4523879322139</v>
      </c>
      <c r="AT465" s="45">
        <f t="shared" si="111"/>
        <v>1861.1987239587024</v>
      </c>
      <c r="AU465" s="45">
        <f t="shared" si="112"/>
        <v>1352.7508914691512</v>
      </c>
      <c r="AV465" s="64">
        <f t="shared" si="113"/>
        <v>237.04872682310037</v>
      </c>
      <c r="AW465" s="64">
        <f t="shared" si="114"/>
        <v>200.8586979285208</v>
      </c>
      <c r="AX465" s="64">
        <f t="shared" si="115"/>
        <v>-64.669332729810179</v>
      </c>
      <c r="AY465" s="64">
        <f t="shared" si="116"/>
        <v>177.53262336583643</v>
      </c>
      <c r="AZ465" s="64">
        <f t="shared" si="117"/>
        <v>1688.8193298654123</v>
      </c>
      <c r="BA465" s="64">
        <f t="shared" si="118"/>
        <v>974.35957017479404</v>
      </c>
      <c r="BB465" s="65">
        <f t="shared" si="119"/>
        <v>39150.81710642152</v>
      </c>
      <c r="BC465" s="65">
        <f t="shared" si="120"/>
        <v>29597.236550705788</v>
      </c>
      <c r="BD465" s="66">
        <f t="shared" si="121"/>
        <v>5622.2417035962098</v>
      </c>
    </row>
    <row r="466" spans="31:56" x14ac:dyDescent="0.25">
      <c r="AE466" s="71">
        <v>404</v>
      </c>
      <c r="AF466" s="17" cm="1">
        <f t="array" ref="AF466:AF566">$AL$35*AE62:AE162</f>
        <v>0</v>
      </c>
      <c r="AG466" s="18">
        <v>-12735.626291535267</v>
      </c>
      <c r="AH466" s="20">
        <v>11865.174153736411</v>
      </c>
      <c r="AN466" s="23">
        <v>461</v>
      </c>
      <c r="AO466" s="58">
        <v>230.5</v>
      </c>
      <c r="AP466" s="45">
        <f t="shared" si="122"/>
        <v>-11288.272528378542</v>
      </c>
      <c r="AQ466" s="45">
        <f t="shared" si="123"/>
        <v>-18428.686999162004</v>
      </c>
      <c r="AR466" s="45">
        <f t="shared" si="124"/>
        <v>-2836.8372741983521</v>
      </c>
      <c r="AS466" s="45">
        <f t="shared" si="125"/>
        <v>-1238.0769421976383</v>
      </c>
      <c r="AT466" s="45">
        <f t="shared" si="111"/>
        <v>1937.8566862767038</v>
      </c>
      <c r="AU466" s="45">
        <f t="shared" si="112"/>
        <v>1329.0417333744072</v>
      </c>
      <c r="AV466" s="64">
        <f t="shared" si="113"/>
        <v>223.54087232993771</v>
      </c>
      <c r="AW466" s="64">
        <f t="shared" si="114"/>
        <v>185.24900359729011</v>
      </c>
      <c r="AX466" s="64">
        <f t="shared" si="115"/>
        <v>-54.892827598468081</v>
      </c>
      <c r="AY466" s="64">
        <f t="shared" si="116"/>
        <v>179.12991646940941</v>
      </c>
      <c r="AZ466" s="64">
        <f t="shared" si="117"/>
        <v>1769.2086415452343</v>
      </c>
      <c r="BA466" s="64">
        <f t="shared" si="118"/>
        <v>964.66281330770755</v>
      </c>
      <c r="BB466" s="65">
        <f t="shared" si="119"/>
        <v>40635.610089065965</v>
      </c>
      <c r="BC466" s="65">
        <f t="shared" si="120"/>
        <v>29733.557473604244</v>
      </c>
      <c r="BD466" s="66">
        <f t="shared" si="121"/>
        <v>7162.2807770557847</v>
      </c>
    </row>
    <row r="467" spans="31:56" x14ac:dyDescent="0.25">
      <c r="AE467" s="71">
        <v>405</v>
      </c>
      <c r="AF467" s="17">
        <v>6.2831853071795868E-2</v>
      </c>
      <c r="AG467" s="18">
        <v>-12867.076127786349</v>
      </c>
      <c r="AH467" s="20">
        <v>12317.627457812105</v>
      </c>
      <c r="AN467" s="23">
        <v>462</v>
      </c>
      <c r="AO467" s="58">
        <v>231</v>
      </c>
      <c r="AP467" s="45">
        <f t="shared" si="122"/>
        <v>-12222.226993908542</v>
      </c>
      <c r="AQ467" s="45">
        <f t="shared" si="123"/>
        <v>-18715.46503691722</v>
      </c>
      <c r="AR467" s="45">
        <f t="shared" si="124"/>
        <v>-1867.9089310600002</v>
      </c>
      <c r="AS467" s="45">
        <f t="shared" si="125"/>
        <v>-573.55607551043477</v>
      </c>
      <c r="AT467" s="45">
        <f t="shared" si="111"/>
        <v>1936.036826806911</v>
      </c>
      <c r="AU467" s="45">
        <f t="shared" si="112"/>
        <v>1266.5191401008556</v>
      </c>
      <c r="AV467" s="64">
        <f t="shared" si="113"/>
        <v>216.30839902279433</v>
      </c>
      <c r="AW467" s="64">
        <f t="shared" si="114"/>
        <v>175.98489616641359</v>
      </c>
      <c r="AX467" s="64">
        <f t="shared" si="115"/>
        <v>-48.930279371324772</v>
      </c>
      <c r="AY467" s="64">
        <f t="shared" si="116"/>
        <v>180.65013281223889</v>
      </c>
      <c r="AZ467" s="64">
        <f t="shared" si="117"/>
        <v>1768.6587071554413</v>
      </c>
      <c r="BA467" s="64">
        <f t="shared" si="118"/>
        <v>909.88411112220297</v>
      </c>
      <c r="BB467" s="65">
        <f t="shared" si="119"/>
        <v>41539.409234470317</v>
      </c>
      <c r="BC467" s="65">
        <f t="shared" si="120"/>
        <v>29750.154373056623</v>
      </c>
      <c r="BD467" s="66">
        <f t="shared" si="121"/>
        <v>8121.8989892817235</v>
      </c>
    </row>
    <row r="468" spans="31:56" x14ac:dyDescent="0.25">
      <c r="AE468" s="71">
        <v>406</v>
      </c>
      <c r="AF468" s="17">
        <v>0.12566370614359174</v>
      </c>
      <c r="AG468" s="18">
        <v>-13026.676355838115</v>
      </c>
      <c r="AH468" s="20">
        <v>12760.934145135085</v>
      </c>
      <c r="AN468" s="23">
        <v>463</v>
      </c>
      <c r="AO468" s="58">
        <v>231.5</v>
      </c>
      <c r="AP468" s="45">
        <f t="shared" si="122"/>
        <v>-12672.172252736813</v>
      </c>
      <c r="AQ468" s="45">
        <f t="shared" si="123"/>
        <v>-18685.613289647226</v>
      </c>
      <c r="AR468" s="45">
        <f t="shared" si="124"/>
        <v>-899.89051765654472</v>
      </c>
      <c r="AS468" s="45">
        <f t="shared" si="125"/>
        <v>59.703494539993017</v>
      </c>
      <c r="AT468" s="45">
        <f t="shared" si="111"/>
        <v>1941.6379866060181</v>
      </c>
      <c r="AU468" s="45">
        <f t="shared" si="112"/>
        <v>1206.9992025846275</v>
      </c>
      <c r="AV468" s="64">
        <f t="shared" si="113"/>
        <v>214.44120866206413</v>
      </c>
      <c r="AW468" s="64">
        <f t="shared" si="114"/>
        <v>171.86719389063555</v>
      </c>
      <c r="AX468" s="64">
        <f t="shared" si="115"/>
        <v>-46.736920582730136</v>
      </c>
      <c r="AY468" s="64">
        <f t="shared" si="116"/>
        <v>182.9569793975943</v>
      </c>
      <c r="AZ468" s="64">
        <f t="shared" si="117"/>
        <v>1773.9336985266841</v>
      </c>
      <c r="BA468" s="64">
        <f t="shared" si="118"/>
        <v>852.17502929639761</v>
      </c>
      <c r="BB468" s="65">
        <f t="shared" si="119"/>
        <v>41870.719877588141</v>
      </c>
      <c r="BC468" s="65">
        <f t="shared" si="120"/>
        <v>29606.780799282213</v>
      </c>
      <c r="BD468" s="66">
        <f t="shared" si="121"/>
        <v>8511.5199815596334</v>
      </c>
    </row>
    <row r="469" spans="31:56" x14ac:dyDescent="0.25">
      <c r="AE469" s="71">
        <v>407</v>
      </c>
      <c r="AF469" s="17">
        <v>0.1884955592153876</v>
      </c>
      <c r="AG469" s="18">
        <v>-13213.797106504855</v>
      </c>
      <c r="AH469" s="20">
        <v>13193.344686738044</v>
      </c>
      <c r="AN469" s="23">
        <v>464</v>
      </c>
      <c r="AO469" s="58">
        <v>232</v>
      </c>
      <c r="AP469" s="45">
        <f t="shared" si="122"/>
        <v>-12636.708014913582</v>
      </c>
      <c r="AQ469" s="45">
        <f t="shared" si="123"/>
        <v>-18354.011741731072</v>
      </c>
      <c r="AR469" s="45">
        <f t="shared" si="124"/>
        <v>70.928475646464335</v>
      </c>
      <c r="AS469" s="45">
        <f t="shared" si="125"/>
        <v>663.20309583230676</v>
      </c>
      <c r="AT469" s="45">
        <f t="shared" si="111"/>
        <v>1980.1145413766246</v>
      </c>
      <c r="AU469" s="45">
        <f t="shared" si="112"/>
        <v>1154.1099004373334</v>
      </c>
      <c r="AV469" s="64">
        <f t="shared" si="113"/>
        <v>217.64742205913493</v>
      </c>
      <c r="AW469" s="64">
        <f t="shared" si="114"/>
        <v>172.41503042840739</v>
      </c>
      <c r="AX469" s="64">
        <f t="shared" si="115"/>
        <v>-48.398638529589078</v>
      </c>
      <c r="AY469" s="64">
        <f t="shared" si="116"/>
        <v>186.36984217537596</v>
      </c>
      <c r="AZ469" s="64">
        <f t="shared" si="117"/>
        <v>1810.8657578470788</v>
      </c>
      <c r="BA469" s="64">
        <f t="shared" si="118"/>
        <v>795.32502783355005</v>
      </c>
      <c r="BB469" s="65">
        <f t="shared" si="119"/>
        <v>41636.337893627155</v>
      </c>
      <c r="BC469" s="65">
        <f t="shared" si="120"/>
        <v>29294.505469590393</v>
      </c>
      <c r="BD469" s="66">
        <f t="shared" si="121"/>
        <v>8340.7855786319815</v>
      </c>
    </row>
    <row r="470" spans="31:56" x14ac:dyDescent="0.25">
      <c r="AE470" s="71">
        <v>408</v>
      </c>
      <c r="AF470" s="17">
        <v>0.25132741228718347</v>
      </c>
      <c r="AG470" s="18">
        <v>-13427.699899671024</v>
      </c>
      <c r="AH470" s="20">
        <v>13613.152555762865</v>
      </c>
      <c r="AN470" s="23">
        <v>465</v>
      </c>
      <c r="AO470" s="58">
        <v>232.5</v>
      </c>
      <c r="AP470" s="45">
        <f t="shared" si="122"/>
        <v>-12106.215141746192</v>
      </c>
      <c r="AQ470" s="45">
        <f t="shared" si="123"/>
        <v>-17733.882718705583</v>
      </c>
      <c r="AR470" s="45">
        <f t="shared" si="124"/>
        <v>1060.9857463347766</v>
      </c>
      <c r="AS470" s="45">
        <f t="shared" si="125"/>
        <v>1240.2580460509735</v>
      </c>
      <c r="AT470" s="45">
        <f t="shared" si="111"/>
        <v>2045.9363964196116</v>
      </c>
      <c r="AU470" s="45">
        <f t="shared" si="112"/>
        <v>1089.3930104632391</v>
      </c>
      <c r="AV470" s="64">
        <f t="shared" si="113"/>
        <v>226.21805549163497</v>
      </c>
      <c r="AW470" s="64">
        <f t="shared" si="114"/>
        <v>177.79610134447887</v>
      </c>
      <c r="AX470" s="64">
        <f t="shared" si="115"/>
        <v>-54.26236498503031</v>
      </c>
      <c r="AY470" s="64">
        <f t="shared" si="116"/>
        <v>190.64442387999523</v>
      </c>
      <c r="AZ470" s="64">
        <f t="shared" si="117"/>
        <v>1873.9807059130069</v>
      </c>
      <c r="BA470" s="64">
        <f t="shared" si="118"/>
        <v>720.95248523876489</v>
      </c>
      <c r="BB470" s="65">
        <f t="shared" si="119"/>
        <v>40835.742772594218</v>
      </c>
      <c r="BC470" s="65">
        <f t="shared" si="120"/>
        <v>28835.396477997547</v>
      </c>
      <c r="BD470" s="66">
        <f t="shared" si="121"/>
        <v>7613.961410489278</v>
      </c>
    </row>
    <row r="471" spans="31:56" x14ac:dyDescent="0.25">
      <c r="AE471" s="71">
        <v>409</v>
      </c>
      <c r="AF471" s="17">
        <v>0.31415926535897931</v>
      </c>
      <c r="AG471" s="18">
        <v>-13667.540558734887</v>
      </c>
      <c r="AH471" s="20">
        <v>14018.700962342475</v>
      </c>
      <c r="AN471" s="23">
        <v>466</v>
      </c>
      <c r="AO471" s="58">
        <v>233</v>
      </c>
      <c r="AP471" s="45">
        <f t="shared" si="122"/>
        <v>-11064.238169473902</v>
      </c>
      <c r="AQ471" s="45">
        <f t="shared" si="123"/>
        <v>-16841.405443064286</v>
      </c>
      <c r="AR471" s="45">
        <f t="shared" si="124"/>
        <v>2083.9539445445826</v>
      </c>
      <c r="AS471" s="45">
        <f t="shared" si="125"/>
        <v>1784.954551282593</v>
      </c>
      <c r="AT471" s="45">
        <f t="shared" si="111"/>
        <v>2089.6262811493607</v>
      </c>
      <c r="AU471" s="45">
        <f t="shared" si="112"/>
        <v>964.64392015788962</v>
      </c>
      <c r="AV471" s="64">
        <f t="shared" si="113"/>
        <v>241.03637974953827</v>
      </c>
      <c r="AW471" s="64">
        <f t="shared" si="114"/>
        <v>188.8719824385536</v>
      </c>
      <c r="AX471" s="64">
        <f t="shared" si="115"/>
        <v>-64.837434975570346</v>
      </c>
      <c r="AY471" s="64">
        <f t="shared" si="116"/>
        <v>194.75987756548543</v>
      </c>
      <c r="AZ471" s="64">
        <f t="shared" si="117"/>
        <v>1913.4273363753928</v>
      </c>
      <c r="BA471" s="64">
        <f t="shared" si="118"/>
        <v>581.0120601538506</v>
      </c>
      <c r="BB471" s="65">
        <f t="shared" si="119"/>
        <v>39465.059381602841</v>
      </c>
      <c r="BC471" s="65">
        <f t="shared" si="120"/>
        <v>28289.731098949105</v>
      </c>
      <c r="BD471" s="66">
        <f t="shared" si="121"/>
        <v>6337.6461388950202</v>
      </c>
    </row>
    <row r="472" spans="31:56" x14ac:dyDescent="0.25">
      <c r="AE472" s="71">
        <v>410</v>
      </c>
      <c r="AF472" s="17">
        <v>0.37699111843077521</v>
      </c>
      <c r="AG472" s="18">
        <v>-13932.372542187895</v>
      </c>
      <c r="AH472" s="20">
        <v>14408.389392193549</v>
      </c>
      <c r="AN472" s="23">
        <v>467</v>
      </c>
      <c r="AO472" s="58">
        <v>233.5</v>
      </c>
      <c r="AP472" s="45">
        <f t="shared" si="122"/>
        <v>-9499.8546269142698</v>
      </c>
      <c r="AQ472" s="45">
        <f t="shared" si="123"/>
        <v>-15707.767187383517</v>
      </c>
      <c r="AR472" s="45">
        <f t="shared" si="124"/>
        <v>3128.7670851192629</v>
      </c>
      <c r="AS472" s="45">
        <f t="shared" si="125"/>
        <v>2267.2765113615378</v>
      </c>
      <c r="AT472" s="45">
        <f t="shared" si="111"/>
        <v>1958.9503753782164</v>
      </c>
      <c r="AU472" s="45">
        <f t="shared" si="112"/>
        <v>683.19793841454407</v>
      </c>
      <c r="AV472" s="64">
        <f t="shared" si="113"/>
        <v>263.5438601236807</v>
      </c>
      <c r="AW472" s="64">
        <f t="shared" si="114"/>
        <v>207.33202338680542</v>
      </c>
      <c r="AX472" s="64">
        <f t="shared" si="115"/>
        <v>-80.288658104756237</v>
      </c>
      <c r="AY472" s="64">
        <f t="shared" si="116"/>
        <v>196.57271942492503</v>
      </c>
      <c r="AZ472" s="64">
        <f t="shared" si="117"/>
        <v>1775.6951733592921</v>
      </c>
      <c r="BA472" s="64">
        <f t="shared" si="118"/>
        <v>279.29319560281357</v>
      </c>
      <c r="BB472" s="65">
        <f t="shared" si="119"/>
        <v>37534.542501979027</v>
      </c>
      <c r="BC472" s="65">
        <f t="shared" si="120"/>
        <v>27769.449879618543</v>
      </c>
      <c r="BD472" s="66">
        <f t="shared" si="121"/>
        <v>4555.1757435798827</v>
      </c>
    </row>
    <row r="473" spans="31:56" x14ac:dyDescent="0.25">
      <c r="AE473" s="71">
        <v>411</v>
      </c>
      <c r="AF473" s="17">
        <v>0.4398229715025711</v>
      </c>
      <c r="AG473" s="18">
        <v>-14221.150679181581</v>
      </c>
      <c r="AH473" s="20">
        <v>14780.679923115173</v>
      </c>
      <c r="AN473" s="23">
        <v>468</v>
      </c>
      <c r="AO473" s="58">
        <v>234</v>
      </c>
      <c r="AP473" s="45">
        <f t="shared" si="122"/>
        <v>-7445.7334905100843</v>
      </c>
      <c r="AQ473" s="45">
        <f t="shared" si="123"/>
        <v>-14403.329447099111</v>
      </c>
      <c r="AR473" s="45">
        <f t="shared" si="124"/>
        <v>4108.2422728083711</v>
      </c>
      <c r="AS473" s="45">
        <f t="shared" si="125"/>
        <v>2608.87548056881</v>
      </c>
      <c r="AT473" s="45">
        <f t="shared" si="111"/>
        <v>1363.8452753339932</v>
      </c>
      <c r="AU473" s="45">
        <f t="shared" si="112"/>
        <v>143.65281077813574</v>
      </c>
      <c r="AV473" s="64">
        <f t="shared" si="113"/>
        <v>295.26804520217115</v>
      </c>
      <c r="AW473" s="64">
        <f t="shared" si="114"/>
        <v>235.64148035979161</v>
      </c>
      <c r="AX473" s="64">
        <f t="shared" si="115"/>
        <v>-99.24651030160426</v>
      </c>
      <c r="AY473" s="64">
        <f t="shared" si="116"/>
        <v>192.91810362112258</v>
      </c>
      <c r="AZ473" s="64">
        <f t="shared" si="117"/>
        <v>1167.8237404334263</v>
      </c>
      <c r="BA473" s="64">
        <f t="shared" si="118"/>
        <v>-284.90677320277848</v>
      </c>
      <c r="BB473" s="65">
        <f t="shared" si="119"/>
        <v>35114.44329190292</v>
      </c>
      <c r="BC473" s="65">
        <f t="shared" si="120"/>
        <v>27443.252279840206</v>
      </c>
      <c r="BD473" s="66">
        <f t="shared" si="121"/>
        <v>2517.4646085499776</v>
      </c>
    </row>
    <row r="474" spans="31:56" x14ac:dyDescent="0.25">
      <c r="AE474" s="71">
        <v>412</v>
      </c>
      <c r="AF474" s="17">
        <v>0.50265482457436694</v>
      </c>
      <c r="AG474" s="18">
        <v>-14532.735294339414</v>
      </c>
      <c r="AH474" s="20">
        <v>15134.103294465165</v>
      </c>
      <c r="AN474" s="23">
        <v>469</v>
      </c>
      <c r="AO474" s="58">
        <v>234.5</v>
      </c>
      <c r="AP474" s="45">
        <f t="shared" si="122"/>
        <v>-5050.6510352724008</v>
      </c>
      <c r="AQ474" s="45">
        <f t="shared" si="123"/>
        <v>-13062.978504120172</v>
      </c>
      <c r="AR474" s="45">
        <f t="shared" si="124"/>
        <v>4790.1649104753678</v>
      </c>
      <c r="AS474" s="45">
        <f t="shared" si="125"/>
        <v>2680.7018859578779</v>
      </c>
      <c r="AT474" s="45">
        <f t="shared" si="111"/>
        <v>243.5809785768574</v>
      </c>
      <c r="AU474" s="45">
        <f t="shared" si="112"/>
        <v>-502.16473537692434</v>
      </c>
      <c r="AV474" s="64">
        <f t="shared" si="113"/>
        <v>336.1713030165206</v>
      </c>
      <c r="AW474" s="64">
        <f t="shared" si="114"/>
        <v>275.94824852645246</v>
      </c>
      <c r="AX474" s="64">
        <f t="shared" si="115"/>
        <v>-117.68466550677482</v>
      </c>
      <c r="AY474" s="64">
        <f t="shared" si="116"/>
        <v>181.55699738171015</v>
      </c>
      <c r="AZ474" s="64">
        <f t="shared" si="117"/>
        <v>25.094341067111628</v>
      </c>
      <c r="BA474" s="64">
        <f t="shared" si="118"/>
        <v>-959.66998128508692</v>
      </c>
      <c r="BB474" s="65">
        <f t="shared" si="119"/>
        <v>32409.430760997679</v>
      </c>
      <c r="BC474" s="65">
        <f t="shared" si="120"/>
        <v>27484.250252657635</v>
      </c>
      <c r="BD474" s="66">
        <f t="shared" si="121"/>
        <v>1937.6836178475298</v>
      </c>
    </row>
    <row r="475" spans="31:56" x14ac:dyDescent="0.25">
      <c r="AE475" s="71">
        <v>413</v>
      </c>
      <c r="AF475" s="17">
        <v>0.56548667764616278</v>
      </c>
      <c r="AG475" s="18">
        <v>-14865.896705534837</v>
      </c>
      <c r="AH475" s="20">
        <v>15467.264705660586</v>
      </c>
      <c r="AN475" s="23">
        <v>470</v>
      </c>
      <c r="AO475" s="58">
        <v>235</v>
      </c>
      <c r="AP475" s="45">
        <f t="shared" si="122"/>
        <v>-2594.6733353905024</v>
      </c>
      <c r="AQ475" s="45">
        <f t="shared" si="123"/>
        <v>-11848.168744985463</v>
      </c>
      <c r="AR475" s="45">
        <f t="shared" si="124"/>
        <v>4911.9553997637968</v>
      </c>
      <c r="AS475" s="45">
        <f t="shared" si="125"/>
        <v>2429.6195182694159</v>
      </c>
      <c r="AT475" s="45">
        <f t="shared" si="111"/>
        <v>-759.84916389291482</v>
      </c>
      <c r="AU475" s="45">
        <f t="shared" si="112"/>
        <v>-833.64261373466798</v>
      </c>
      <c r="AV475" s="64">
        <f t="shared" si="113"/>
        <v>382.76809693512246</v>
      </c>
      <c r="AW475" s="64">
        <f t="shared" si="114"/>
        <v>327.77025008357828</v>
      </c>
      <c r="AX475" s="64">
        <f t="shared" si="115"/>
        <v>-130.89315877503529</v>
      </c>
      <c r="AY475" s="64">
        <f t="shared" si="116"/>
        <v>164.3046336094323</v>
      </c>
      <c r="AZ475" s="64">
        <f t="shared" si="117"/>
        <v>-1011.724102053002</v>
      </c>
      <c r="BA475" s="64">
        <f t="shared" si="118"/>
        <v>-1325.7174974276786</v>
      </c>
      <c r="BB475" s="65">
        <f t="shared" si="119"/>
        <v>29746.779605823536</v>
      </c>
      <c r="BC475" s="65">
        <f t="shared" si="120"/>
        <v>27933.633380051477</v>
      </c>
      <c r="BD475" s="66">
        <f t="shared" si="121"/>
        <v>3964.7996952643093</v>
      </c>
    </row>
    <row r="476" spans="31:56" x14ac:dyDescent="0.25">
      <c r="AE476" s="71">
        <v>414</v>
      </c>
      <c r="AF476" s="17">
        <v>0.62831853071795862</v>
      </c>
      <c r="AG476" s="18">
        <v>-15219.320076884827</v>
      </c>
      <c r="AH476" s="20">
        <v>15778.849320818419</v>
      </c>
      <c r="AN476" s="23">
        <v>471</v>
      </c>
      <c r="AO476" s="58">
        <v>235.5</v>
      </c>
      <c r="AP476" s="45">
        <f t="shared" si="122"/>
        <v>-328.65792648183276</v>
      </c>
      <c r="AQ476" s="45">
        <f t="shared" si="123"/>
        <v>-10841.769639284423</v>
      </c>
      <c r="AR476" s="45">
        <f t="shared" si="124"/>
        <v>4532.0308178173391</v>
      </c>
      <c r="AS476" s="45">
        <f t="shared" si="125"/>
        <v>2012.798211402082</v>
      </c>
      <c r="AT476" s="45">
        <f t="shared" si="111"/>
        <v>-1198.5353426205847</v>
      </c>
      <c r="AU476" s="45">
        <f t="shared" si="112"/>
        <v>-793.42660412573196</v>
      </c>
      <c r="AV476" s="64">
        <f t="shared" si="113"/>
        <v>429.76217371244741</v>
      </c>
      <c r="AW476" s="64">
        <f t="shared" si="114"/>
        <v>387.75795325097704</v>
      </c>
      <c r="AX476" s="64">
        <f t="shared" si="115"/>
        <v>-137.59179088110321</v>
      </c>
      <c r="AY476" s="64">
        <f t="shared" si="116"/>
        <v>145.77838151983673</v>
      </c>
      <c r="AZ476" s="64">
        <f t="shared" si="117"/>
        <v>-1490.7057254519291</v>
      </c>
      <c r="BA476" s="64">
        <f t="shared" si="118"/>
        <v>-1326.9629388965457</v>
      </c>
      <c r="BB476" s="65">
        <f t="shared" si="119"/>
        <v>27380.190769833735</v>
      </c>
      <c r="BC476" s="65">
        <f t="shared" si="120"/>
        <v>28659.048495551349</v>
      </c>
      <c r="BD476" s="66">
        <f t="shared" si="121"/>
        <v>6253.9840502353218</v>
      </c>
    </row>
    <row r="477" spans="31:56" x14ac:dyDescent="0.25">
      <c r="AE477" s="71">
        <v>415</v>
      </c>
      <c r="AF477" s="17">
        <v>0.69115038378975457</v>
      </c>
      <c r="AG477" s="18">
        <v>-15591.610607806451</v>
      </c>
      <c r="AH477" s="20">
        <v>16067.627457812105</v>
      </c>
      <c r="AN477" s="23">
        <v>472</v>
      </c>
      <c r="AO477" s="58">
        <v>236</v>
      </c>
      <c r="AP477" s="45">
        <f t="shared" si="122"/>
        <v>1637.7236467716905</v>
      </c>
      <c r="AQ477" s="45">
        <f t="shared" si="123"/>
        <v>-10033.727184614814</v>
      </c>
      <c r="AR477" s="45">
        <f t="shared" si="124"/>
        <v>3932.7631465070467</v>
      </c>
      <c r="AS477" s="45">
        <f t="shared" si="125"/>
        <v>1616.084909339216</v>
      </c>
      <c r="AT477" s="45">
        <f t="shared" si="111"/>
        <v>-1252.2253098622571</v>
      </c>
      <c r="AU477" s="45">
        <f t="shared" si="112"/>
        <v>-605.41524414130458</v>
      </c>
      <c r="AV477" s="64">
        <f t="shared" si="113"/>
        <v>473.19092845027672</v>
      </c>
      <c r="AW477" s="64">
        <f t="shared" si="114"/>
        <v>451.83943897146844</v>
      </c>
      <c r="AX477" s="64">
        <f t="shared" si="115"/>
        <v>-139.59063190113511</v>
      </c>
      <c r="AY477" s="64">
        <f t="shared" si="116"/>
        <v>129.24282991536251</v>
      </c>
      <c r="AZ477" s="64">
        <f t="shared" si="117"/>
        <v>-1585.8256064113987</v>
      </c>
      <c r="BA477" s="64">
        <f t="shared" si="118"/>
        <v>-1186.4975130281355</v>
      </c>
      <c r="BB477" s="65">
        <f t="shared" si="119"/>
        <v>25389.068156528079</v>
      </c>
      <c r="BC477" s="65">
        <f t="shared" si="120"/>
        <v>29487.985850539833</v>
      </c>
      <c r="BD477" s="66">
        <f t="shared" si="121"/>
        <v>8289.9481836586874</v>
      </c>
    </row>
    <row r="478" spans="31:56" x14ac:dyDescent="0.25">
      <c r="AE478" s="71">
        <v>416</v>
      </c>
      <c r="AF478" s="17">
        <v>0.75398223686155041</v>
      </c>
      <c r="AG478" s="18">
        <v>-15981.299037657525</v>
      </c>
      <c r="AH478" s="20">
        <v>16332.459441265113</v>
      </c>
      <c r="AN478" s="23">
        <v>473</v>
      </c>
      <c r="AO478" s="58">
        <v>236.5</v>
      </c>
      <c r="AP478" s="45">
        <f t="shared" si="122"/>
        <v>3291.0488925596496</v>
      </c>
      <c r="AQ478" s="45">
        <f t="shared" si="123"/>
        <v>-9377.0385409805313</v>
      </c>
      <c r="AR478" s="45">
        <f t="shared" si="124"/>
        <v>3306.6504915759183</v>
      </c>
      <c r="AS478" s="45">
        <f t="shared" si="125"/>
        <v>1313.3772872685636</v>
      </c>
      <c r="AT478" s="45">
        <f t="shared" si="111"/>
        <v>-1158.5354038754022</v>
      </c>
      <c r="AU478" s="45">
        <f t="shared" si="112"/>
        <v>-405.94679931301209</v>
      </c>
      <c r="AV478" s="64">
        <f t="shared" si="113"/>
        <v>511.29631050420926</v>
      </c>
      <c r="AW478" s="64">
        <f t="shared" si="114"/>
        <v>516.43981018043644</v>
      </c>
      <c r="AX478" s="64">
        <f t="shared" si="115"/>
        <v>-139.11717850444447</v>
      </c>
      <c r="AY478" s="64">
        <f t="shared" si="116"/>
        <v>115.73883778391045</v>
      </c>
      <c r="AZ478" s="64">
        <f t="shared" si="117"/>
        <v>-1530.714535875167</v>
      </c>
      <c r="BA478" s="64">
        <f t="shared" si="118"/>
        <v>-1038.1254472773589</v>
      </c>
      <c r="BB478" s="65">
        <f t="shared" si="119"/>
        <v>23749.178449465875</v>
      </c>
      <c r="BC478" s="65">
        <f t="shared" si="120"/>
        <v>30297.567247788211</v>
      </c>
      <c r="BD478" s="66">
        <f t="shared" si="121"/>
        <v>10017.943267379434</v>
      </c>
    </row>
    <row r="479" spans="31:56" x14ac:dyDescent="0.25">
      <c r="AE479" s="71">
        <v>417</v>
      </c>
      <c r="AF479" s="17">
        <v>0.81681408993334625</v>
      </c>
      <c r="AG479" s="18">
        <v>-16386.847444237137</v>
      </c>
      <c r="AH479" s="20">
        <v>16572.300100328976</v>
      </c>
      <c r="AN479" s="23">
        <v>474</v>
      </c>
      <c r="AO479" s="58">
        <v>237</v>
      </c>
      <c r="AP479" s="45">
        <f t="shared" si="122"/>
        <v>4654.7402873787587</v>
      </c>
      <c r="AQ479" s="45">
        <f t="shared" si="123"/>
        <v>-8821.8365971745025</v>
      </c>
      <c r="AR479" s="45">
        <f t="shared" si="124"/>
        <v>2727.3827896382172</v>
      </c>
      <c r="AS479" s="45">
        <f t="shared" si="125"/>
        <v>1110.4038876120576</v>
      </c>
      <c r="AT479" s="45">
        <f t="shared" si="111"/>
        <v>-1029.8634591479045</v>
      </c>
      <c r="AU479" s="45">
        <f t="shared" si="112"/>
        <v>-235.18887502347729</v>
      </c>
      <c r="AV479" s="64">
        <f t="shared" si="113"/>
        <v>544.13756057213811</v>
      </c>
      <c r="AW479" s="64">
        <f t="shared" si="114"/>
        <v>578.76663649679551</v>
      </c>
      <c r="AX479" s="64">
        <f t="shared" si="115"/>
        <v>-137.71795709836752</v>
      </c>
      <c r="AY479" s="64">
        <f t="shared" si="116"/>
        <v>105.13616670823787</v>
      </c>
      <c r="AZ479" s="64">
        <f t="shared" si="117"/>
        <v>-1436.2830626216751</v>
      </c>
      <c r="BA479" s="64">
        <f t="shared" si="118"/>
        <v>-919.09167822851066</v>
      </c>
      <c r="BB479" s="65">
        <f t="shared" si="119"/>
        <v>22402.663804839405</v>
      </c>
      <c r="BC479" s="65">
        <f t="shared" si="120"/>
        <v>31018.023011288689</v>
      </c>
      <c r="BD479" s="66">
        <f t="shared" si="121"/>
        <v>11462.27346771777</v>
      </c>
    </row>
    <row r="480" spans="31:56" x14ac:dyDescent="0.25">
      <c r="AE480" s="71">
        <v>418</v>
      </c>
      <c r="AF480" s="17">
        <v>0.87964594300514221</v>
      </c>
      <c r="AG480" s="18">
        <v>-16806.655313261956</v>
      </c>
      <c r="AH480" s="20">
        <v>16786.202893495145</v>
      </c>
      <c r="AN480" s="23">
        <v>475</v>
      </c>
      <c r="AO480" s="58">
        <v>237.5</v>
      </c>
      <c r="AP480" s="45">
        <f t="shared" si="122"/>
        <v>5760.9658174108908</v>
      </c>
      <c r="AQ480" s="45">
        <f t="shared" si="123"/>
        <v>-8325.4318721243435</v>
      </c>
      <c r="AR480" s="45">
        <f t="shared" si="124"/>
        <v>2212.4510600642652</v>
      </c>
      <c r="AS480" s="45">
        <f t="shared" si="125"/>
        <v>992.80945010031894</v>
      </c>
      <c r="AT480" s="45">
        <f t="shared" si="111"/>
        <v>-904.54539059330773</v>
      </c>
      <c r="AU480" s="45">
        <f t="shared" si="112"/>
        <v>-98.140066557084197</v>
      </c>
      <c r="AV480" s="64">
        <f t="shared" si="113"/>
        <v>573.01040207612959</v>
      </c>
      <c r="AW480" s="64">
        <f t="shared" si="114"/>
        <v>636.85057313525533</v>
      </c>
      <c r="AX480" s="64">
        <f t="shared" si="115"/>
        <v>-136.28059941342616</v>
      </c>
      <c r="AY480" s="64">
        <f t="shared" si="116"/>
        <v>96.945155618160413</v>
      </c>
      <c r="AZ480" s="64">
        <f t="shared" si="117"/>
        <v>-1341.2751932560111</v>
      </c>
      <c r="BA480" s="64">
        <f t="shared" si="118"/>
        <v>-831.93579531049988</v>
      </c>
      <c r="BB480" s="65">
        <f t="shared" si="119"/>
        <v>21288.362745692542</v>
      </c>
      <c r="BC480" s="65">
        <f t="shared" si="120"/>
        <v>31614.060371070387</v>
      </c>
      <c r="BD480" s="66">
        <f t="shared" si="121"/>
        <v>12662.868751477257</v>
      </c>
    </row>
    <row r="481" spans="31:56" x14ac:dyDescent="0.25">
      <c r="AE481" s="71">
        <v>419</v>
      </c>
      <c r="AF481" s="17">
        <v>0.94247779607693805</v>
      </c>
      <c r="AG481" s="18">
        <v>-17239.065854864915</v>
      </c>
      <c r="AH481" s="20">
        <v>16973.323644161886</v>
      </c>
      <c r="AN481" s="23">
        <v>476</v>
      </c>
      <c r="AO481" s="58">
        <v>238</v>
      </c>
      <c r="AP481" s="45">
        <f t="shared" si="122"/>
        <v>6641.0549997946973</v>
      </c>
      <c r="AQ481" s="45">
        <f t="shared" si="123"/>
        <v>-7853.5621637134545</v>
      </c>
      <c r="AR481" s="45">
        <f t="shared" si="124"/>
        <v>1760.1783647676114</v>
      </c>
      <c r="AS481" s="45">
        <f t="shared" si="125"/>
        <v>943.73941682177679</v>
      </c>
      <c r="AT481" s="45">
        <f t="shared" si="111"/>
        <v>-791.71841557517246</v>
      </c>
      <c r="AU481" s="45">
        <f t="shared" si="112"/>
        <v>8.8600950609294387</v>
      </c>
      <c r="AV481" s="64">
        <f t="shared" si="113"/>
        <v>599.90321027244227</v>
      </c>
      <c r="AW481" s="64">
        <f t="shared" si="114"/>
        <v>689.47444809359251</v>
      </c>
      <c r="AX481" s="64">
        <f t="shared" si="115"/>
        <v>-135.27606690579177</v>
      </c>
      <c r="AY481" s="64">
        <f t="shared" si="116"/>
        <v>90.655556613047992</v>
      </c>
      <c r="AZ481" s="64">
        <f t="shared" si="117"/>
        <v>-1256.3455589418229</v>
      </c>
      <c r="BA481" s="64">
        <f t="shared" si="118"/>
        <v>-771.2699096457111</v>
      </c>
      <c r="BB481" s="65">
        <f t="shared" si="119"/>
        <v>20351.739056737231</v>
      </c>
      <c r="BC481" s="65">
        <f t="shared" si="120"/>
        <v>32070.165160717002</v>
      </c>
      <c r="BD481" s="66">
        <f t="shared" si="121"/>
        <v>13659.638913827592</v>
      </c>
    </row>
    <row r="482" spans="31:56" x14ac:dyDescent="0.25">
      <c r="AE482" s="71">
        <v>420</v>
      </c>
      <c r="AF482" s="17">
        <v>1.0053096491487339</v>
      </c>
      <c r="AG482" s="18">
        <v>-17682.372542187895</v>
      </c>
      <c r="AH482" s="20">
        <v>17132.923872213651</v>
      </c>
      <c r="AN482" s="23">
        <v>477</v>
      </c>
      <c r="AO482" s="58">
        <v>238.5</v>
      </c>
      <c r="AP482" s="45">
        <f t="shared" si="122"/>
        <v>7323.2145782847101</v>
      </c>
      <c r="AQ482" s="45">
        <f t="shared" si="123"/>
        <v>-7379.4774315373343</v>
      </c>
      <c r="AR482" s="45">
        <f t="shared" si="124"/>
        <v>1364.3191569800251</v>
      </c>
      <c r="AS482" s="45">
        <f t="shared" si="125"/>
        <v>948.16946435224145</v>
      </c>
      <c r="AT482" s="45">
        <f t="shared" si="111"/>
        <v>-690.44251348707587</v>
      </c>
      <c r="AU482" s="45">
        <f t="shared" si="112"/>
        <v>90.566534872934767</v>
      </c>
      <c r="AV482" s="64">
        <f t="shared" si="113"/>
        <v>627.05035673099371</v>
      </c>
      <c r="AW482" s="64">
        <f t="shared" si="114"/>
        <v>736.00532950835373</v>
      </c>
      <c r="AX482" s="64">
        <f t="shared" si="115"/>
        <v>-134.94470275414551</v>
      </c>
      <c r="AY482" s="64">
        <f t="shared" si="116"/>
        <v>85.834278733992832</v>
      </c>
      <c r="AZ482" s="64">
        <f t="shared" si="117"/>
        <v>-1182.5481674639241</v>
      </c>
      <c r="BA482" s="64">
        <f t="shared" si="118"/>
        <v>-731.2730733694118</v>
      </c>
      <c r="BB482" s="65">
        <f t="shared" si="119"/>
        <v>19547.371620344311</v>
      </c>
      <c r="BC482" s="65">
        <f t="shared" si="120"/>
        <v>32382.160068227469</v>
      </c>
      <c r="BD482" s="66">
        <f t="shared" si="121"/>
        <v>14489.098721414581</v>
      </c>
    </row>
    <row r="483" spans="31:56" x14ac:dyDescent="0.25">
      <c r="AE483" s="71">
        <v>421</v>
      </c>
      <c r="AF483" s="17">
        <v>1.0681415022205298</v>
      </c>
      <c r="AG483" s="18">
        <v>-18134.825846263589</v>
      </c>
      <c r="AH483" s="20">
        <v>17264.373708464733</v>
      </c>
      <c r="AN483" s="23">
        <v>478</v>
      </c>
      <c r="AO483" s="58">
        <v>239</v>
      </c>
      <c r="AP483" s="45">
        <f t="shared" si="122"/>
        <v>7832.7635284029539</v>
      </c>
      <c r="AQ483" s="45">
        <f t="shared" si="123"/>
        <v>-6882.7510656429795</v>
      </c>
      <c r="AR483" s="45">
        <f t="shared" si="124"/>
        <v>1019.0979002364872</v>
      </c>
      <c r="AS483" s="45">
        <f t="shared" si="125"/>
        <v>993.45273178870889</v>
      </c>
      <c r="AT483" s="45">
        <f t="shared" si="111"/>
        <v>-596.74763877086696</v>
      </c>
      <c r="AU483" s="45">
        <f t="shared" si="112"/>
        <v>151.15518848406282</v>
      </c>
      <c r="AV483" s="64">
        <f t="shared" si="113"/>
        <v>656.61267182621657</v>
      </c>
      <c r="AW483" s="64">
        <f t="shared" si="114"/>
        <v>776.17432910660057</v>
      </c>
      <c r="AX483" s="64">
        <f t="shared" si="115"/>
        <v>-135.4047411247507</v>
      </c>
      <c r="AY483" s="64">
        <f t="shared" si="116"/>
        <v>82.133580992924422</v>
      </c>
      <c r="AZ483" s="64">
        <f t="shared" si="117"/>
        <v>-1117.9555694723329</v>
      </c>
      <c r="BA483" s="64">
        <f t="shared" si="118"/>
        <v>-707.15272161546216</v>
      </c>
      <c r="BB483" s="65">
        <f t="shared" si="119"/>
        <v>18838.927028151462</v>
      </c>
      <c r="BC483" s="65">
        <f t="shared" si="120"/>
        <v>32552.880197802264</v>
      </c>
      <c r="BD483" s="66">
        <f t="shared" si="121"/>
        <v>15184.516786458145</v>
      </c>
    </row>
    <row r="484" spans="31:56" x14ac:dyDescent="0.25">
      <c r="AE484" s="71">
        <v>422</v>
      </c>
      <c r="AF484" s="17">
        <v>1.1309733552923256</v>
      </c>
      <c r="AG484" s="18">
        <v>-18594.640140607065</v>
      </c>
      <c r="AH484" s="20">
        <v>17367.154380465166</v>
      </c>
      <c r="AN484" s="23">
        <v>479</v>
      </c>
      <c r="AO484" s="58">
        <v>239.5</v>
      </c>
      <c r="AP484" s="45">
        <f t="shared" si="122"/>
        <v>8193.12556882848</v>
      </c>
      <c r="AQ484" s="45">
        <f t="shared" si="123"/>
        <v>-6348.235902627609</v>
      </c>
      <c r="AR484" s="45">
        <f t="shared" si="124"/>
        <v>720.72408085105371</v>
      </c>
      <c r="AS484" s="45">
        <f t="shared" si="125"/>
        <v>1069.0303260307403</v>
      </c>
      <c r="AT484" s="45">
        <f t="shared" si="111"/>
        <v>-506.14794044706173</v>
      </c>
      <c r="AU484" s="45">
        <f t="shared" si="112"/>
        <v>194.06264151518053</v>
      </c>
      <c r="AV484" s="64">
        <f t="shared" si="113"/>
        <v>690.48113347060689</v>
      </c>
      <c r="AW484" s="64">
        <f t="shared" si="114"/>
        <v>809.86256594463453</v>
      </c>
      <c r="AX484" s="64">
        <f t="shared" si="115"/>
        <v>-136.70871263910911</v>
      </c>
      <c r="AY484" s="64">
        <f t="shared" si="116"/>
        <v>79.272738977183025</v>
      </c>
      <c r="AZ484" s="64">
        <f t="shared" si="117"/>
        <v>-1059.9203612785595</v>
      </c>
      <c r="BA484" s="64">
        <f t="shared" si="118"/>
        <v>-695.07266340663705</v>
      </c>
      <c r="BB484" s="65">
        <f t="shared" si="119"/>
        <v>18198.239515081565</v>
      </c>
      <c r="BC484" s="65">
        <f t="shared" si="120"/>
        <v>32590.138791783207</v>
      </c>
      <c r="BD484" s="66">
        <f t="shared" si="121"/>
        <v>15776.932029753367</v>
      </c>
    </row>
    <row r="485" spans="31:56" x14ac:dyDescent="0.25">
      <c r="AE485" s="71">
        <v>423</v>
      </c>
      <c r="AF485" s="17">
        <v>1.1938052083641215</v>
      </c>
      <c r="AG485" s="18">
        <v>-19060.000748267717</v>
      </c>
      <c r="AH485" s="20">
        <v>17440.860259858586</v>
      </c>
      <c r="AN485" s="23">
        <v>480</v>
      </c>
      <c r="AO485" s="58">
        <v>240</v>
      </c>
      <c r="AP485" s="45">
        <f t="shared" si="122"/>
        <v>8426.9506241422423</v>
      </c>
      <c r="AQ485" s="45">
        <f t="shared" si="123"/>
        <v>-5765.205079233443</v>
      </c>
      <c r="AR485" s="45">
        <f t="shared" si="124"/>
        <v>467.65011062752285</v>
      </c>
      <c r="AS485" s="45">
        <f t="shared" si="125"/>
        <v>1166.0616467883306</v>
      </c>
      <c r="AT485" s="45">
        <f t="shared" si="111"/>
        <v>-414.53580260748549</v>
      </c>
      <c r="AU485" s="45">
        <f t="shared" si="112"/>
        <v>222.15521750268238</v>
      </c>
      <c r="AV485" s="64">
        <f t="shared" si="113"/>
        <v>730.17631728256424</v>
      </c>
      <c r="AW485" s="64">
        <f t="shared" si="114"/>
        <v>836.93919192622047</v>
      </c>
      <c r="AX485" s="64">
        <f t="shared" si="115"/>
        <v>-138.86935009200428</v>
      </c>
      <c r="AY485" s="64">
        <f t="shared" si="116"/>
        <v>77.015076726555264</v>
      </c>
      <c r="AZ485" s="64">
        <f t="shared" si="117"/>
        <v>-1005.8427697980454</v>
      </c>
      <c r="BA485" s="64">
        <f t="shared" si="118"/>
        <v>-691.79905115009331</v>
      </c>
      <c r="BB485" s="65">
        <f t="shared" si="119"/>
        <v>17604.009135710035</v>
      </c>
      <c r="BC485" s="65">
        <f t="shared" si="120"/>
        <v>32505.89504963229</v>
      </c>
      <c r="BD485" s="66">
        <f t="shared" si="121"/>
        <v>16296.148020061966</v>
      </c>
    </row>
    <row r="486" spans="31:56" x14ac:dyDescent="0.25">
      <c r="AE486" s="71">
        <v>424</v>
      </c>
      <c r="AF486" s="17">
        <v>1.2566370614359172</v>
      </c>
      <c r="AG486" s="18">
        <v>-19529.07110353015</v>
      </c>
      <c r="AH486" s="20">
        <v>17485.200463212037</v>
      </c>
      <c r="AN486" s="23">
        <v>481</v>
      </c>
      <c r="AO486" s="58">
        <v>240.5</v>
      </c>
      <c r="AP486" s="45">
        <f t="shared" si="122"/>
        <v>8557.1417288041339</v>
      </c>
      <c r="AQ486" s="45">
        <f t="shared" si="123"/>
        <v>-5126.6354514636078</v>
      </c>
      <c r="AR486" s="45">
        <f t="shared" si="124"/>
        <v>260.3822093237801</v>
      </c>
      <c r="AS486" s="45">
        <f t="shared" si="125"/>
        <v>1277.1392555396717</v>
      </c>
      <c r="AT486" s="45">
        <f t="shared" si="111"/>
        <v>-318.51213083517291</v>
      </c>
      <c r="AU486" s="45">
        <f t="shared" si="112"/>
        <v>237.94051842930605</v>
      </c>
      <c r="AV486" s="64">
        <f t="shared" si="113"/>
        <v>776.81381433527156</v>
      </c>
      <c r="AW486" s="64">
        <f t="shared" si="114"/>
        <v>857.17611935844957</v>
      </c>
      <c r="AX486" s="64">
        <f t="shared" si="115"/>
        <v>-141.86762446534647</v>
      </c>
      <c r="AY486" s="64">
        <f t="shared" si="116"/>
        <v>75.146870720885033</v>
      </c>
      <c r="AZ486" s="64">
        <f t="shared" si="117"/>
        <v>-953.458320705098</v>
      </c>
      <c r="BA486" s="64">
        <f t="shared" si="118"/>
        <v>-694.38247165002861</v>
      </c>
      <c r="BB486" s="65">
        <f t="shared" si="119"/>
        <v>17040.273713729872</v>
      </c>
      <c r="BC486" s="65">
        <f t="shared" si="120"/>
        <v>32316.024566776185</v>
      </c>
      <c r="BD486" s="66">
        <f t="shared" si="121"/>
        <v>16771.38692425816</v>
      </c>
    </row>
    <row r="487" spans="31:56" x14ac:dyDescent="0.25">
      <c r="AE487" s="71">
        <v>425</v>
      </c>
      <c r="AF487" s="17">
        <v>1.3194689145077132</v>
      </c>
      <c r="AG487" s="18">
        <v>-20000</v>
      </c>
      <c r="AH487" s="20">
        <v>17500</v>
      </c>
      <c r="AN487" s="23">
        <v>482</v>
      </c>
      <c r="AO487" s="58">
        <v>241</v>
      </c>
      <c r="AP487" s="45">
        <f t="shared" si="122"/>
        <v>8607.7048007572303</v>
      </c>
      <c r="AQ487" s="45">
        <f t="shared" si="123"/>
        <v>-4428.580694086445</v>
      </c>
      <c r="AR487" s="45">
        <f t="shared" si="124"/>
        <v>101.12614390619365</v>
      </c>
      <c r="AS487" s="45">
        <f t="shared" si="125"/>
        <v>1396.1095147543247</v>
      </c>
      <c r="AT487" s="45">
        <f t="shared" si="111"/>
        <v>-215.52348439126479</v>
      </c>
      <c r="AU487" s="45">
        <f t="shared" si="112"/>
        <v>243.74868245245216</v>
      </c>
      <c r="AV487" s="64">
        <f t="shared" si="113"/>
        <v>831.11930199760809</v>
      </c>
      <c r="AW487" s="64">
        <f t="shared" si="114"/>
        <v>870.24374692733079</v>
      </c>
      <c r="AX487" s="64">
        <f t="shared" si="115"/>
        <v>-145.64944206925199</v>
      </c>
      <c r="AY487" s="64">
        <f t="shared" si="116"/>
        <v>73.459745987355305</v>
      </c>
      <c r="AZ487" s="64">
        <f t="shared" si="117"/>
        <v>-900.99334431962086</v>
      </c>
      <c r="BA487" s="64">
        <f t="shared" si="118"/>
        <v>-699.95481046223392</v>
      </c>
      <c r="BB487" s="65">
        <f t="shared" si="119"/>
        <v>16494.709069335589</v>
      </c>
      <c r="BC487" s="65">
        <f t="shared" si="120"/>
        <v>32040.360716025534</v>
      </c>
      <c r="BD487" s="66">
        <f t="shared" si="121"/>
        <v>17231.498370309913</v>
      </c>
    </row>
    <row r="488" spans="31:56" x14ac:dyDescent="0.25">
      <c r="AE488" s="71">
        <v>426</v>
      </c>
      <c r="AF488" s="17">
        <v>1.3823007675795091</v>
      </c>
      <c r="AG488" s="18">
        <v>-20470.92889646985</v>
      </c>
      <c r="AH488" s="20">
        <v>17485.200463212037</v>
      </c>
      <c r="AN488" s="23">
        <v>483</v>
      </c>
      <c r="AO488" s="58">
        <v>241.5</v>
      </c>
      <c r="AP488" s="45">
        <f t="shared" si="122"/>
        <v>8604.3870016125111</v>
      </c>
      <c r="AQ488" s="45">
        <f t="shared" si="123"/>
        <v>-3669.5887660961698</v>
      </c>
      <c r="AR488" s="45">
        <f t="shared" si="124"/>
        <v>-6.6355982894387466</v>
      </c>
      <c r="AS488" s="45">
        <f t="shared" si="125"/>
        <v>1517.9838559805507</v>
      </c>
      <c r="AT488" s="45">
        <f t="shared" si="111"/>
        <v>-103.90779426547692</v>
      </c>
      <c r="AU488" s="45">
        <f t="shared" si="112"/>
        <v>241.84630545033349</v>
      </c>
      <c r="AV488" s="64">
        <f t="shared" si="113"/>
        <v>893.49476219698488</v>
      </c>
      <c r="AW488" s="64">
        <f t="shared" si="114"/>
        <v>875.77290136242823</v>
      </c>
      <c r="AX488" s="64">
        <f t="shared" si="115"/>
        <v>-150.11429997612677</v>
      </c>
      <c r="AY488" s="64">
        <f t="shared" si="116"/>
        <v>71.737274022630714</v>
      </c>
      <c r="AZ488" s="64">
        <f t="shared" si="117"/>
        <v>-847.28825648633506</v>
      </c>
      <c r="BA488" s="64">
        <f t="shared" si="118"/>
        <v>-705.66386993472543</v>
      </c>
      <c r="BB488" s="65">
        <f t="shared" si="119"/>
        <v>15956.807600918164</v>
      </c>
      <c r="BC488" s="65">
        <f t="shared" si="120"/>
        <v>31702.817110979293</v>
      </c>
      <c r="BD488" s="66">
        <f t="shared" si="121"/>
        <v>17704.732825406249</v>
      </c>
    </row>
    <row r="489" spans="31:56" x14ac:dyDescent="0.25">
      <c r="AE489" s="71">
        <v>427</v>
      </c>
      <c r="AF489" s="17">
        <v>1.4451326206513049</v>
      </c>
      <c r="AG489" s="18">
        <v>-20939.999251732283</v>
      </c>
      <c r="AH489" s="20">
        <v>17440.860259858582</v>
      </c>
      <c r="AN489" s="23">
        <v>484</v>
      </c>
      <c r="AO489" s="58">
        <v>242</v>
      </c>
      <c r="AP489" s="45">
        <f t="shared" si="122"/>
        <v>8575.0922539014227</v>
      </c>
      <c r="AQ489" s="45">
        <f t="shared" si="123"/>
        <v>-2850.1352617433113</v>
      </c>
      <c r="AR489" s="45">
        <f t="shared" si="124"/>
        <v>-58.589495422177208</v>
      </c>
      <c r="AS489" s="45">
        <f t="shared" si="125"/>
        <v>1638.9070087057175</v>
      </c>
      <c r="AT489" s="45">
        <f t="shared" si="111"/>
        <v>17.163580132442121</v>
      </c>
      <c r="AU489" s="45">
        <f t="shared" si="112"/>
        <v>234.44748915494245</v>
      </c>
      <c r="AV489" s="64">
        <f t="shared" si="113"/>
        <v>964.14827594379881</v>
      </c>
      <c r="AW489" s="64">
        <f t="shared" si="114"/>
        <v>873.44819670886386</v>
      </c>
      <c r="AX489" s="64">
        <f t="shared" si="115"/>
        <v>-155.09795345883532</v>
      </c>
      <c r="AY489" s="64">
        <f t="shared" si="116"/>
        <v>69.747095234434099</v>
      </c>
      <c r="AZ489" s="64">
        <f t="shared" si="117"/>
        <v>-791.88674235252142</v>
      </c>
      <c r="BA489" s="64">
        <f t="shared" si="118"/>
        <v>-708.74780278835556</v>
      </c>
      <c r="BB489" s="65">
        <f t="shared" si="119"/>
        <v>15416.024680287896</v>
      </c>
      <c r="BC489" s="65">
        <f t="shared" si="120"/>
        <v>31331.48374341815</v>
      </c>
      <c r="BD489" s="66">
        <f t="shared" si="121"/>
        <v>18218.187145264143</v>
      </c>
    </row>
    <row r="490" spans="31:56" x14ac:dyDescent="0.25">
      <c r="AE490" s="71">
        <v>428</v>
      </c>
      <c r="AF490" s="17">
        <v>1.5079644737231008</v>
      </c>
      <c r="AG490" s="18">
        <v>-21405.359859392935</v>
      </c>
      <c r="AH490" s="20">
        <v>17367.154380465166</v>
      </c>
      <c r="AN490" s="23">
        <v>485</v>
      </c>
      <c r="AO490" s="58">
        <v>242.5</v>
      </c>
      <c r="AP490" s="45">
        <f t="shared" si="122"/>
        <v>8550.0884012234455</v>
      </c>
      <c r="AQ490" s="45">
        <f t="shared" si="123"/>
        <v>-1972.0698851017169</v>
      </c>
      <c r="AR490" s="45">
        <f t="shared" si="124"/>
        <v>-50.007705355956148</v>
      </c>
      <c r="AS490" s="45">
        <f t="shared" si="125"/>
        <v>1756.1307532831888</v>
      </c>
      <c r="AT490" s="45">
        <f t="shared" si="111"/>
        <v>147.89515741031028</v>
      </c>
      <c r="AU490" s="45">
        <f t="shared" si="112"/>
        <v>223.59557315585585</v>
      </c>
      <c r="AV490" s="64">
        <f t="shared" si="113"/>
        <v>1043.2957046115357</v>
      </c>
      <c r="AW490" s="64">
        <f t="shared" si="114"/>
        <v>863.07826393723712</v>
      </c>
      <c r="AX490" s="64">
        <f t="shared" si="115"/>
        <v>-160.35138083957023</v>
      </c>
      <c r="AY490" s="64">
        <f t="shared" si="116"/>
        <v>67.241050556664092</v>
      </c>
      <c r="AZ490" s="64">
        <f t="shared" si="117"/>
        <v>-735.04916636165524</v>
      </c>
      <c r="BA490" s="64">
        <f t="shared" si="118"/>
        <v>-706.72374133804533</v>
      </c>
      <c r="BB490" s="65">
        <f t="shared" si="119"/>
        <v>14860.033093100727</v>
      </c>
      <c r="BC490" s="65">
        <f t="shared" si="120"/>
        <v>30958.649922944525</v>
      </c>
      <c r="BD490" s="66">
        <f t="shared" si="121"/>
        <v>18797.123683150137</v>
      </c>
    </row>
    <row r="491" spans="31:56" x14ac:dyDescent="0.25">
      <c r="AE491" s="71">
        <v>429</v>
      </c>
      <c r="AF491" s="17">
        <v>1.5707963267948968</v>
      </c>
      <c r="AG491" s="18">
        <v>-21865.174153736411</v>
      </c>
      <c r="AH491" s="20">
        <v>17264.373708464733</v>
      </c>
      <c r="AN491" s="23">
        <v>486</v>
      </c>
      <c r="AO491" s="58">
        <v>243</v>
      </c>
      <c r="AP491" s="45">
        <f t="shared" si="122"/>
        <v>8562.0583378980464</v>
      </c>
      <c r="AQ491" s="45">
        <f t="shared" si="123"/>
        <v>-1038.1056151711584</v>
      </c>
      <c r="AR491" s="45">
        <f t="shared" si="124"/>
        <v>23.93987334919899</v>
      </c>
      <c r="AS491" s="45">
        <f t="shared" si="125"/>
        <v>1867.9285398611169</v>
      </c>
      <c r="AT491" s="45">
        <f t="shared" si="111"/>
        <v>288.24972983671933</v>
      </c>
      <c r="AU491" s="45">
        <f t="shared" si="112"/>
        <v>210.91145538825299</v>
      </c>
      <c r="AV491" s="64">
        <f t="shared" si="113"/>
        <v>1131.4205558045844</v>
      </c>
      <c r="AW491" s="64">
        <f t="shared" si="114"/>
        <v>844.57400518511997</v>
      </c>
      <c r="AX491" s="64">
        <f t="shared" si="115"/>
        <v>-165.51987150848817</v>
      </c>
      <c r="AY491" s="64">
        <f t="shared" si="116"/>
        <v>63.966882271087307</v>
      </c>
      <c r="AZ491" s="64">
        <f t="shared" si="117"/>
        <v>-677.65095445937686</v>
      </c>
      <c r="BA491" s="64">
        <f t="shared" si="118"/>
        <v>-697.62943206795433</v>
      </c>
      <c r="BB491" s="65">
        <f t="shared" si="119"/>
        <v>14273.253201756945</v>
      </c>
      <c r="BC491" s="65">
        <f t="shared" si="120"/>
        <v>30620.760148454254</v>
      </c>
      <c r="BD491" s="66">
        <f t="shared" si="121"/>
        <v>19464.427070265003</v>
      </c>
    </row>
    <row r="492" spans="31:56" x14ac:dyDescent="0.25">
      <c r="AE492" s="71">
        <v>430</v>
      </c>
      <c r="AF492" s="17">
        <v>1.6336281798666925</v>
      </c>
      <c r="AG492" s="18">
        <v>-22317.627457812108</v>
      </c>
      <c r="AH492" s="20">
        <v>17132.923872213651</v>
      </c>
      <c r="AN492" s="23">
        <v>487</v>
      </c>
      <c r="AO492" s="58">
        <v>243.5</v>
      </c>
      <c r="AP492" s="45">
        <f t="shared" si="122"/>
        <v>8646.0907070318244</v>
      </c>
      <c r="AQ492" s="45">
        <f t="shared" si="123"/>
        <v>-51.413481393536756</v>
      </c>
      <c r="AR492" s="45">
        <f t="shared" si="124"/>
        <v>168.06473826755865</v>
      </c>
      <c r="AS492" s="45">
        <f t="shared" si="125"/>
        <v>1973.3842675552432</v>
      </c>
      <c r="AT492" s="45">
        <f t="shared" si="111"/>
        <v>438.44888124795534</v>
      </c>
      <c r="AU492" s="45">
        <f t="shared" si="112"/>
        <v>197.22226964960487</v>
      </c>
      <c r="AV492" s="64">
        <f t="shared" si="113"/>
        <v>1229.5404834567369</v>
      </c>
      <c r="AW492" s="64">
        <f t="shared" si="114"/>
        <v>817.75962297361934</v>
      </c>
      <c r="AX492" s="64">
        <f t="shared" si="115"/>
        <v>-170.12883384865722</v>
      </c>
      <c r="AY492" s="64">
        <f t="shared" si="116"/>
        <v>59.695239801093976</v>
      </c>
      <c r="AZ492" s="64">
        <f t="shared" si="117"/>
        <v>-620.9627683601243</v>
      </c>
      <c r="BA492" s="64">
        <f t="shared" si="118"/>
        <v>-680.23259312510845</v>
      </c>
      <c r="BB492" s="65">
        <f t="shared" si="119"/>
        <v>13635.802205954777</v>
      </c>
      <c r="BC492" s="65">
        <f t="shared" si="120"/>
        <v>30358.350181942278</v>
      </c>
      <c r="BD492" s="66">
        <f t="shared" si="121"/>
        <v>20240.455293515592</v>
      </c>
    </row>
    <row r="493" spans="31:56" x14ac:dyDescent="0.25">
      <c r="AE493" s="71">
        <v>431</v>
      </c>
      <c r="AF493" s="17">
        <v>1.6964600329384885</v>
      </c>
      <c r="AG493" s="18">
        <v>-22760.934145135085</v>
      </c>
      <c r="AH493" s="20">
        <v>16973.323644161886</v>
      </c>
      <c r="AN493" s="23">
        <v>488</v>
      </c>
      <c r="AO493" s="58">
        <v>244</v>
      </c>
      <c r="AP493" s="45">
        <f t="shared" si="122"/>
        <v>8839.7352964775928</v>
      </c>
      <c r="AQ493" s="45">
        <f t="shared" si="123"/>
        <v>984.58421979648597</v>
      </c>
      <c r="AR493" s="45">
        <f t="shared" si="124"/>
        <v>387.28917889153632</v>
      </c>
      <c r="AS493" s="45">
        <f t="shared" si="125"/>
        <v>2071.9954023800456</v>
      </c>
      <c r="AT493" s="45">
        <f t="shared" si="111"/>
        <v>599.42605712618479</v>
      </c>
      <c r="AU493" s="45">
        <f t="shared" si="112"/>
        <v>182.06354620109994</v>
      </c>
      <c r="AV493" s="64">
        <f t="shared" si="113"/>
        <v>1339.3712657314459</v>
      </c>
      <c r="AW493" s="64">
        <f t="shared" si="114"/>
        <v>781.93133515404304</v>
      </c>
      <c r="AX493" s="64">
        <f t="shared" si="115"/>
        <v>-173.58650155230984</v>
      </c>
      <c r="AY493" s="64">
        <f t="shared" si="116"/>
        <v>54.263829720939057</v>
      </c>
      <c r="AZ493" s="64">
        <f t="shared" si="117"/>
        <v>-566.35870705295133</v>
      </c>
      <c r="BA493" s="64">
        <f t="shared" si="118"/>
        <v>-654.13161867388214</v>
      </c>
      <c r="BB493" s="65">
        <f t="shared" si="119"/>
        <v>12922.931209350805</v>
      </c>
      <c r="BC493" s="65">
        <f t="shared" si="120"/>
        <v>30216.023127818095</v>
      </c>
      <c r="BD493" s="66">
        <f t="shared" si="121"/>
        <v>21143.443564290432</v>
      </c>
    </row>
    <row r="494" spans="31:56" x14ac:dyDescent="0.25">
      <c r="AE494" s="71">
        <v>432</v>
      </c>
      <c r="AF494" s="17">
        <v>1.7592918860102844</v>
      </c>
      <c r="AG494" s="18">
        <v>-23193.344686738044</v>
      </c>
      <c r="AH494" s="20">
        <v>16786.202893495145</v>
      </c>
      <c r="AN494" s="23">
        <v>489</v>
      </c>
      <c r="AO494" s="58">
        <v>244.5</v>
      </c>
      <c r="AP494" s="45">
        <f t="shared" si="122"/>
        <v>9183.2364002049071</v>
      </c>
      <c r="AQ494" s="45">
        <f t="shared" si="123"/>
        <v>2066.0978075367839</v>
      </c>
      <c r="AR494" s="45">
        <f t="shared" si="124"/>
        <v>687.00220745462866</v>
      </c>
      <c r="AS494" s="45">
        <f t="shared" si="125"/>
        <v>2163.0271754805954</v>
      </c>
      <c r="AT494" s="45">
        <f t="shared" si="111"/>
        <v>772.91283109368442</v>
      </c>
      <c r="AU494" s="45">
        <f t="shared" si="112"/>
        <v>162.95185379265502</v>
      </c>
      <c r="AV494" s="64">
        <f t="shared" si="113"/>
        <v>1463.1611960156324</v>
      </c>
      <c r="AW494" s="64">
        <f t="shared" si="114"/>
        <v>735.03268862296864</v>
      </c>
      <c r="AX494" s="64">
        <f t="shared" si="115"/>
        <v>-175.2167169999326</v>
      </c>
      <c r="AY494" s="64">
        <f t="shared" si="116"/>
        <v>47.635302544861375</v>
      </c>
      <c r="AZ494" s="64">
        <f t="shared" si="117"/>
        <v>-515.03164792201551</v>
      </c>
      <c r="BA494" s="64">
        <f t="shared" si="118"/>
        <v>-619.71613737517498</v>
      </c>
      <c r="BB494" s="65">
        <f t="shared" si="119"/>
        <v>12104.943940849484</v>
      </c>
      <c r="BC494" s="65">
        <f t="shared" si="120"/>
        <v>30242.488171276804</v>
      </c>
      <c r="BD494" s="66">
        <f t="shared" si="121"/>
        <v>22190.445898190268</v>
      </c>
    </row>
    <row r="495" spans="31:56" x14ac:dyDescent="0.25">
      <c r="AE495" s="71">
        <v>433</v>
      </c>
      <c r="AF495" s="17">
        <v>1.8221237390820801</v>
      </c>
      <c r="AG495" s="18">
        <v>-23613.152555762867</v>
      </c>
      <c r="AH495" s="20">
        <v>16572.300100328976</v>
      </c>
      <c r="AN495" s="23">
        <v>490</v>
      </c>
      <c r="AO495" s="58">
        <v>245</v>
      </c>
      <c r="AP495" s="45">
        <f t="shared" si="122"/>
        <v>9719.9657117056431</v>
      </c>
      <c r="AQ495" s="45">
        <f t="shared" si="123"/>
        <v>3188.3493587252451</v>
      </c>
      <c r="AR495" s="45">
        <f t="shared" si="124"/>
        <v>1073.4586230014709</v>
      </c>
      <c r="AS495" s="45">
        <f t="shared" si="125"/>
        <v>2244.5031023769229</v>
      </c>
      <c r="AT495" s="45">
        <f t="shared" si="111"/>
        <v>960.52160604608616</v>
      </c>
      <c r="AU495" s="45">
        <f t="shared" si="112"/>
        <v>134.12410888793329</v>
      </c>
      <c r="AV495" s="64">
        <f t="shared" si="113"/>
        <v>1602.6476408121018</v>
      </c>
      <c r="AW495" s="64">
        <f t="shared" si="114"/>
        <v>672.18226461688914</v>
      </c>
      <c r="AX495" s="64">
        <f t="shared" si="115"/>
        <v>-174.33449992242208</v>
      </c>
      <c r="AY495" s="64">
        <f t="shared" si="116"/>
        <v>39.956496575807407</v>
      </c>
      <c r="AZ495" s="64">
        <f t="shared" si="117"/>
        <v>-467.79153484359364</v>
      </c>
      <c r="BA495" s="64">
        <f t="shared" si="118"/>
        <v>-578.01465230476322</v>
      </c>
      <c r="BB495" s="65">
        <f t="shared" si="119"/>
        <v>11147.620204371544</v>
      </c>
      <c r="BC495" s="65">
        <f t="shared" si="120"/>
        <v>30490.571433866859</v>
      </c>
      <c r="BD495" s="66">
        <f t="shared" si="121"/>
        <v>23398.577797567759</v>
      </c>
    </row>
    <row r="496" spans="31:56" x14ac:dyDescent="0.25">
      <c r="AE496" s="71">
        <v>434</v>
      </c>
      <c r="AF496" s="17">
        <v>1.8849555921538761</v>
      </c>
      <c r="AG496" s="18">
        <v>-24018.700962342475</v>
      </c>
      <c r="AH496" s="20">
        <v>16332.459441265113</v>
      </c>
      <c r="AN496" s="23">
        <v>491</v>
      </c>
      <c r="AO496" s="58">
        <v>245.5</v>
      </c>
      <c r="AP496" s="45">
        <f t="shared" si="122"/>
        <v>10496.825424717901</v>
      </c>
      <c r="AQ496" s="45">
        <f t="shared" si="123"/>
        <v>4344.1319371356894</v>
      </c>
      <c r="AR496" s="45">
        <f t="shared" si="124"/>
        <v>1553.719426024514</v>
      </c>
      <c r="AS496" s="45">
        <f t="shared" si="125"/>
        <v>2311.5651568208896</v>
      </c>
      <c r="AT496" s="45">
        <f t="shared" si="111"/>
        <v>1160.3164627458932</v>
      </c>
      <c r="AU496" s="45">
        <f t="shared" si="112"/>
        <v>84.132378336848546</v>
      </c>
      <c r="AV496" s="64">
        <f t="shared" si="113"/>
        <v>1755.6746368748081</v>
      </c>
      <c r="AW496" s="64">
        <f t="shared" si="114"/>
        <v>583.03438197436549</v>
      </c>
      <c r="AX496" s="64">
        <f t="shared" si="115"/>
        <v>-170.36936927530769</v>
      </c>
      <c r="AY496" s="64">
        <f t="shared" si="116"/>
        <v>31.596294406222192</v>
      </c>
      <c r="AZ496" s="64">
        <f t="shared" si="117"/>
        <v>-424.98880485360735</v>
      </c>
      <c r="BA496" s="64">
        <f t="shared" si="118"/>
        <v>-530.49829804373917</v>
      </c>
      <c r="BB496" s="65">
        <f t="shared" si="119"/>
        <v>10013.482423138068</v>
      </c>
      <c r="BC496" s="65">
        <f t="shared" si="120"/>
        <v>31016.85355625629</v>
      </c>
      <c r="BD496" s="66">
        <f t="shared" si="121"/>
        <v>24786.025067474937</v>
      </c>
    </row>
    <row r="497" spans="31:56" x14ac:dyDescent="0.25">
      <c r="AE497" s="71">
        <v>435</v>
      </c>
      <c r="AF497" s="17">
        <v>1.9477874452256718</v>
      </c>
      <c r="AG497" s="18">
        <v>-24408.389392193549</v>
      </c>
      <c r="AH497" s="20">
        <v>16067.627457812105</v>
      </c>
      <c r="AN497" s="23">
        <v>492</v>
      </c>
      <c r="AO497" s="58">
        <v>246</v>
      </c>
      <c r="AP497" s="45">
        <f t="shared" si="122"/>
        <v>11563.76425341663</v>
      </c>
      <c r="AQ497" s="45">
        <f t="shared" si="123"/>
        <v>5520.9476101303462</v>
      </c>
      <c r="AR497" s="45">
        <f t="shared" si="124"/>
        <v>2133.8776573974606</v>
      </c>
      <c r="AS497" s="45">
        <f t="shared" si="125"/>
        <v>2353.631345989314</v>
      </c>
      <c r="AT497" s="45">
        <f t="shared" si="111"/>
        <v>1357.0438393534616</v>
      </c>
      <c r="AU497" s="45">
        <f t="shared" si="112"/>
        <v>-8.5087520380994306</v>
      </c>
      <c r="AV497" s="64">
        <f t="shared" si="113"/>
        <v>1906.6347851461346</v>
      </c>
      <c r="AW497" s="64">
        <f t="shared" si="114"/>
        <v>447.27651543880216</v>
      </c>
      <c r="AX497" s="64">
        <f t="shared" si="115"/>
        <v>-163.02469163416882</v>
      </c>
      <c r="AY497" s="64">
        <f t="shared" si="116"/>
        <v>23.134000393908874</v>
      </c>
      <c r="AZ497" s="64">
        <f t="shared" si="117"/>
        <v>-386.56625415850414</v>
      </c>
      <c r="BA497" s="64">
        <f t="shared" si="118"/>
        <v>-478.91926787081047</v>
      </c>
      <c r="BB497" s="65">
        <f t="shared" si="119"/>
        <v>8665.2594845036165</v>
      </c>
      <c r="BC497" s="65">
        <f t="shared" si="120"/>
        <v>31879.979989900534</v>
      </c>
      <c r="BD497" s="66">
        <f t="shared" si="121"/>
        <v>26371.719266298827</v>
      </c>
    </row>
    <row r="498" spans="31:56" x14ac:dyDescent="0.25">
      <c r="AE498" s="71">
        <v>436</v>
      </c>
      <c r="AF498" s="17">
        <v>2.0106192982974678</v>
      </c>
      <c r="AG498" s="18">
        <v>-24780.679923115174</v>
      </c>
      <c r="AH498" s="20">
        <v>15778.849320818419</v>
      </c>
      <c r="AN498" s="23">
        <v>493</v>
      </c>
      <c r="AO498" s="58">
        <v>246.5</v>
      </c>
      <c r="AP498" s="45">
        <f t="shared" si="122"/>
        <v>12969.964041953726</v>
      </c>
      <c r="AQ498" s="45">
        <f t="shared" si="123"/>
        <v>6695.6360951154784</v>
      </c>
      <c r="AR498" s="45">
        <f t="shared" si="124"/>
        <v>2812.3995770741913</v>
      </c>
      <c r="AS498" s="45">
        <f t="shared" si="125"/>
        <v>2349.3769699702643</v>
      </c>
      <c r="AT498" s="45">
        <f t="shared" si="111"/>
        <v>1497.6054025332651</v>
      </c>
      <c r="AU498" s="45">
        <f t="shared" si="112"/>
        <v>-180.8732107039898</v>
      </c>
      <c r="AV498" s="64">
        <f t="shared" si="113"/>
        <v>2002.2682491830351</v>
      </c>
      <c r="AW498" s="64">
        <f t="shared" si="114"/>
        <v>229.09588473666227</v>
      </c>
      <c r="AX498" s="64">
        <f t="shared" si="115"/>
        <v>-152.4409590367645</v>
      </c>
      <c r="AY498" s="64">
        <f t="shared" si="116"/>
        <v>15.278160510763335</v>
      </c>
      <c r="AZ498" s="64">
        <f t="shared" si="117"/>
        <v>-352.22188761300538</v>
      </c>
      <c r="BA498" s="64">
        <f t="shared" si="118"/>
        <v>-425.24725595141541</v>
      </c>
      <c r="BB498" s="65">
        <f t="shared" si="119"/>
        <v>7075.9032542075265</v>
      </c>
      <c r="BC498" s="65">
        <f t="shared" si="120"/>
        <v>33135.137690126248</v>
      </c>
      <c r="BD498" s="66">
        <f t="shared" si="121"/>
        <v>28171.266092257683</v>
      </c>
    </row>
    <row r="499" spans="31:56" x14ac:dyDescent="0.25">
      <c r="AE499" s="71">
        <v>437</v>
      </c>
      <c r="AF499" s="17">
        <v>2.0734511513692637</v>
      </c>
      <c r="AG499" s="18">
        <v>-25134.103294465167</v>
      </c>
      <c r="AH499" s="20">
        <v>15467.264705660586</v>
      </c>
      <c r="AN499" s="23">
        <v>494</v>
      </c>
      <c r="AO499" s="58">
        <v>247</v>
      </c>
      <c r="AP499" s="45">
        <f t="shared" si="122"/>
        <v>14750.565181124139</v>
      </c>
      <c r="AQ499" s="45">
        <f t="shared" si="123"/>
        <v>7825.1062774246129</v>
      </c>
      <c r="AR499" s="45">
        <f t="shared" si="124"/>
        <v>3561.2022783408238</v>
      </c>
      <c r="AS499" s="45">
        <f t="shared" si="125"/>
        <v>2258.9403646182695</v>
      </c>
      <c r="AT499" s="45">
        <f t="shared" si="111"/>
        <v>1444.5511937119325</v>
      </c>
      <c r="AU499" s="45">
        <f t="shared" si="112"/>
        <v>-481.03377905022506</v>
      </c>
      <c r="AV499" s="64">
        <f t="shared" si="113"/>
        <v>1905.536961352962</v>
      </c>
      <c r="AW499" s="64">
        <f t="shared" si="114"/>
        <v>-118.01309081367603</v>
      </c>
      <c r="AX499" s="64">
        <f t="shared" si="115"/>
        <v>-139.31905602332213</v>
      </c>
      <c r="AY499" s="64">
        <f t="shared" si="116"/>
        <v>8.719401793926453</v>
      </c>
      <c r="AZ499" s="64">
        <f t="shared" si="117"/>
        <v>-321.66671161770722</v>
      </c>
      <c r="BA499" s="64">
        <f t="shared" si="118"/>
        <v>-371.74009003047547</v>
      </c>
      <c r="BB499" s="65">
        <f t="shared" si="119"/>
        <v>5259.4923718213659</v>
      </c>
      <c r="BC499" s="65">
        <f t="shared" si="120"/>
        <v>34818.557453060217</v>
      </c>
      <c r="BD499" s="66">
        <f t="shared" si="121"/>
        <v>30183.941120230833</v>
      </c>
    </row>
    <row r="500" spans="31:56" x14ac:dyDescent="0.25">
      <c r="AE500" s="71">
        <v>438</v>
      </c>
      <c r="AF500" s="17">
        <v>2.1362830044410597</v>
      </c>
      <c r="AG500" s="18">
        <v>-25467.264705660586</v>
      </c>
      <c r="AH500" s="20">
        <v>15134.103294465163</v>
      </c>
      <c r="AN500" s="23">
        <v>495</v>
      </c>
      <c r="AO500" s="58">
        <v>247.5</v>
      </c>
      <c r="AP500" s="45">
        <f t="shared" si="122"/>
        <v>16892.304118722532</v>
      </c>
      <c r="AQ500" s="45">
        <f t="shared" si="123"/>
        <v>8834.3180149711916</v>
      </c>
      <c r="AR500" s="45">
        <f t="shared" si="124"/>
        <v>4283.4778751967897</v>
      </c>
      <c r="AS500" s="45">
        <f t="shared" si="125"/>
        <v>2018.4234750931571</v>
      </c>
      <c r="AT500" s="45">
        <f t="shared" si="111"/>
        <v>963.29945767031847</v>
      </c>
      <c r="AU500" s="45">
        <f t="shared" si="112"/>
        <v>-911.05678152914356</v>
      </c>
      <c r="AV500" s="64">
        <f t="shared" si="113"/>
        <v>1383.2036580129231</v>
      </c>
      <c r="AW500" s="64">
        <f t="shared" si="114"/>
        <v>-593.89130396569476</v>
      </c>
      <c r="AX500" s="64">
        <f t="shared" si="115"/>
        <v>-124.95479582044902</v>
      </c>
      <c r="AY500" s="64">
        <f t="shared" si="116"/>
        <v>3.9481826334867089</v>
      </c>
      <c r="AZ500" s="64">
        <f t="shared" si="117"/>
        <v>-294.94940452215553</v>
      </c>
      <c r="BA500" s="64">
        <f t="shared" si="118"/>
        <v>-321.11366019693543</v>
      </c>
      <c r="BB500" s="65">
        <f t="shared" si="119"/>
        <v>3382.0375893217984</v>
      </c>
      <c r="BC500" s="65">
        <f t="shared" si="120"/>
        <v>36910.715485865789</v>
      </c>
      <c r="BD500" s="66">
        <f t="shared" si="121"/>
        <v>32362.751657815126</v>
      </c>
    </row>
    <row r="501" spans="31:56" x14ac:dyDescent="0.25">
      <c r="AE501" s="71">
        <v>439</v>
      </c>
      <c r="AF501" s="17">
        <v>2.1991148575128552</v>
      </c>
      <c r="AG501" s="18">
        <v>-25778.849320818419</v>
      </c>
      <c r="AH501" s="20">
        <v>14780.679923115171</v>
      </c>
      <c r="AN501" s="23">
        <v>496</v>
      </c>
      <c r="AO501" s="58">
        <v>248</v>
      </c>
      <c r="AP501" s="45">
        <f t="shared" si="122"/>
        <v>19274.867920738507</v>
      </c>
      <c r="AQ501" s="45">
        <f t="shared" si="123"/>
        <v>9615.7655571354844</v>
      </c>
      <c r="AR501" s="45">
        <f t="shared" si="124"/>
        <v>4765.127604031949</v>
      </c>
      <c r="AS501" s="45">
        <f t="shared" si="125"/>
        <v>1562.8950843285852</v>
      </c>
      <c r="AT501" s="45">
        <f t="shared" si="111"/>
        <v>-30.882823534586322</v>
      </c>
      <c r="AU501" s="45">
        <f t="shared" si="112"/>
        <v>-1305.0179209662115</v>
      </c>
      <c r="AV501" s="64">
        <f t="shared" si="113"/>
        <v>352.87236163382187</v>
      </c>
      <c r="AW501" s="64">
        <f t="shared" si="114"/>
        <v>-1029.5988967558337</v>
      </c>
      <c r="AX501" s="64">
        <f t="shared" si="115"/>
        <v>-111.07871345854804</v>
      </c>
      <c r="AY501" s="64">
        <f t="shared" si="116"/>
        <v>1.0867068392435177</v>
      </c>
      <c r="AZ501" s="64">
        <f t="shared" si="117"/>
        <v>-272.67647170986015</v>
      </c>
      <c r="BA501" s="64">
        <f t="shared" si="118"/>
        <v>-276.50573104962143</v>
      </c>
      <c r="BB501" s="65">
        <f t="shared" si="119"/>
        <v>2236.5778379334183</v>
      </c>
      <c r="BC501" s="65">
        <f t="shared" si="120"/>
        <v>39276.747399683416</v>
      </c>
      <c r="BD501" s="66">
        <f t="shared" si="121"/>
        <v>34571.738841619714</v>
      </c>
    </row>
    <row r="502" spans="31:56" x14ac:dyDescent="0.25">
      <c r="AE502" s="71">
        <v>440</v>
      </c>
      <c r="AF502" s="17">
        <v>2.2619467105846511</v>
      </c>
      <c r="AG502" s="18">
        <v>-26067.627457812105</v>
      </c>
      <c r="AH502" s="20">
        <v>14408.389392193549</v>
      </c>
      <c r="AN502" s="23">
        <v>497</v>
      </c>
      <c r="AO502" s="58">
        <v>248.5</v>
      </c>
      <c r="AP502" s="45">
        <f t="shared" si="122"/>
        <v>21649.711016870835</v>
      </c>
      <c r="AQ502" s="45">
        <f t="shared" si="123"/>
        <v>10070.958619058225</v>
      </c>
      <c r="AR502" s="45">
        <f t="shared" si="124"/>
        <v>4749.6861922646558</v>
      </c>
      <c r="AS502" s="45">
        <f t="shared" si="125"/>
        <v>910.38612384547946</v>
      </c>
      <c r="AT502" s="45">
        <f t="shared" si="111"/>
        <v>-1110.5757986482863</v>
      </c>
      <c r="AU502" s="45">
        <f t="shared" si="112"/>
        <v>-1418.2512397256207</v>
      </c>
      <c r="AV502" s="64">
        <f t="shared" si="113"/>
        <v>-755.59536285876777</v>
      </c>
      <c r="AW502" s="64">
        <f t="shared" si="114"/>
        <v>-1177.5422427298206</v>
      </c>
      <c r="AX502" s="64">
        <f t="shared" si="115"/>
        <v>-99.293484491345382</v>
      </c>
      <c r="AY502" s="64">
        <f t="shared" si="116"/>
        <v>-0.16916632478268975</v>
      </c>
      <c r="AZ502" s="64">
        <f t="shared" si="117"/>
        <v>-255.68695129817323</v>
      </c>
      <c r="BA502" s="64">
        <f t="shared" si="118"/>
        <v>-240.53983067101737</v>
      </c>
      <c r="BB502" s="65">
        <f t="shared" si="119"/>
        <v>3054.7298833276209</v>
      </c>
      <c r="BC502" s="65">
        <f t="shared" si="120"/>
        <v>41649.771462932062</v>
      </c>
      <c r="BD502" s="66">
        <f t="shared" si="121"/>
        <v>36589.070271889344</v>
      </c>
    </row>
    <row r="503" spans="31:56" x14ac:dyDescent="0.25">
      <c r="AE503" s="71">
        <v>441</v>
      </c>
      <c r="AF503" s="17">
        <v>2.3247785636564471</v>
      </c>
      <c r="AG503" s="18">
        <v>-26332.459441265113</v>
      </c>
      <c r="AH503" s="20">
        <v>14018.700962342475</v>
      </c>
      <c r="AN503" s="23">
        <v>498</v>
      </c>
      <c r="AO503" s="58">
        <v>249</v>
      </c>
      <c r="AP503" s="45">
        <f t="shared" si="122"/>
        <v>23746.91016334109</v>
      </c>
      <c r="AQ503" s="45">
        <f t="shared" si="123"/>
        <v>10171.58887104956</v>
      </c>
      <c r="AR503" s="45">
        <f t="shared" si="124"/>
        <v>4194.3982929405129</v>
      </c>
      <c r="AS503" s="45">
        <f t="shared" si="125"/>
        <v>201.26050398266909</v>
      </c>
      <c r="AT503" s="45">
        <f t="shared" si="111"/>
        <v>-1805.4023354855569</v>
      </c>
      <c r="AU503" s="45">
        <f t="shared" si="112"/>
        <v>-1262.932808012883</v>
      </c>
      <c r="AV503" s="64">
        <f t="shared" si="113"/>
        <v>-1470.7643623454846</v>
      </c>
      <c r="AW503" s="64">
        <f t="shared" si="114"/>
        <v>-1048.6714468955386</v>
      </c>
      <c r="AX503" s="64">
        <f t="shared" si="115"/>
        <v>-90.348071443256373</v>
      </c>
      <c r="AY503" s="64">
        <f t="shared" si="116"/>
        <v>-0.35437299508856029</v>
      </c>
      <c r="AZ503" s="64">
        <f t="shared" si="117"/>
        <v>-244.2899016968158</v>
      </c>
      <c r="BA503" s="64">
        <f t="shared" si="118"/>
        <v>-213.90698812225588</v>
      </c>
      <c r="BB503" s="65">
        <f t="shared" si="119"/>
        <v>4601.8173440570863</v>
      </c>
      <c r="BC503" s="65">
        <f t="shared" si="120"/>
        <v>43747.246674277732</v>
      </c>
      <c r="BD503" s="66">
        <f t="shared" si="121"/>
        <v>38209.86430533808</v>
      </c>
    </row>
    <row r="504" spans="31:56" x14ac:dyDescent="0.25">
      <c r="AE504" s="71">
        <v>442</v>
      </c>
      <c r="AF504" s="17">
        <v>2.387610416728243</v>
      </c>
      <c r="AG504" s="18">
        <v>-26572.300100328976</v>
      </c>
      <c r="AH504" s="20">
        <v>13613.152555762865</v>
      </c>
      <c r="AN504" s="23">
        <v>499</v>
      </c>
      <c r="AO504" s="58">
        <v>249.5</v>
      </c>
      <c r="AP504" s="45">
        <f t="shared" si="122"/>
        <v>25392.758725939955</v>
      </c>
      <c r="AQ504" s="45">
        <f t="shared" si="123"/>
        <v>9956.4859210376744</v>
      </c>
      <c r="AR504" s="45">
        <f t="shared" si="124"/>
        <v>3291.6971251977343</v>
      </c>
      <c r="AS504" s="45">
        <f t="shared" si="125"/>
        <v>-430.20590002377241</v>
      </c>
      <c r="AT504" s="45">
        <f t="shared" si="111"/>
        <v>-2120.1526561444953</v>
      </c>
      <c r="AU504" s="45">
        <f t="shared" si="112"/>
        <v>-1014.4375883135884</v>
      </c>
      <c r="AV504" s="64">
        <f t="shared" si="113"/>
        <v>-1797.8300050719813</v>
      </c>
      <c r="AW504" s="64">
        <f t="shared" si="114"/>
        <v>-818.93967824578442</v>
      </c>
      <c r="AX504" s="64">
        <f t="shared" si="115"/>
        <v>-84.141190949204329</v>
      </c>
      <c r="AY504" s="64">
        <f t="shared" si="116"/>
        <v>8.0658821576656145E-2</v>
      </c>
      <c r="AZ504" s="64">
        <f t="shared" si="117"/>
        <v>-238.18146012330962</v>
      </c>
      <c r="BA504" s="64">
        <f t="shared" si="118"/>
        <v>-195.57856888938068</v>
      </c>
      <c r="BB504" s="65">
        <f t="shared" si="119"/>
        <v>5925.8897860538918</v>
      </c>
      <c r="BC504" s="65">
        <f t="shared" si="120"/>
        <v>45392.779582511423</v>
      </c>
      <c r="BD504" s="66">
        <f t="shared" si="121"/>
        <v>39326.14871176875</v>
      </c>
    </row>
    <row r="505" spans="31:56" x14ac:dyDescent="0.25">
      <c r="AE505" s="71">
        <v>443</v>
      </c>
      <c r="AF505" s="17">
        <v>2.450442269800039</v>
      </c>
      <c r="AG505" s="18">
        <v>-26786.202893495145</v>
      </c>
      <c r="AH505" s="20">
        <v>13193.344686738044</v>
      </c>
      <c r="AN505" s="23">
        <v>500</v>
      </c>
      <c r="AO505" s="58">
        <v>250</v>
      </c>
      <c r="AP505" s="45">
        <f t="shared" si="122"/>
        <v>26508.569124502701</v>
      </c>
      <c r="AQ505" s="45">
        <f t="shared" si="123"/>
        <v>9487.7735739473919</v>
      </c>
      <c r="AR505" s="45">
        <f t="shared" si="124"/>
        <v>2231.6207971254867</v>
      </c>
      <c r="AS505" s="45">
        <f t="shared" si="125"/>
        <v>-937.42469418056658</v>
      </c>
      <c r="AT505" s="45">
        <f t="shared" si="111"/>
        <v>-2242.7984861752448</v>
      </c>
      <c r="AU505" s="45">
        <f t="shared" si="112"/>
        <v>-771.3565818853308</v>
      </c>
      <c r="AV505" s="64">
        <f t="shared" si="113"/>
        <v>-1925.5776498205203</v>
      </c>
      <c r="AW505" s="64">
        <f t="shared" si="114"/>
        <v>-588.0881486665337</v>
      </c>
      <c r="AX505" s="64">
        <f t="shared" si="115"/>
        <v>-80.270677806075071</v>
      </c>
      <c r="AY505" s="64">
        <f t="shared" si="116"/>
        <v>0.88406853152926135</v>
      </c>
      <c r="AZ505" s="64">
        <f t="shared" si="117"/>
        <v>-236.95015854864943</v>
      </c>
      <c r="BA505" s="64">
        <f t="shared" si="118"/>
        <v>-184.15250175032639</v>
      </c>
      <c r="BB505" s="65">
        <f t="shared" si="119"/>
        <v>6805.3446517948996</v>
      </c>
      <c r="BC505" s="65">
        <f t="shared" si="120"/>
        <v>46511.389765520791</v>
      </c>
      <c r="BD505" s="66">
        <f t="shared" si="121"/>
        <v>39905.400422530292</v>
      </c>
    </row>
    <row r="506" spans="31:56" x14ac:dyDescent="0.25">
      <c r="AE506" s="71">
        <v>444</v>
      </c>
      <c r="AF506" s="17">
        <v>2.5132741228718345</v>
      </c>
      <c r="AG506" s="18">
        <v>-26973.323644161886</v>
      </c>
      <c r="AH506" s="20">
        <v>12760.934145135083</v>
      </c>
      <c r="AN506" s="23">
        <v>501</v>
      </c>
      <c r="AO506" s="58">
        <v>250.5</v>
      </c>
      <c r="AP506" s="45">
        <f t="shared" si="122"/>
        <v>27063.679901521631</v>
      </c>
      <c r="AQ506" s="45">
        <f t="shared" si="123"/>
        <v>8826.2220813857766</v>
      </c>
      <c r="AR506" s="45">
        <f t="shared" si="124"/>
        <v>1110.2215540378643</v>
      </c>
      <c r="AS506" s="45">
        <f t="shared" si="125"/>
        <v>-1323.102985123232</v>
      </c>
      <c r="AT506" s="45">
        <f t="shared" si="111"/>
        <v>-2299.1798811904</v>
      </c>
      <c r="AU506" s="45">
        <f t="shared" si="112"/>
        <v>-548.51481295281735</v>
      </c>
      <c r="AV506" s="64">
        <f t="shared" si="113"/>
        <v>-1980.3727580185052</v>
      </c>
      <c r="AW506" s="64">
        <f t="shared" si="114"/>
        <v>-371.81952150651972</v>
      </c>
      <c r="AX506" s="64">
        <f t="shared" si="115"/>
        <v>-78.391786540992214</v>
      </c>
      <c r="AY506" s="64">
        <f t="shared" si="116"/>
        <v>1.9551073829133661</v>
      </c>
      <c r="AZ506" s="64">
        <f t="shared" si="117"/>
        <v>-240.41533663090217</v>
      </c>
      <c r="BA506" s="64">
        <f t="shared" si="118"/>
        <v>-178.65039882921101</v>
      </c>
      <c r="BB506" s="65">
        <f t="shared" si="119"/>
        <v>7187.1022505816527</v>
      </c>
      <c r="BC506" s="65">
        <f t="shared" si="120"/>
        <v>47078.314758231492</v>
      </c>
      <c r="BD506" s="66">
        <f t="shared" si="121"/>
        <v>39947.070324352419</v>
      </c>
    </row>
    <row r="507" spans="31:56" x14ac:dyDescent="0.25">
      <c r="AE507" s="71">
        <v>445</v>
      </c>
      <c r="AF507" s="17">
        <v>2.5761059759436304</v>
      </c>
      <c r="AG507" s="18">
        <v>-27132.923872213651</v>
      </c>
      <c r="AH507" s="20">
        <v>12317.627457812103</v>
      </c>
      <c r="AN507" s="23">
        <v>502</v>
      </c>
      <c r="AO507" s="58">
        <v>251</v>
      </c>
      <c r="AP507" s="45">
        <f t="shared" si="122"/>
        <v>27043.995708242965</v>
      </c>
      <c r="AQ507" s="45">
        <f t="shared" si="123"/>
        <v>8027.5418855859562</v>
      </c>
      <c r="AR507" s="45">
        <f t="shared" si="124"/>
        <v>-39.368386557335725</v>
      </c>
      <c r="AS507" s="45">
        <f t="shared" si="125"/>
        <v>-1597.3603915996407</v>
      </c>
      <c r="AT507" s="45">
        <f t="shared" si="111"/>
        <v>-2336.7576046278127</v>
      </c>
      <c r="AU507" s="45">
        <f t="shared" si="112"/>
        <v>-325.97045964705848</v>
      </c>
      <c r="AV507" s="64">
        <f t="shared" si="113"/>
        <v>-2009.7029709547389</v>
      </c>
      <c r="AW507" s="64">
        <f t="shared" si="114"/>
        <v>-150.51151912606929</v>
      </c>
      <c r="AX507" s="64">
        <f t="shared" si="115"/>
        <v>-78.324747010780811</v>
      </c>
      <c r="AY507" s="64">
        <f t="shared" si="116"/>
        <v>3.2839957676845861</v>
      </c>
      <c r="AZ507" s="64">
        <f t="shared" si="117"/>
        <v>-248.72988666229338</v>
      </c>
      <c r="BA507" s="64">
        <f t="shared" si="118"/>
        <v>-178.74293628867377</v>
      </c>
      <c r="BB507" s="65">
        <f t="shared" si="119"/>
        <v>7063.7225298558333</v>
      </c>
      <c r="BC507" s="65">
        <f t="shared" si="120"/>
        <v>47085.328109829497</v>
      </c>
      <c r="BD507" s="66">
        <f t="shared" si="121"/>
        <v>39459.920758185886</v>
      </c>
    </row>
    <row r="508" spans="31:56" x14ac:dyDescent="0.25">
      <c r="AE508" s="71">
        <v>446</v>
      </c>
      <c r="AF508" s="17">
        <v>2.6389378290154264</v>
      </c>
      <c r="AG508" s="18">
        <v>-27264.373708464733</v>
      </c>
      <c r="AH508" s="20">
        <v>11865.174153736411</v>
      </c>
      <c r="AN508" s="23">
        <v>503</v>
      </c>
      <c r="AO508" s="58">
        <v>251.5</v>
      </c>
      <c r="AP508" s="45">
        <f t="shared" si="122"/>
        <v>26440.122113807345</v>
      </c>
      <c r="AQ508" s="45">
        <f t="shared" si="123"/>
        <v>7147.3690748743711</v>
      </c>
      <c r="AR508" s="45">
        <f t="shared" si="124"/>
        <v>-1207.7471888712421</v>
      </c>
      <c r="AS508" s="45">
        <f t="shared" si="125"/>
        <v>-1760.3456214231699</v>
      </c>
      <c r="AT508" s="45">
        <f t="shared" si="111"/>
        <v>-2343.6848494651758</v>
      </c>
      <c r="AU508" s="45">
        <f t="shared" si="112"/>
        <v>-70.324494131068164</v>
      </c>
      <c r="AV508" s="64">
        <f t="shared" si="113"/>
        <v>-2001.2440160910444</v>
      </c>
      <c r="AW508" s="64">
        <f t="shared" si="114"/>
        <v>109.57874964565072</v>
      </c>
      <c r="AX508" s="64">
        <f t="shared" si="115"/>
        <v>-80.070384861284083</v>
      </c>
      <c r="AY508" s="64">
        <f t="shared" si="116"/>
        <v>4.9184034331834772</v>
      </c>
      <c r="AZ508" s="64">
        <f t="shared" si="117"/>
        <v>-262.37044851284719</v>
      </c>
      <c r="BA508" s="64">
        <f t="shared" si="118"/>
        <v>-184.82164720990235</v>
      </c>
      <c r="BB508" s="65">
        <f t="shared" si="119"/>
        <v>6449.7690974255311</v>
      </c>
      <c r="BC508" s="65">
        <f t="shared" si="120"/>
        <v>46527.652478287797</v>
      </c>
      <c r="BD508" s="66">
        <f t="shared" si="121"/>
        <v>38457.603090543998</v>
      </c>
    </row>
    <row r="509" spans="31:56" x14ac:dyDescent="0.25">
      <c r="AE509" s="71">
        <v>447</v>
      </c>
      <c r="AF509" s="17">
        <v>2.7017696820872223</v>
      </c>
      <c r="AG509" s="18">
        <v>-27367.154380465166</v>
      </c>
      <c r="AH509" s="20">
        <v>11405.359859392935</v>
      </c>
      <c r="AN509" s="23">
        <v>504</v>
      </c>
      <c r="AO509" s="58">
        <v>252</v>
      </c>
      <c r="AP509" s="45">
        <f t="shared" si="122"/>
        <v>25250.327307005431</v>
      </c>
      <c r="AQ509" s="45">
        <f t="shared" si="123"/>
        <v>6249.6151406300187</v>
      </c>
      <c r="AR509" s="45">
        <f t="shared" si="124"/>
        <v>-2379.58961360383</v>
      </c>
      <c r="AS509" s="45">
        <f t="shared" si="125"/>
        <v>-1795.5078684887039</v>
      </c>
      <c r="AT509" s="45">
        <f t="shared" si="111"/>
        <v>-2239.2805109835676</v>
      </c>
      <c r="AU509" s="45">
        <f t="shared" si="112"/>
        <v>255.02731388445682</v>
      </c>
      <c r="AV509" s="64">
        <f t="shared" si="113"/>
        <v>-1873.4724256378458</v>
      </c>
      <c r="AW509" s="64">
        <f t="shared" si="114"/>
        <v>446.17438465961379</v>
      </c>
      <c r="AX509" s="64">
        <f t="shared" si="115"/>
        <v>-83.808451578649354</v>
      </c>
      <c r="AY509" s="64">
        <f t="shared" si="116"/>
        <v>6.946114350849089</v>
      </c>
      <c r="AZ509" s="64">
        <f t="shared" si="117"/>
        <v>-281.99963376707245</v>
      </c>
      <c r="BA509" s="64">
        <f t="shared" si="118"/>
        <v>-198.09318512600606</v>
      </c>
      <c r="BB509" s="65">
        <f t="shared" si="119"/>
        <v>5397.1658421090406</v>
      </c>
      <c r="BC509" s="65">
        <f t="shared" si="120"/>
        <v>45405.478832234694</v>
      </c>
      <c r="BD509" s="66">
        <f t="shared" si="121"/>
        <v>36967.938078906307</v>
      </c>
    </row>
    <row r="510" spans="31:56" x14ac:dyDescent="0.25">
      <c r="AE510" s="71">
        <v>448</v>
      </c>
      <c r="AF510" s="17">
        <v>2.7646015351590183</v>
      </c>
      <c r="AG510" s="18">
        <v>-27440.860259858586</v>
      </c>
      <c r="AH510" s="20">
        <v>10939.999251732281</v>
      </c>
      <c r="AN510" s="23">
        <v>505</v>
      </c>
      <c r="AO510" s="58">
        <v>252.5</v>
      </c>
      <c r="AP510" s="45">
        <f t="shared" si="122"/>
        <v>23500.712372457627</v>
      </c>
      <c r="AQ510" s="45">
        <f t="shared" si="123"/>
        <v>5415.6180348567814</v>
      </c>
      <c r="AR510" s="45">
        <f t="shared" si="124"/>
        <v>-3499.229869095614</v>
      </c>
      <c r="AS510" s="45">
        <f t="shared" si="125"/>
        <v>-1667.9942115464755</v>
      </c>
      <c r="AT510" s="45">
        <f t="shared" si="111"/>
        <v>-1853.6796197671792</v>
      </c>
      <c r="AU510" s="45">
        <f t="shared" si="112"/>
        <v>655.68116636557227</v>
      </c>
      <c r="AV510" s="64">
        <f t="shared" si="113"/>
        <v>-1455.8253043532216</v>
      </c>
      <c r="AW510" s="64">
        <f t="shared" si="114"/>
        <v>866.82243096214916</v>
      </c>
      <c r="AX510" s="64">
        <f t="shared" si="115"/>
        <v>-89.873474692622253</v>
      </c>
      <c r="AY510" s="64">
        <f t="shared" si="116"/>
        <v>9.4714388352517851</v>
      </c>
      <c r="AZ510" s="64">
        <f t="shared" si="117"/>
        <v>-307.98084072133531</v>
      </c>
      <c r="BA510" s="64">
        <f t="shared" si="118"/>
        <v>-220.61270343182869</v>
      </c>
      <c r="BB510" s="65">
        <f t="shared" si="119"/>
        <v>4074.2650001309698</v>
      </c>
      <c r="BC510" s="65">
        <f t="shared" si="120"/>
        <v>43741.611023299294</v>
      </c>
      <c r="BD510" s="66">
        <f t="shared" si="121"/>
        <v>35058.352292752272</v>
      </c>
    </row>
    <row r="511" spans="31:56" x14ac:dyDescent="0.25">
      <c r="AE511" s="71">
        <v>449</v>
      </c>
      <c r="AF511" s="17">
        <v>2.8274333882308142</v>
      </c>
      <c r="AG511" s="18">
        <v>-27485.200463212037</v>
      </c>
      <c r="AH511" s="20">
        <v>10470.928896469848</v>
      </c>
      <c r="AN511" s="23">
        <v>506</v>
      </c>
      <c r="AO511" s="58">
        <v>253</v>
      </c>
      <c r="AP511" s="45">
        <f t="shared" si="122"/>
        <v>21287.677532968024</v>
      </c>
      <c r="AQ511" s="45">
        <f t="shared" si="123"/>
        <v>4745.5412206749361</v>
      </c>
      <c r="AR511" s="45">
        <f t="shared" si="124"/>
        <v>-4426.0696789792037</v>
      </c>
      <c r="AS511" s="45">
        <f t="shared" si="125"/>
        <v>-1340.1536283636894</v>
      </c>
      <c r="AT511" s="45">
        <f t="shared" si="111"/>
        <v>-1028.2759623780501</v>
      </c>
      <c r="AU511" s="45">
        <f t="shared" si="112"/>
        <v>1020.873816904697</v>
      </c>
      <c r="AV511" s="64">
        <f t="shared" si="113"/>
        <v>-590.47627596978646</v>
      </c>
      <c r="AW511" s="64">
        <f t="shared" si="114"/>
        <v>1263.0821930854765</v>
      </c>
      <c r="AX511" s="64">
        <f t="shared" si="115"/>
        <v>-98.63119711663343</v>
      </c>
      <c r="AY511" s="64">
        <f t="shared" si="116"/>
        <v>12.552257491136729</v>
      </c>
      <c r="AZ511" s="64">
        <f t="shared" si="117"/>
        <v>-339.16848929163018</v>
      </c>
      <c r="BA511" s="64">
        <f t="shared" si="118"/>
        <v>-254.76063367191625</v>
      </c>
      <c r="BB511" s="65">
        <f t="shared" si="119"/>
        <v>3040.5849101630984</v>
      </c>
      <c r="BC511" s="65">
        <f t="shared" si="120"/>
        <v>41620.687802221371</v>
      </c>
      <c r="BD511" s="66">
        <f t="shared" si="121"/>
        <v>32877.475392351604</v>
      </c>
    </row>
    <row r="512" spans="31:56" x14ac:dyDescent="0.25">
      <c r="AE512" s="71">
        <v>450</v>
      </c>
      <c r="AF512" s="17">
        <v>2.8902652413026098</v>
      </c>
      <c r="AG512" s="18">
        <v>-27500</v>
      </c>
      <c r="AH512" s="20">
        <v>9999.9999999999982</v>
      </c>
      <c r="AN512" s="23">
        <v>507</v>
      </c>
      <c r="AO512" s="58">
        <v>253.5</v>
      </c>
      <c r="AP512" s="45">
        <f t="shared" si="122"/>
        <v>18817.57370288391</v>
      </c>
      <c r="AQ512" s="45">
        <f t="shared" si="123"/>
        <v>4330.6828607192656</v>
      </c>
      <c r="AR512" s="45">
        <f t="shared" si="124"/>
        <v>-4940.2076601682284</v>
      </c>
      <c r="AS512" s="45">
        <f t="shared" si="125"/>
        <v>-829.71671991134099</v>
      </c>
      <c r="AT512" s="45">
        <f t="shared" si="111"/>
        <v>44.761227752307377</v>
      </c>
      <c r="AU512" s="45">
        <f t="shared" si="112"/>
        <v>1125.2654926476207</v>
      </c>
      <c r="AV512" s="64">
        <f t="shared" si="113"/>
        <v>526.25380132526004</v>
      </c>
      <c r="AW512" s="64">
        <f t="shared" si="114"/>
        <v>1410.5447385766618</v>
      </c>
      <c r="AX512" s="64">
        <f t="shared" si="115"/>
        <v>-110.17114638683906</v>
      </c>
      <c r="AY512" s="64">
        <f t="shared" si="116"/>
        <v>16.090525730584492</v>
      </c>
      <c r="AZ512" s="64">
        <f t="shared" si="117"/>
        <v>-371.32142718611362</v>
      </c>
      <c r="BA512" s="64">
        <f t="shared" si="118"/>
        <v>-301.36977165962548</v>
      </c>
      <c r="BB512" s="65">
        <f t="shared" si="119"/>
        <v>3382.7064722571313</v>
      </c>
      <c r="BC512" s="65">
        <f t="shared" si="120"/>
        <v>39229.391851067056</v>
      </c>
      <c r="BD512" s="66">
        <f t="shared" si="121"/>
        <v>30674.942819083019</v>
      </c>
    </row>
    <row r="513" spans="31:56" x14ac:dyDescent="0.25">
      <c r="AE513" s="71">
        <v>451</v>
      </c>
      <c r="AF513" s="17">
        <v>2.9530970943744057</v>
      </c>
      <c r="AG513" s="18">
        <v>-27485.200463212037</v>
      </c>
      <c r="AH513" s="20">
        <v>9529.0711035301501</v>
      </c>
      <c r="AN513" s="23">
        <v>508</v>
      </c>
      <c r="AO513" s="58">
        <v>254</v>
      </c>
      <c r="AP513" s="45">
        <f t="shared" si="122"/>
        <v>16358.660179737873</v>
      </c>
      <c r="AQ513" s="45">
        <f t="shared" si="123"/>
        <v>4197.1408739255003</v>
      </c>
      <c r="AR513" s="45">
        <f t="shared" si="124"/>
        <v>-4917.8270462920746</v>
      </c>
      <c r="AS513" s="45">
        <f t="shared" si="125"/>
        <v>-267.08397358753064</v>
      </c>
      <c r="AT513" s="45">
        <f t="shared" si="111"/>
        <v>856.24437092441917</v>
      </c>
      <c r="AU513" s="45">
        <f t="shared" si="112"/>
        <v>912.23778201370453</v>
      </c>
      <c r="AV513" s="64">
        <f t="shared" si="113"/>
        <v>1377.9836852121541</v>
      </c>
      <c r="AW513" s="64">
        <f t="shared" si="114"/>
        <v>1249.8932302223589</v>
      </c>
      <c r="AX513" s="64">
        <f t="shared" si="115"/>
        <v>-124.03945889105012</v>
      </c>
      <c r="AY513" s="64">
        <f t="shared" si="116"/>
        <v>19.796755503669445</v>
      </c>
      <c r="AZ513" s="64">
        <f t="shared" si="117"/>
        <v>-397.69985539668482</v>
      </c>
      <c r="BA513" s="64">
        <f t="shared" si="118"/>
        <v>-357.45220371232369</v>
      </c>
      <c r="BB513" s="65">
        <f t="shared" si="119"/>
        <v>4916.1198208872229</v>
      </c>
      <c r="BC513" s="65">
        <f t="shared" si="120"/>
        <v>36818.817798820251</v>
      </c>
      <c r="BD513" s="66">
        <f t="shared" si="121"/>
        <v>28717.983606215486</v>
      </c>
    </row>
    <row r="514" spans="31:56" x14ac:dyDescent="0.25">
      <c r="AE514" s="71">
        <v>452</v>
      </c>
      <c r="AF514" s="17">
        <v>3.0159289474462017</v>
      </c>
      <c r="AG514" s="18">
        <v>-27440.860259858586</v>
      </c>
      <c r="AH514" s="20">
        <v>9060.0007482677174</v>
      </c>
      <c r="AN514" s="23">
        <v>509</v>
      </c>
      <c r="AO514" s="58">
        <v>254.5</v>
      </c>
      <c r="AP514" s="45">
        <f t="shared" si="122"/>
        <v>14113.807749322941</v>
      </c>
      <c r="AQ514" s="45">
        <f t="shared" si="123"/>
        <v>4291.6583326351611</v>
      </c>
      <c r="AR514" s="45">
        <f t="shared" si="124"/>
        <v>-4489.7048608298646</v>
      </c>
      <c r="AS514" s="45">
        <f t="shared" si="125"/>
        <v>189.03491741932163</v>
      </c>
      <c r="AT514" s="45">
        <f t="shared" si="111"/>
        <v>1213.9029479661194</v>
      </c>
      <c r="AU514" s="45">
        <f t="shared" si="112"/>
        <v>569.27316453485082</v>
      </c>
      <c r="AV514" s="64">
        <f t="shared" si="113"/>
        <v>1766.230840326378</v>
      </c>
      <c r="AW514" s="64">
        <f t="shared" si="114"/>
        <v>962.7058984612886</v>
      </c>
      <c r="AX514" s="64">
        <f t="shared" si="115"/>
        <v>-139.40956747737818</v>
      </c>
      <c r="AY514" s="64">
        <f t="shared" si="116"/>
        <v>23.327722566420984</v>
      </c>
      <c r="AZ514" s="64">
        <f t="shared" si="117"/>
        <v>-412.91832488288037</v>
      </c>
      <c r="BA514" s="64">
        <f t="shared" si="118"/>
        <v>-416.76045649285879</v>
      </c>
      <c r="BB514" s="65">
        <f t="shared" si="119"/>
        <v>6703.7836679355978</v>
      </c>
      <c r="BC514" s="65">
        <f t="shared" si="120"/>
        <v>34588.105524141385</v>
      </c>
      <c r="BD514" s="66">
        <f t="shared" si="121"/>
        <v>27157.056687005119</v>
      </c>
    </row>
    <row r="515" spans="31:56" x14ac:dyDescent="0.25">
      <c r="AE515" s="71">
        <v>453</v>
      </c>
      <c r="AF515" s="17">
        <v>3.0787608005179976</v>
      </c>
      <c r="AG515" s="18">
        <v>-27367.154380465166</v>
      </c>
      <c r="AH515" s="20">
        <v>8594.6401406070636</v>
      </c>
      <c r="AN515" s="23">
        <v>510</v>
      </c>
      <c r="AO515" s="58">
        <v>255</v>
      </c>
      <c r="AP515" s="45">
        <f t="shared" si="122"/>
        <v>12172.431055899538</v>
      </c>
      <c r="AQ515" s="45">
        <f t="shared" si="123"/>
        <v>4528.4940824785344</v>
      </c>
      <c r="AR515" s="45">
        <f t="shared" si="124"/>
        <v>-3882.7533868468049</v>
      </c>
      <c r="AS515" s="45">
        <f t="shared" si="125"/>
        <v>473.67149968674704</v>
      </c>
      <c r="AT515" s="45">
        <f t="shared" si="111"/>
        <v>1276.2824155804224</v>
      </c>
      <c r="AU515" s="45">
        <f t="shared" si="112"/>
        <v>254.96592267033566</v>
      </c>
      <c r="AV515" s="64">
        <f t="shared" si="113"/>
        <v>1847.4233893184971</v>
      </c>
      <c r="AW515" s="64">
        <f t="shared" si="114"/>
        <v>701.31985712689766</v>
      </c>
      <c r="AX515" s="64">
        <f t="shared" si="115"/>
        <v>-155.39865579011297</v>
      </c>
      <c r="AY515" s="64">
        <f t="shared" si="116"/>
        <v>26.428362322174262</v>
      </c>
      <c r="AZ515" s="64">
        <f t="shared" si="117"/>
        <v>-415.74231794796185</v>
      </c>
      <c r="BA515" s="64">
        <f t="shared" si="118"/>
        <v>-472.78229677873628</v>
      </c>
      <c r="BB515" s="65">
        <f t="shared" si="119"/>
        <v>8372.6150629603835</v>
      </c>
      <c r="BC515" s="65">
        <f t="shared" si="120"/>
        <v>32634.379066439757</v>
      </c>
      <c r="BD515" s="66">
        <f t="shared" si="121"/>
        <v>26004.893183764896</v>
      </c>
    </row>
    <row r="516" spans="31:56" x14ac:dyDescent="0.25">
      <c r="AE516" s="71">
        <v>454</v>
      </c>
      <c r="AF516" s="17">
        <v>3.1415926535897936</v>
      </c>
      <c r="AG516" s="18">
        <v>-27264.373708464733</v>
      </c>
      <c r="AH516" s="20">
        <v>8134.8258462635877</v>
      </c>
      <c r="AN516" s="23">
        <v>511</v>
      </c>
      <c r="AO516" s="58">
        <v>255.5</v>
      </c>
      <c r="AP516" s="45">
        <f t="shared" si="122"/>
        <v>10550.124966371241</v>
      </c>
      <c r="AQ516" s="45">
        <f t="shared" si="123"/>
        <v>4829.0713129894921</v>
      </c>
      <c r="AR516" s="45">
        <f t="shared" si="124"/>
        <v>-3244.612179056594</v>
      </c>
      <c r="AS516" s="45">
        <f t="shared" si="125"/>
        <v>601.15446102191481</v>
      </c>
      <c r="AT516" s="45">
        <f t="shared" si="111"/>
        <v>1217.4354766710462</v>
      </c>
      <c r="AU516" s="45">
        <f t="shared" si="112"/>
        <v>15.900132119398108</v>
      </c>
      <c r="AV516" s="64">
        <f t="shared" si="113"/>
        <v>1797.2136282912852</v>
      </c>
      <c r="AW516" s="64">
        <f t="shared" si="114"/>
        <v>507.96750426932806</v>
      </c>
      <c r="AX516" s="64">
        <f t="shared" si="115"/>
        <v>-171.17391432333667</v>
      </c>
      <c r="AY516" s="64">
        <f t="shared" si="116"/>
        <v>28.972978179851825</v>
      </c>
      <c r="AZ516" s="64">
        <f t="shared" si="117"/>
        <v>-408.60423729690223</v>
      </c>
      <c r="BA516" s="64">
        <f t="shared" si="118"/>
        <v>-521.04035032978175</v>
      </c>
      <c r="BB516" s="65">
        <f t="shared" si="119"/>
        <v>9820.0813745251526</v>
      </c>
      <c r="BC516" s="65">
        <f t="shared" si="120"/>
        <v>30984.651667350525</v>
      </c>
      <c r="BD516" s="66">
        <f t="shared" si="121"/>
        <v>25199.175692974266</v>
      </c>
    </row>
    <row r="517" spans="31:56" x14ac:dyDescent="0.25">
      <c r="AE517" s="71">
        <v>455</v>
      </c>
      <c r="AF517" s="17">
        <v>3.2044245066615891</v>
      </c>
      <c r="AG517" s="18">
        <v>-27132.923872213651</v>
      </c>
      <c r="AH517" s="20">
        <v>7682.3725421878917</v>
      </c>
      <c r="AN517" s="23">
        <v>512</v>
      </c>
      <c r="AO517" s="58">
        <v>256</v>
      </c>
      <c r="AP517" s="45">
        <f t="shared" si="122"/>
        <v>9232.1777460107041</v>
      </c>
      <c r="AQ517" s="45">
        <f t="shared" si="123"/>
        <v>5133.623576530299</v>
      </c>
      <c r="AR517" s="45">
        <f t="shared" si="124"/>
        <v>-2635.8944407210711</v>
      </c>
      <c r="AS517" s="45">
        <f t="shared" si="125"/>
        <v>609.10452708161392</v>
      </c>
      <c r="AT517" s="45">
        <f t="shared" si="111"/>
        <v>1128.1608281354554</v>
      </c>
      <c r="AU517" s="45">
        <f t="shared" si="112"/>
        <v>-152.99317010048412</v>
      </c>
      <c r="AV517" s="64">
        <f t="shared" si="113"/>
        <v>1709.7452823994993</v>
      </c>
      <c r="AW517" s="64">
        <f t="shared" si="114"/>
        <v>375.73994359999608</v>
      </c>
      <c r="AX517" s="64">
        <f t="shared" si="115"/>
        <v>-185.94841858711922</v>
      </c>
      <c r="AY517" s="64">
        <f t="shared" si="116"/>
        <v>30.955442596722804</v>
      </c>
      <c r="AZ517" s="64">
        <f t="shared" si="117"/>
        <v>-395.63603567692462</v>
      </c>
      <c r="BA517" s="64">
        <f t="shared" si="118"/>
        <v>-559.68855629720304</v>
      </c>
      <c r="BB517" s="65">
        <f t="shared" si="119"/>
        <v>11024.778159720965</v>
      </c>
      <c r="BC517" s="65">
        <f t="shared" si="120"/>
        <v>29634.47038955252</v>
      </c>
      <c r="BD517" s="66">
        <f t="shared" si="121"/>
        <v>24655.986731734327</v>
      </c>
    </row>
    <row r="518" spans="31:56" x14ac:dyDescent="0.25">
      <c r="AE518" s="71">
        <v>456</v>
      </c>
      <c r="AF518" s="17">
        <v>3.267256359733385</v>
      </c>
      <c r="AG518" s="18">
        <v>-26973.323644161886</v>
      </c>
      <c r="AH518" s="20">
        <v>7239.0658548649126</v>
      </c>
      <c r="AN518" s="23">
        <v>513</v>
      </c>
      <c r="AO518" s="58">
        <v>256.5</v>
      </c>
      <c r="AP518" s="45">
        <f t="shared" si="122"/>
        <v>8196.2707326840318</v>
      </c>
      <c r="AQ518" s="45">
        <f t="shared" si="123"/>
        <v>5399.9275475459854</v>
      </c>
      <c r="AR518" s="45">
        <f t="shared" si="124"/>
        <v>-2071.8140266533433</v>
      </c>
      <c r="AS518" s="45">
        <f t="shared" si="125"/>
        <v>532.60794203137186</v>
      </c>
      <c r="AT518" s="45">
        <f t="shared" ref="AT518:AT581" si="126">AV518+AX518+AZ518</f>
        <v>1044.2158105689562</v>
      </c>
      <c r="AU518" s="45">
        <f t="shared" ref="AU518:AU581" si="127">AW518+AY518+BA518</f>
        <v>-267.51158393835664</v>
      </c>
      <c r="AV518" s="64">
        <f t="shared" ref="AV518:AV581" si="128">$K$22*(($K$18-AP518)/((BB518^2+$K$23^2)^(3/2)))</f>
        <v>1624.1723706524067</v>
      </c>
      <c r="AW518" s="64">
        <f t="shared" ref="AW518:AW581" si="129">$K$22*(($L$18-AQ518)/((BB518^2+$K$23^2)^(3/2)))</f>
        <v>288.96627298023799</v>
      </c>
      <c r="AX518" s="64">
        <f t="shared" ref="AX518:AX581" si="130">$K$30*(($K$26-AP518)/((BC518^2+$K$31^2)^(3/2)))</f>
        <v>-198.9834306129743</v>
      </c>
      <c r="AY518" s="64">
        <f t="shared" ref="AY518:AY581" si="131">$K$30*(($L$26-AQ518)/((BC518^2+$K$31^2)^(3/2)))</f>
        <v>32.463094369303001</v>
      </c>
      <c r="AZ518" s="64">
        <f t="shared" ref="AZ518:AZ581" si="132">$K$38*(($K$34-AP518)/((BD518^2+$K$39^2)^(3/2)))</f>
        <v>-380.97312947047641</v>
      </c>
      <c r="BA518" s="64">
        <f t="shared" ref="BA518:BA581" si="133">$K$38*(($L$34-AQ518)/((BD518^2+$K$39^2)^(3/2)))</f>
        <v>-588.94095128789763</v>
      </c>
      <c r="BB518" s="65">
        <f t="shared" ref="BB518:BB581" si="134">SQRT(($K$18-AP518)^2+($L$18-AQ518)^2)</f>
        <v>11989.092080789427</v>
      </c>
      <c r="BC518" s="65">
        <f t="shared" ref="BC518:BC581" si="135">SQRT(($K$26-AP518)^2+($L$26-AQ518)^2)</f>
        <v>28569.045307791446</v>
      </c>
      <c r="BD518" s="66">
        <f t="shared" ref="BD518:BD581" si="136">SQRT(($K$34-AP518)^2+($L$34-AQ518)^2)</f>
        <v>24296.061516126825</v>
      </c>
    </row>
    <row r="519" spans="31:56" x14ac:dyDescent="0.25">
      <c r="AE519" s="71">
        <v>457</v>
      </c>
      <c r="AF519" s="17">
        <v>3.330088212805181</v>
      </c>
      <c r="AG519" s="18">
        <v>-26786.202893495145</v>
      </c>
      <c r="AH519" s="20">
        <v>6806.6553132619556</v>
      </c>
      <c r="AN519" s="23">
        <v>514</v>
      </c>
      <c r="AO519" s="58">
        <v>257</v>
      </c>
      <c r="AP519" s="45">
        <f t="shared" ref="AP519:AP582" si="137">AP518+AR518*$K$5+AT518*$K$5^2</f>
        <v>7421.4176719995994</v>
      </c>
      <c r="AQ519" s="45">
        <f t="shared" ref="AQ519:AQ582" si="138">AQ518+AS518*$K$5+AU518*$K$5^2</f>
        <v>5599.3536225770822</v>
      </c>
      <c r="AR519" s="45">
        <f t="shared" ref="AR519:AR582" si="139">AR518+AT518*$K$5</f>
        <v>-1549.7061213688653</v>
      </c>
      <c r="AS519" s="45">
        <f t="shared" ref="AS519:AS582" si="140">AS518+AU518*$K$5</f>
        <v>398.85215006219357</v>
      </c>
      <c r="AT519" s="45">
        <f t="shared" si="126"/>
        <v>976.99750475732628</v>
      </c>
      <c r="AU519" s="45">
        <f t="shared" si="127"/>
        <v>-341.58034387275933</v>
      </c>
      <c r="AV519" s="64">
        <f t="shared" si="128"/>
        <v>1554.5091169772243</v>
      </c>
      <c r="AW519" s="64">
        <f t="shared" si="129"/>
        <v>234.88911904457393</v>
      </c>
      <c r="AX519" s="64">
        <f t="shared" si="130"/>
        <v>-209.6156525053573</v>
      </c>
      <c r="AY519" s="64">
        <f t="shared" si="131"/>
        <v>33.639557694741761</v>
      </c>
      <c r="AZ519" s="64">
        <f t="shared" si="132"/>
        <v>-367.89595971454071</v>
      </c>
      <c r="BA519" s="64">
        <f t="shared" si="133"/>
        <v>-610.10902061207503</v>
      </c>
      <c r="BB519" s="65">
        <f t="shared" si="134"/>
        <v>12721.367459290484</v>
      </c>
      <c r="BC519" s="65">
        <f t="shared" si="135"/>
        <v>27772.285388159497</v>
      </c>
      <c r="BD519" s="66">
        <f t="shared" si="136"/>
        <v>24054.625057361493</v>
      </c>
    </row>
    <row r="520" spans="31:56" x14ac:dyDescent="0.25">
      <c r="AE520" s="71">
        <v>458</v>
      </c>
      <c r="AF520" s="17">
        <v>3.3929200658769769</v>
      </c>
      <c r="AG520" s="18">
        <v>-26572.300100328976</v>
      </c>
      <c r="AH520" s="20">
        <v>6386.8474442371353</v>
      </c>
      <c r="AN520" s="23">
        <v>515</v>
      </c>
      <c r="AO520" s="58">
        <v>257.5</v>
      </c>
      <c r="AP520" s="45">
        <f t="shared" si="137"/>
        <v>6890.813987504499</v>
      </c>
      <c r="AQ520" s="45">
        <f t="shared" si="138"/>
        <v>5713.3846116399891</v>
      </c>
      <c r="AR520" s="45">
        <f t="shared" si="139"/>
        <v>-1061.2073689902022</v>
      </c>
      <c r="AS520" s="45">
        <f t="shared" si="140"/>
        <v>228.06197812581391</v>
      </c>
      <c r="AT520" s="45">
        <f t="shared" si="126"/>
        <v>928.83477712370563</v>
      </c>
      <c r="AU520" s="45">
        <f t="shared" si="127"/>
        <v>-385.03944059876193</v>
      </c>
      <c r="AV520" s="64">
        <f t="shared" si="128"/>
        <v>1504.7835673757222</v>
      </c>
      <c r="AW520" s="64">
        <f t="shared" si="129"/>
        <v>205.08286899446884</v>
      </c>
      <c r="AX520" s="64">
        <f t="shared" si="130"/>
        <v>-217.29580336478347</v>
      </c>
      <c r="AY520" s="64">
        <f t="shared" si="131"/>
        <v>34.638725884696541</v>
      </c>
      <c r="AZ520" s="64">
        <f t="shared" si="132"/>
        <v>-358.65298688723306</v>
      </c>
      <c r="BA520" s="64">
        <f t="shared" si="133"/>
        <v>-624.76103547792729</v>
      </c>
      <c r="BB520" s="65">
        <f t="shared" si="134"/>
        <v>13230.372347599765</v>
      </c>
      <c r="BC520" s="65">
        <f t="shared" si="135"/>
        <v>27230.331404488865</v>
      </c>
      <c r="BD520" s="66">
        <f t="shared" si="136"/>
        <v>23883.797004562672</v>
      </c>
    </row>
    <row r="521" spans="31:56" x14ac:dyDescent="0.25">
      <c r="AE521" s="71">
        <v>459</v>
      </c>
      <c r="AF521" s="17">
        <v>3.4557519189487729</v>
      </c>
      <c r="AG521" s="18">
        <v>-26332.459441265113</v>
      </c>
      <c r="AH521" s="20">
        <v>5981.2990376575244</v>
      </c>
      <c r="AN521" s="23">
        <v>516</v>
      </c>
      <c r="AO521" s="58">
        <v>258</v>
      </c>
      <c r="AP521" s="45">
        <f t="shared" si="137"/>
        <v>6592.4189972903241</v>
      </c>
      <c r="AQ521" s="45">
        <f t="shared" si="138"/>
        <v>5731.1557405532058</v>
      </c>
      <c r="AR521" s="45">
        <f t="shared" si="139"/>
        <v>-596.78998042834939</v>
      </c>
      <c r="AS521" s="45">
        <f t="shared" si="140"/>
        <v>35.542257826432945</v>
      </c>
      <c r="AT521" s="45">
        <f t="shared" si="126"/>
        <v>899.18606358516308</v>
      </c>
      <c r="AU521" s="45">
        <f t="shared" si="127"/>
        <v>-403.94516046335804</v>
      </c>
      <c r="AV521" s="64">
        <f t="shared" si="128"/>
        <v>1475.4278073504661</v>
      </c>
      <c r="AW521" s="64">
        <f t="shared" si="129"/>
        <v>194.65122058427997</v>
      </c>
      <c r="AX521" s="64">
        <f t="shared" si="130"/>
        <v>-221.62542483361324</v>
      </c>
      <c r="AY521" s="64">
        <f t="shared" si="131"/>
        <v>35.577223066650291</v>
      </c>
      <c r="AZ521" s="64">
        <f t="shared" si="132"/>
        <v>-354.61631893168982</v>
      </c>
      <c r="BA521" s="64">
        <f t="shared" si="133"/>
        <v>-634.17360411428831</v>
      </c>
      <c r="BB521" s="65">
        <f t="shared" si="134"/>
        <v>13523.758292664035</v>
      </c>
      <c r="BC521" s="65">
        <f t="shared" si="135"/>
        <v>26932.875439485833</v>
      </c>
      <c r="BD521" s="66">
        <f t="shared" si="136"/>
        <v>23752.157724042881</v>
      </c>
    </row>
    <row r="522" spans="31:56" x14ac:dyDescent="0.25">
      <c r="AE522" s="71">
        <v>460</v>
      </c>
      <c r="AF522" s="17">
        <v>3.5185837720205688</v>
      </c>
      <c r="AG522" s="18">
        <v>-26067.627457812105</v>
      </c>
      <c r="AH522" s="20">
        <v>5591.6106078064495</v>
      </c>
      <c r="AN522" s="23">
        <v>517</v>
      </c>
      <c r="AO522" s="58">
        <v>258.5</v>
      </c>
      <c r="AP522" s="45">
        <f t="shared" si="137"/>
        <v>6518.8205229724399</v>
      </c>
      <c r="AQ522" s="45">
        <f t="shared" si="138"/>
        <v>5647.940579350583</v>
      </c>
      <c r="AR522" s="45">
        <f t="shared" si="139"/>
        <v>-147.19694863576785</v>
      </c>
      <c r="AS522" s="45">
        <f t="shared" si="140"/>
        <v>-166.43032240524607</v>
      </c>
      <c r="AT522" s="45">
        <f t="shared" si="126"/>
        <v>886.8844919635394</v>
      </c>
      <c r="AU522" s="45">
        <f t="shared" si="127"/>
        <v>-401.1730985535724</v>
      </c>
      <c r="AV522" s="64">
        <f t="shared" si="128"/>
        <v>1465.7687220853536</v>
      </c>
      <c r="AW522" s="64">
        <f t="shared" si="129"/>
        <v>201.36893621640246</v>
      </c>
      <c r="AX522" s="64">
        <f t="shared" si="130"/>
        <v>-222.38542958646579</v>
      </c>
      <c r="AY522" s="64">
        <f t="shared" si="131"/>
        <v>36.496140656351614</v>
      </c>
      <c r="AZ522" s="64">
        <f t="shared" si="132"/>
        <v>-356.49880053534849</v>
      </c>
      <c r="BA522" s="64">
        <f t="shared" si="133"/>
        <v>-639.03817542632646</v>
      </c>
      <c r="BB522" s="65">
        <f t="shared" si="134"/>
        <v>13607.803797433489</v>
      </c>
      <c r="BC522" s="65">
        <f t="shared" si="135"/>
        <v>26873.560670861756</v>
      </c>
      <c r="BD522" s="66">
        <f t="shared" si="136"/>
        <v>23643.618090487835</v>
      </c>
    </row>
    <row r="523" spans="31:56" x14ac:dyDescent="0.25">
      <c r="AE523" s="71">
        <v>461</v>
      </c>
      <c r="AF523" s="17">
        <v>3.5814156250923643</v>
      </c>
      <c r="AG523" s="18">
        <v>-25778.849320818419</v>
      </c>
      <c r="AH523" s="20">
        <v>5219.3200768848255</v>
      </c>
      <c r="AN523" s="23">
        <v>518</v>
      </c>
      <c r="AO523" s="58">
        <v>259</v>
      </c>
      <c r="AP523" s="45">
        <f t="shared" si="137"/>
        <v>6666.9431716454401</v>
      </c>
      <c r="AQ523" s="45">
        <f t="shared" si="138"/>
        <v>5464.4321435095671</v>
      </c>
      <c r="AR523" s="45">
        <f t="shared" si="139"/>
        <v>296.24529734600185</v>
      </c>
      <c r="AS523" s="45">
        <f t="shared" si="140"/>
        <v>-367.01687168203227</v>
      </c>
      <c r="AT523" s="45">
        <f t="shared" si="126"/>
        <v>890.82734784480886</v>
      </c>
      <c r="AU523" s="45">
        <f t="shared" si="127"/>
        <v>-376.81873306682866</v>
      </c>
      <c r="AV523" s="64">
        <f t="shared" si="128"/>
        <v>1474.869258647848</v>
      </c>
      <c r="AW523" s="64">
        <f t="shared" si="129"/>
        <v>225.16940369179662</v>
      </c>
      <c r="AX523" s="64">
        <f t="shared" si="130"/>
        <v>-219.55433519429351</v>
      </c>
      <c r="AY523" s="64">
        <f t="shared" si="131"/>
        <v>37.342247255365464</v>
      </c>
      <c r="AZ523" s="64">
        <f t="shared" si="132"/>
        <v>-364.4875756087456</v>
      </c>
      <c r="BA523" s="64">
        <f t="shared" si="133"/>
        <v>-639.33038401399074</v>
      </c>
      <c r="BB523" s="65">
        <f t="shared" si="134"/>
        <v>13487.547623141474</v>
      </c>
      <c r="BC523" s="65">
        <f t="shared" si="135"/>
        <v>27049.902659724983</v>
      </c>
      <c r="BD523" s="66">
        <f t="shared" si="136"/>
        <v>23556.539345300949</v>
      </c>
    </row>
    <row r="524" spans="31:56" x14ac:dyDescent="0.25">
      <c r="AE524" s="71">
        <v>462</v>
      </c>
      <c r="AF524" s="17">
        <v>3.6442474781641603</v>
      </c>
      <c r="AG524" s="18">
        <v>-25467.264705660586</v>
      </c>
      <c r="AH524" s="20">
        <v>4865.8967055348348</v>
      </c>
      <c r="AN524" s="23">
        <v>519</v>
      </c>
      <c r="AO524" s="58">
        <v>259.5</v>
      </c>
      <c r="AP524" s="45">
        <f t="shared" si="137"/>
        <v>7037.7726572796437</v>
      </c>
      <c r="AQ524" s="45">
        <f t="shared" si="138"/>
        <v>5186.7190244018439</v>
      </c>
      <c r="AR524" s="45">
        <f t="shared" si="139"/>
        <v>741.65897126840628</v>
      </c>
      <c r="AS524" s="45">
        <f t="shared" si="140"/>
        <v>-555.42623821544657</v>
      </c>
      <c r="AT524" s="45">
        <f t="shared" si="126"/>
        <v>910.03686213563196</v>
      </c>
      <c r="AU524" s="45">
        <f t="shared" si="127"/>
        <v>-328.32870432950273</v>
      </c>
      <c r="AV524" s="64">
        <f t="shared" si="128"/>
        <v>1501.5871114013241</v>
      </c>
      <c r="AW524" s="64">
        <f t="shared" si="129"/>
        <v>267.97808788308726</v>
      </c>
      <c r="AX524" s="64">
        <f t="shared" si="130"/>
        <v>-213.31478017600023</v>
      </c>
      <c r="AY524" s="64">
        <f t="shared" si="131"/>
        <v>37.974428820363805</v>
      </c>
      <c r="AZ524" s="64">
        <f t="shared" si="132"/>
        <v>-378.23546908969189</v>
      </c>
      <c r="BA524" s="64">
        <f t="shared" si="133"/>
        <v>-634.28122103295379</v>
      </c>
      <c r="BB524" s="65">
        <f t="shared" si="134"/>
        <v>13167.02724826039</v>
      </c>
      <c r="BC524" s="65">
        <f t="shared" si="135"/>
        <v>27462.862633323461</v>
      </c>
      <c r="BD524" s="66">
        <f t="shared" si="136"/>
        <v>23503.437951042324</v>
      </c>
    </row>
    <row r="525" spans="31:56" x14ac:dyDescent="0.25">
      <c r="AE525" s="71">
        <v>463</v>
      </c>
      <c r="AF525" s="17">
        <v>3.7070793312359562</v>
      </c>
      <c r="AG525" s="18">
        <v>-25134.103294465163</v>
      </c>
      <c r="AH525" s="20">
        <v>4532.7352943394135</v>
      </c>
      <c r="AN525" s="23">
        <v>520</v>
      </c>
      <c r="AO525" s="58">
        <v>260</v>
      </c>
      <c r="AP525" s="45">
        <f t="shared" si="137"/>
        <v>7636.1113584477553</v>
      </c>
      <c r="AQ525" s="45">
        <f t="shared" si="138"/>
        <v>4826.923729211745</v>
      </c>
      <c r="AR525" s="45">
        <f t="shared" si="139"/>
        <v>1196.6774023362223</v>
      </c>
      <c r="AS525" s="45">
        <f t="shared" si="140"/>
        <v>-719.59059038019791</v>
      </c>
      <c r="AT525" s="45">
        <f t="shared" si="126"/>
        <v>943.31962018657396</v>
      </c>
      <c r="AU525" s="45">
        <f t="shared" si="127"/>
        <v>-250.42957410829598</v>
      </c>
      <c r="AV525" s="64">
        <f t="shared" si="128"/>
        <v>1544.0662368166822</v>
      </c>
      <c r="AW525" s="64">
        <f t="shared" si="129"/>
        <v>333.82756330307814</v>
      </c>
      <c r="AX525" s="64">
        <f t="shared" si="130"/>
        <v>-204.0453487901101</v>
      </c>
      <c r="AY525" s="64">
        <f t="shared" si="131"/>
        <v>38.194308102908089</v>
      </c>
      <c r="AZ525" s="64">
        <f t="shared" si="132"/>
        <v>-396.70126783999825</v>
      </c>
      <c r="BA525" s="64">
        <f t="shared" si="133"/>
        <v>-622.45144551428223</v>
      </c>
      <c r="BB525" s="65">
        <f t="shared" si="134"/>
        <v>12649.548572583761</v>
      </c>
      <c r="BC525" s="65">
        <f t="shared" si="135"/>
        <v>28116.105155585075</v>
      </c>
      <c r="BD525" s="66">
        <f t="shared" si="136"/>
        <v>23511.235927255551</v>
      </c>
    </row>
    <row r="526" spans="31:56" x14ac:dyDescent="0.25">
      <c r="AE526" s="71">
        <v>464</v>
      </c>
      <c r="AF526" s="17">
        <v>3.7699111843077522</v>
      </c>
      <c r="AG526" s="18">
        <v>-24780.679923115171</v>
      </c>
      <c r="AH526" s="20">
        <v>4221.15067918158</v>
      </c>
      <c r="AN526" s="23">
        <v>521</v>
      </c>
      <c r="AO526" s="58">
        <v>260.5</v>
      </c>
      <c r="AP526" s="45">
        <f t="shared" si="137"/>
        <v>8470.2799646625099</v>
      </c>
      <c r="AQ526" s="45">
        <f t="shared" si="138"/>
        <v>4404.5210404945719</v>
      </c>
      <c r="AR526" s="45">
        <f t="shared" si="139"/>
        <v>1668.3372124295092</v>
      </c>
      <c r="AS526" s="45">
        <f t="shared" si="140"/>
        <v>-844.80537743434593</v>
      </c>
      <c r="AT526" s="45">
        <f t="shared" si="126"/>
        <v>988.29942121187378</v>
      </c>
      <c r="AU526" s="45">
        <f t="shared" si="127"/>
        <v>-135.02677114568291</v>
      </c>
      <c r="AV526" s="64">
        <f t="shared" si="128"/>
        <v>1598.474172323437</v>
      </c>
      <c r="AW526" s="64">
        <f t="shared" si="129"/>
        <v>429.15553478963699</v>
      </c>
      <c r="AX526" s="64">
        <f t="shared" si="130"/>
        <v>-192.29400215203742</v>
      </c>
      <c r="AY526" s="64">
        <f t="shared" si="131"/>
        <v>37.792991302380109</v>
      </c>
      <c r="AZ526" s="64">
        <f t="shared" si="132"/>
        <v>-417.88074895952587</v>
      </c>
      <c r="BA526" s="64">
        <f t="shared" si="133"/>
        <v>-601.97529723770003</v>
      </c>
      <c r="BB526" s="65">
        <f t="shared" si="134"/>
        <v>11938.024714415846</v>
      </c>
      <c r="BC526" s="65">
        <f t="shared" si="135"/>
        <v>29014.931088192014</v>
      </c>
      <c r="BD526" s="66">
        <f t="shared" si="136"/>
        <v>23621.68239430428</v>
      </c>
    </row>
    <row r="527" spans="31:56" x14ac:dyDescent="0.25">
      <c r="AE527" s="71">
        <v>465</v>
      </c>
      <c r="AF527" s="17">
        <v>3.8327430373795481</v>
      </c>
      <c r="AG527" s="18">
        <v>-24408.389392193549</v>
      </c>
      <c r="AH527" s="20">
        <v>3932.3725421878953</v>
      </c>
      <c r="AN527" s="23">
        <v>522</v>
      </c>
      <c r="AO527" s="58">
        <v>261</v>
      </c>
      <c r="AP527" s="45">
        <f t="shared" si="137"/>
        <v>9551.5234261802325</v>
      </c>
      <c r="AQ527" s="45">
        <f t="shared" si="138"/>
        <v>3948.361658990978</v>
      </c>
      <c r="AR527" s="45">
        <f t="shared" si="139"/>
        <v>2162.4869230354461</v>
      </c>
      <c r="AS527" s="45">
        <f t="shared" si="140"/>
        <v>-912.31876300718739</v>
      </c>
      <c r="AT527" s="45">
        <f t="shared" si="126"/>
        <v>1039.0639760952781</v>
      </c>
      <c r="AU527" s="45">
        <f t="shared" si="127"/>
        <v>28.55391219730825</v>
      </c>
      <c r="AV527" s="64">
        <f t="shared" si="128"/>
        <v>1656.3569521327161</v>
      </c>
      <c r="AW527" s="64">
        <f t="shared" si="129"/>
        <v>563.02761613416385</v>
      </c>
      <c r="AX527" s="64">
        <f t="shared" si="130"/>
        <v>-178.73209302702139</v>
      </c>
      <c r="AY527" s="64">
        <f t="shared" si="131"/>
        <v>36.601225978518769</v>
      </c>
      <c r="AZ527" s="64">
        <f t="shared" si="132"/>
        <v>-438.56088301041649</v>
      </c>
      <c r="BA527" s="64">
        <f t="shared" si="133"/>
        <v>-571.07492991537436</v>
      </c>
      <c r="BB527" s="65">
        <f t="shared" si="134"/>
        <v>11035.614963335111</v>
      </c>
      <c r="BC527" s="65">
        <f t="shared" si="135"/>
        <v>30164.795099891686</v>
      </c>
      <c r="BD527" s="66">
        <f t="shared" si="136"/>
        <v>23891.154086451988</v>
      </c>
    </row>
    <row r="528" spans="31:56" x14ac:dyDescent="0.25">
      <c r="AE528" s="71">
        <v>466</v>
      </c>
      <c r="AF528" s="17">
        <v>3.8955748904513436</v>
      </c>
      <c r="AG528" s="18">
        <v>-24018.700962342471</v>
      </c>
      <c r="AH528" s="20">
        <v>3667.5405587348851</v>
      </c>
      <c r="AN528" s="23">
        <v>523</v>
      </c>
      <c r="AO528" s="58">
        <v>261.5</v>
      </c>
      <c r="AP528" s="45">
        <f t="shared" si="137"/>
        <v>10892.532881721774</v>
      </c>
      <c r="AQ528" s="45">
        <f t="shared" si="138"/>
        <v>3499.3407555367116</v>
      </c>
      <c r="AR528" s="45">
        <f t="shared" si="139"/>
        <v>2682.0189110830852</v>
      </c>
      <c r="AS528" s="45">
        <f t="shared" si="140"/>
        <v>-898.04180690853332</v>
      </c>
      <c r="AT528" s="45">
        <f t="shared" si="126"/>
        <v>1080.8663118847217</v>
      </c>
      <c r="AU528" s="45">
        <f t="shared" si="127"/>
        <v>252.1046054764663</v>
      </c>
      <c r="AV528" s="64">
        <f t="shared" si="128"/>
        <v>1699.3243711074012</v>
      </c>
      <c r="AW528" s="64">
        <f t="shared" si="129"/>
        <v>746.46635187608945</v>
      </c>
      <c r="AX528" s="64">
        <f t="shared" si="130"/>
        <v>-164.09427829779162</v>
      </c>
      <c r="AY528" s="64">
        <f t="shared" si="131"/>
        <v>34.530059133196509</v>
      </c>
      <c r="AZ528" s="64">
        <f t="shared" si="132"/>
        <v>-454.36378092488792</v>
      </c>
      <c r="BA528" s="64">
        <f t="shared" si="133"/>
        <v>-528.8918055328196</v>
      </c>
      <c r="BB528" s="65">
        <f t="shared" si="134"/>
        <v>9947.4233699400102</v>
      </c>
      <c r="BC528" s="65">
        <f t="shared" si="135"/>
        <v>31569.085486609951</v>
      </c>
      <c r="BD528" s="66">
        <f t="shared" si="136"/>
        <v>24388.485188425897</v>
      </c>
    </row>
    <row r="529" spans="31:56" x14ac:dyDescent="0.25">
      <c r="AE529" s="71">
        <v>467</v>
      </c>
      <c r="AF529" s="17">
        <v>3.9584067435231396</v>
      </c>
      <c r="AG529" s="18">
        <v>-23613.152555762863</v>
      </c>
      <c r="AH529" s="20">
        <v>3427.6998996710236</v>
      </c>
      <c r="AN529" s="23">
        <v>524</v>
      </c>
      <c r="AO529" s="58">
        <v>262</v>
      </c>
      <c r="AP529" s="45">
        <f t="shared" si="137"/>
        <v>12503.758915234495</v>
      </c>
      <c r="AQ529" s="45">
        <f t="shared" si="138"/>
        <v>3113.3460034515615</v>
      </c>
      <c r="AR529" s="45">
        <f t="shared" si="139"/>
        <v>3222.452067025446</v>
      </c>
      <c r="AS529" s="45">
        <f t="shared" si="140"/>
        <v>-771.98950417030017</v>
      </c>
      <c r="AT529" s="45">
        <f t="shared" si="126"/>
        <v>1079.5806622332898</v>
      </c>
      <c r="AU529" s="45">
        <f t="shared" si="127"/>
        <v>543.57300126499445</v>
      </c>
      <c r="AV529" s="64">
        <f t="shared" si="128"/>
        <v>1689.1287039601179</v>
      </c>
      <c r="AW529" s="64">
        <f t="shared" si="129"/>
        <v>988.44515486165437</v>
      </c>
      <c r="AX529" s="64">
        <f t="shared" si="130"/>
        <v>-149.11707453640452</v>
      </c>
      <c r="AY529" s="64">
        <f t="shared" si="131"/>
        <v>31.593813502856921</v>
      </c>
      <c r="AZ529" s="64">
        <f t="shared" si="132"/>
        <v>-460.43096719042353</v>
      </c>
      <c r="BA529" s="64">
        <f t="shared" si="133"/>
        <v>-476.46596709951694</v>
      </c>
      <c r="BB529" s="65">
        <f t="shared" si="134"/>
        <v>8685.4109681903192</v>
      </c>
      <c r="BC529" s="65">
        <f t="shared" si="135"/>
        <v>33225.296791569257</v>
      </c>
      <c r="BD529" s="66">
        <f t="shared" si="136"/>
        <v>25188.784798068478</v>
      </c>
    </row>
    <row r="530" spans="31:56" x14ac:dyDescent="0.25">
      <c r="AE530" s="71">
        <v>468</v>
      </c>
      <c r="AF530" s="17">
        <v>4.0212385965949355</v>
      </c>
      <c r="AG530" s="18">
        <v>-23193.344686738041</v>
      </c>
      <c r="AH530" s="20">
        <v>3213.7971065048514</v>
      </c>
      <c r="AN530" s="23">
        <v>525</v>
      </c>
      <c r="AO530" s="58">
        <v>262.5</v>
      </c>
      <c r="AP530" s="45">
        <f t="shared" si="137"/>
        <v>14384.880114305541</v>
      </c>
      <c r="AQ530" s="45">
        <f t="shared" si="138"/>
        <v>2863.24450168266</v>
      </c>
      <c r="AR530" s="45">
        <f t="shared" si="139"/>
        <v>3762.2423981420907</v>
      </c>
      <c r="AS530" s="45">
        <f t="shared" si="140"/>
        <v>-500.20300353780294</v>
      </c>
      <c r="AT530" s="45">
        <f t="shared" si="126"/>
        <v>965.68074087630214</v>
      </c>
      <c r="AU530" s="45">
        <f t="shared" si="127"/>
        <v>893.03396934465093</v>
      </c>
      <c r="AV530" s="64">
        <f t="shared" si="128"/>
        <v>1553.090398262505</v>
      </c>
      <c r="AW530" s="64">
        <f t="shared" si="129"/>
        <v>1282.4838276158914</v>
      </c>
      <c r="AX530" s="64">
        <f t="shared" si="130"/>
        <v>-134.49295608045</v>
      </c>
      <c r="AY530" s="64">
        <f t="shared" si="131"/>
        <v>27.91469217287657</v>
      </c>
      <c r="AZ530" s="64">
        <f t="shared" si="132"/>
        <v>-452.91670130575278</v>
      </c>
      <c r="BA530" s="64">
        <f t="shared" si="133"/>
        <v>-417.36455044411707</v>
      </c>
      <c r="BB530" s="65">
        <f t="shared" si="134"/>
        <v>7282.1063492575713</v>
      </c>
      <c r="BC530" s="65">
        <f t="shared" si="135"/>
        <v>35117.705783805512</v>
      </c>
      <c r="BD530" s="66">
        <f t="shared" si="136"/>
        <v>26360.369518898897</v>
      </c>
    </row>
    <row r="531" spans="31:56" x14ac:dyDescent="0.25">
      <c r="AE531" s="71">
        <v>469</v>
      </c>
      <c r="AF531" s="17">
        <v>4.0840704496667311</v>
      </c>
      <c r="AG531" s="18">
        <v>-22760.934145135085</v>
      </c>
      <c r="AH531" s="20">
        <v>3026.6763558381144</v>
      </c>
      <c r="AN531" s="23">
        <v>526</v>
      </c>
      <c r="AO531" s="58">
        <v>263</v>
      </c>
      <c r="AP531" s="45">
        <f t="shared" si="137"/>
        <v>16507.421498595661</v>
      </c>
      <c r="AQ531" s="45">
        <f t="shared" si="138"/>
        <v>2836.4014922499214</v>
      </c>
      <c r="AR531" s="45">
        <f t="shared" si="139"/>
        <v>4245.0827685802415</v>
      </c>
      <c r="AS531" s="45">
        <f t="shared" si="140"/>
        <v>-53.686018865477479</v>
      </c>
      <c r="AT531" s="45">
        <f t="shared" si="126"/>
        <v>627.90889555509511</v>
      </c>
      <c r="AU531" s="45">
        <f t="shared" si="127"/>
        <v>1241.5321183429865</v>
      </c>
      <c r="AV531" s="64">
        <f t="shared" si="128"/>
        <v>1179.6252732420833</v>
      </c>
      <c r="AW531" s="64">
        <f t="shared" si="129"/>
        <v>1575.1395886403209</v>
      </c>
      <c r="AX531" s="64">
        <f t="shared" si="130"/>
        <v>-120.85234499597485</v>
      </c>
      <c r="AY531" s="64">
        <f t="shared" si="131"/>
        <v>23.71401875929708</v>
      </c>
      <c r="AZ531" s="64">
        <f t="shared" si="132"/>
        <v>-430.86403269101334</v>
      </c>
      <c r="BA531" s="64">
        <f t="shared" si="133"/>
        <v>-357.32148905663144</v>
      </c>
      <c r="BB531" s="65">
        <f t="shared" si="134"/>
        <v>5826.4273470078169</v>
      </c>
      <c r="BC531" s="65">
        <f t="shared" si="135"/>
        <v>37203.614986401037</v>
      </c>
      <c r="BD531" s="66">
        <f t="shared" si="136"/>
        <v>27941.123773230564</v>
      </c>
    </row>
    <row r="532" spans="31:56" x14ac:dyDescent="0.25">
      <c r="AE532" s="71">
        <v>470</v>
      </c>
      <c r="AF532" s="17">
        <v>4.1469023027385274</v>
      </c>
      <c r="AG532" s="18">
        <v>-22317.627457812108</v>
      </c>
      <c r="AH532" s="20">
        <v>2867.0761277863485</v>
      </c>
      <c r="AN532" s="23">
        <v>527</v>
      </c>
      <c r="AO532" s="58">
        <v>263.5</v>
      </c>
      <c r="AP532" s="45">
        <f t="shared" si="137"/>
        <v>18786.940106774557</v>
      </c>
      <c r="AQ532" s="45">
        <f t="shared" si="138"/>
        <v>3119.9415124029292</v>
      </c>
      <c r="AR532" s="45">
        <f t="shared" si="139"/>
        <v>4559.0372163577886</v>
      </c>
      <c r="AS532" s="45">
        <f t="shared" si="140"/>
        <v>567.08004030601569</v>
      </c>
      <c r="AT532" s="45">
        <f t="shared" si="126"/>
        <v>-26.859217656855492</v>
      </c>
      <c r="AU532" s="45">
        <f t="shared" si="127"/>
        <v>1447.0427032484342</v>
      </c>
      <c r="AV532" s="64">
        <f t="shared" si="128"/>
        <v>479.24233737617362</v>
      </c>
      <c r="AW532" s="64">
        <f t="shared" si="129"/>
        <v>1730.42524871462</v>
      </c>
      <c r="AX532" s="64">
        <f t="shared" si="130"/>
        <v>-108.764744030632</v>
      </c>
      <c r="AY532" s="64">
        <f t="shared" si="131"/>
        <v>19.292777369374715</v>
      </c>
      <c r="AZ532" s="64">
        <f t="shared" si="132"/>
        <v>-397.3368110023971</v>
      </c>
      <c r="BA532" s="64">
        <f t="shared" si="133"/>
        <v>-302.67532283556056</v>
      </c>
      <c r="BB532" s="65">
        <f t="shared" si="134"/>
        <v>4544.9341754664893</v>
      </c>
      <c r="BC532" s="65">
        <f t="shared" si="135"/>
        <v>39392.409518069253</v>
      </c>
      <c r="BD532" s="66">
        <f t="shared" si="136"/>
        <v>29902.354423292203</v>
      </c>
    </row>
    <row r="533" spans="31:56" x14ac:dyDescent="0.25">
      <c r="AE533" s="71">
        <v>471</v>
      </c>
      <c r="AF533" s="17">
        <v>4.209734155810323</v>
      </c>
      <c r="AG533" s="18">
        <v>-21865.174153736407</v>
      </c>
      <c r="AH533" s="20">
        <v>2735.6262915352663</v>
      </c>
      <c r="AN533" s="23">
        <v>528</v>
      </c>
      <c r="AO533" s="58">
        <v>264</v>
      </c>
      <c r="AP533" s="45">
        <f t="shared" si="137"/>
        <v>21059.743910539237</v>
      </c>
      <c r="AQ533" s="45">
        <f t="shared" si="138"/>
        <v>3765.2422083680458</v>
      </c>
      <c r="AR533" s="45">
        <f t="shared" si="139"/>
        <v>4545.6076075293604</v>
      </c>
      <c r="AS533" s="45">
        <f t="shared" si="140"/>
        <v>1290.6013919302327</v>
      </c>
      <c r="AT533" s="45">
        <f t="shared" si="126"/>
        <v>-906.84860351262273</v>
      </c>
      <c r="AU533" s="45">
        <f t="shared" si="127"/>
        <v>1340.9503270639534</v>
      </c>
      <c r="AV533" s="64">
        <f t="shared" si="128"/>
        <v>-449.51899058970389</v>
      </c>
      <c r="AW533" s="64">
        <f t="shared" si="129"/>
        <v>1584.198348200151</v>
      </c>
      <c r="AX533" s="64">
        <f t="shared" si="130"/>
        <v>-98.71002618301344</v>
      </c>
      <c r="AY533" s="64">
        <f t="shared" si="131"/>
        <v>14.98872243815353</v>
      </c>
      <c r="AZ533" s="64">
        <f t="shared" si="132"/>
        <v>-358.61958673990529</v>
      </c>
      <c r="BA533" s="64">
        <f t="shared" si="133"/>
        <v>-258.23674357435107</v>
      </c>
      <c r="BB533" s="65">
        <f t="shared" si="134"/>
        <v>3882.1994948843862</v>
      </c>
      <c r="BC533" s="65">
        <f t="shared" si="135"/>
        <v>41530.407832326659</v>
      </c>
      <c r="BD533" s="66">
        <f t="shared" si="136"/>
        <v>32112.996867648533</v>
      </c>
    </row>
    <row r="534" spans="31:56" x14ac:dyDescent="0.25">
      <c r="AE534" s="71">
        <v>472</v>
      </c>
      <c r="AF534" s="17">
        <v>4.2725660088821193</v>
      </c>
      <c r="AG534" s="18">
        <v>-21405.359859392935</v>
      </c>
      <c r="AH534" s="20">
        <v>2632.8456195348344</v>
      </c>
      <c r="AN534" s="23">
        <v>529</v>
      </c>
      <c r="AO534" s="58">
        <v>264.5</v>
      </c>
      <c r="AP534" s="45">
        <f t="shared" si="137"/>
        <v>23105.83556342576</v>
      </c>
      <c r="AQ534" s="45">
        <f t="shared" si="138"/>
        <v>4745.7804860991509</v>
      </c>
      <c r="AR534" s="45">
        <f t="shared" si="139"/>
        <v>4092.1833057730491</v>
      </c>
      <c r="AS534" s="45">
        <f t="shared" si="140"/>
        <v>1961.0765554622094</v>
      </c>
      <c r="AT534" s="45">
        <f t="shared" si="126"/>
        <v>-1693.5588033792906</v>
      </c>
      <c r="AU534" s="45">
        <f t="shared" si="127"/>
        <v>921.40942620283363</v>
      </c>
      <c r="AV534" s="64">
        <f t="shared" si="128"/>
        <v>-1281.1741127084379</v>
      </c>
      <c r="AW534" s="64">
        <f t="shared" si="129"/>
        <v>1136.1305741615229</v>
      </c>
      <c r="AX534" s="64">
        <f t="shared" si="130"/>
        <v>-90.970727562184649</v>
      </c>
      <c r="AY534" s="64">
        <f t="shared" si="131"/>
        <v>11.088525850466121</v>
      </c>
      <c r="AZ534" s="64">
        <f t="shared" si="132"/>
        <v>-321.41396310866787</v>
      </c>
      <c r="BA534" s="64">
        <f t="shared" si="133"/>
        <v>-225.8096738091553</v>
      </c>
      <c r="BB534" s="65">
        <f t="shared" si="134"/>
        <v>4151.1371547796925</v>
      </c>
      <c r="BC534" s="65">
        <f t="shared" si="135"/>
        <v>43424.87630749635</v>
      </c>
      <c r="BD534" s="66">
        <f t="shared" si="136"/>
        <v>34348.709433158365</v>
      </c>
    </row>
    <row r="535" spans="31:56" x14ac:dyDescent="0.25">
      <c r="AE535" s="71">
        <v>473</v>
      </c>
      <c r="AF535" s="17">
        <v>4.3353978619539149</v>
      </c>
      <c r="AG535" s="18">
        <v>-20939.999251732279</v>
      </c>
      <c r="AH535" s="20">
        <v>2559.139740141416</v>
      </c>
      <c r="AN535" s="23">
        <v>530</v>
      </c>
      <c r="AO535" s="58">
        <v>265</v>
      </c>
      <c r="AP535" s="45">
        <f t="shared" si="137"/>
        <v>24728.537515467462</v>
      </c>
      <c r="AQ535" s="45">
        <f t="shared" si="138"/>
        <v>5956.6711203809637</v>
      </c>
      <c r="AR535" s="45">
        <f t="shared" si="139"/>
        <v>3245.4039040834041</v>
      </c>
      <c r="AS535" s="45">
        <f t="shared" si="140"/>
        <v>2421.7812685636263</v>
      </c>
      <c r="AT535" s="45">
        <f t="shared" si="126"/>
        <v>-2152.6312154525808</v>
      </c>
      <c r="AU535" s="45">
        <f t="shared" si="127"/>
        <v>383.33145774260868</v>
      </c>
      <c r="AV535" s="64">
        <f t="shared" si="128"/>
        <v>-1777.1005012443279</v>
      </c>
      <c r="AW535" s="64">
        <f t="shared" si="129"/>
        <v>580.02088734294375</v>
      </c>
      <c r="AX535" s="64">
        <f t="shared" si="130"/>
        <v>-85.543090465802379</v>
      </c>
      <c r="AY535" s="64">
        <f t="shared" si="131"/>
        <v>7.7328450100259838</v>
      </c>
      <c r="AZ535" s="64">
        <f t="shared" si="132"/>
        <v>-289.98762374245041</v>
      </c>
      <c r="BA535" s="64">
        <f t="shared" si="133"/>
        <v>-204.42227461036109</v>
      </c>
      <c r="BB535" s="65">
        <f t="shared" si="134"/>
        <v>4974.0256398463962</v>
      </c>
      <c r="BC535" s="65">
        <f t="shared" si="135"/>
        <v>44910.918234894081</v>
      </c>
      <c r="BD535" s="66">
        <f t="shared" si="136"/>
        <v>36372.627170117448</v>
      </c>
    </row>
    <row r="536" spans="31:56" x14ac:dyDescent="0.25">
      <c r="AE536" s="71">
        <v>474</v>
      </c>
      <c r="AF536" s="17">
        <v>4.3982297150257104</v>
      </c>
      <c r="AG536" s="18">
        <v>-20470.92889646985</v>
      </c>
      <c r="AH536" s="20">
        <v>2514.799536787963</v>
      </c>
      <c r="AN536" s="23">
        <v>531</v>
      </c>
      <c r="AO536" s="58">
        <v>265.5</v>
      </c>
      <c r="AP536" s="45">
        <f t="shared" si="137"/>
        <v>25813.081663646019</v>
      </c>
      <c r="AQ536" s="45">
        <f t="shared" si="138"/>
        <v>7263.3946190984288</v>
      </c>
      <c r="AR536" s="45">
        <f t="shared" si="139"/>
        <v>2169.0882963571139</v>
      </c>
      <c r="AS536" s="45">
        <f t="shared" si="140"/>
        <v>2613.4469974349308</v>
      </c>
      <c r="AT536" s="45">
        <f t="shared" si="126"/>
        <v>-2313.434999266859</v>
      </c>
      <c r="AU536" s="45">
        <f t="shared" si="127"/>
        <v>-107.01986585663693</v>
      </c>
      <c r="AV536" s="64">
        <f t="shared" si="128"/>
        <v>-1965.5663167880045</v>
      </c>
      <c r="AW536" s="64">
        <f t="shared" si="129"/>
        <v>80.002930283837088</v>
      </c>
      <c r="AX536" s="64">
        <f t="shared" si="130"/>
        <v>-82.226604194159748</v>
      </c>
      <c r="AY536" s="64">
        <f t="shared" si="131"/>
        <v>4.9117361094170278</v>
      </c>
      <c r="AZ536" s="64">
        <f t="shared" si="132"/>
        <v>-265.64207828469461</v>
      </c>
      <c r="BA536" s="64">
        <f t="shared" si="133"/>
        <v>-191.93453224989105</v>
      </c>
      <c r="BB536" s="65">
        <f t="shared" si="134"/>
        <v>5817.8948541967602</v>
      </c>
      <c r="BC536" s="65">
        <f t="shared" si="135"/>
        <v>45894.743277751091</v>
      </c>
      <c r="BD536" s="66">
        <f t="shared" si="136"/>
        <v>38014.533294204986</v>
      </c>
    </row>
    <row r="537" spans="31:56" x14ac:dyDescent="0.25">
      <c r="AE537" s="71">
        <v>475</v>
      </c>
      <c r="AF537" s="17">
        <v>4.4610615680975068</v>
      </c>
      <c r="AG537" s="18">
        <v>-20000</v>
      </c>
      <c r="AH537" s="20">
        <v>2500</v>
      </c>
      <c r="AN537" s="23">
        <v>532</v>
      </c>
      <c r="AO537" s="58">
        <v>266</v>
      </c>
      <c r="AP537" s="45">
        <f t="shared" si="137"/>
        <v>26319.267062007861</v>
      </c>
      <c r="AQ537" s="45">
        <f t="shared" si="138"/>
        <v>8543.3631513517357</v>
      </c>
      <c r="AR537" s="45">
        <f t="shared" si="139"/>
        <v>1012.3707967236844</v>
      </c>
      <c r="AS537" s="45">
        <f t="shared" si="140"/>
        <v>2559.9370645066124</v>
      </c>
      <c r="AT537" s="45">
        <f t="shared" si="126"/>
        <v>-2304.5768610733421</v>
      </c>
      <c r="AU537" s="45">
        <f t="shared" si="127"/>
        <v>-510.1049002184368</v>
      </c>
      <c r="AV537" s="64">
        <f t="shared" si="128"/>
        <v>-1975.7692200054155</v>
      </c>
      <c r="AW537" s="64">
        <f t="shared" si="129"/>
        <v>-326.21580627953642</v>
      </c>
      <c r="AX537" s="64">
        <f t="shared" si="130"/>
        <v>-80.803291458316707</v>
      </c>
      <c r="AY537" s="64">
        <f t="shared" si="131"/>
        <v>2.5410819146313912</v>
      </c>
      <c r="AZ537" s="64">
        <f t="shared" si="132"/>
        <v>-248.00434960961024</v>
      </c>
      <c r="BA537" s="64">
        <f t="shared" si="133"/>
        <v>-186.43017585353178</v>
      </c>
      <c r="BB537" s="65">
        <f t="shared" si="134"/>
        <v>6404.821845030202</v>
      </c>
      <c r="BC537" s="65">
        <f t="shared" si="135"/>
        <v>46342.165379602688</v>
      </c>
      <c r="BD537" s="66">
        <f t="shared" si="136"/>
        <v>39181.455278968358</v>
      </c>
    </row>
    <row r="538" spans="31:56" x14ac:dyDescent="0.25">
      <c r="AE538" s="71">
        <v>476</v>
      </c>
      <c r="AF538" s="17">
        <v>4.5238934211693023</v>
      </c>
      <c r="AG538" s="18">
        <v>-19529.071103530147</v>
      </c>
      <c r="AH538" s="20">
        <v>2514.799536787963</v>
      </c>
      <c r="AN538" s="23">
        <v>533</v>
      </c>
      <c r="AO538" s="58">
        <v>266.5</v>
      </c>
      <c r="AP538" s="45">
        <f t="shared" si="137"/>
        <v>26249.308245101369</v>
      </c>
      <c r="AQ538" s="45">
        <f t="shared" si="138"/>
        <v>9695.8054585504324</v>
      </c>
      <c r="AR538" s="45">
        <f t="shared" si="139"/>
        <v>-139.91763381298665</v>
      </c>
      <c r="AS538" s="45">
        <f t="shared" si="140"/>
        <v>2304.8846143973942</v>
      </c>
      <c r="AT538" s="45">
        <f t="shared" si="126"/>
        <v>-2213.4699322168835</v>
      </c>
      <c r="AU538" s="45">
        <f t="shared" si="127"/>
        <v>-852.39385977853055</v>
      </c>
      <c r="AV538" s="64">
        <f t="shared" si="128"/>
        <v>-1896.0539225779066</v>
      </c>
      <c r="AW538" s="64">
        <f t="shared" si="129"/>
        <v>-666.21222535567108</v>
      </c>
      <c r="AX538" s="64">
        <f t="shared" si="130"/>
        <v>-81.152125629967998</v>
      </c>
      <c r="AY538" s="64">
        <f t="shared" si="131"/>
        <v>0.53376006215791372</v>
      </c>
      <c r="AZ538" s="64">
        <f t="shared" si="132"/>
        <v>-236.26388400900896</v>
      </c>
      <c r="BA538" s="64">
        <f t="shared" si="133"/>
        <v>-186.71539448501744</v>
      </c>
      <c r="BB538" s="65">
        <f t="shared" si="134"/>
        <v>6623.8519876346736</v>
      </c>
      <c r="BC538" s="65">
        <f t="shared" si="135"/>
        <v>46250.308620261647</v>
      </c>
      <c r="BD538" s="66">
        <f t="shared" si="136"/>
        <v>39829.663230360478</v>
      </c>
    </row>
    <row r="539" spans="31:56" x14ac:dyDescent="0.25">
      <c r="AE539" s="71">
        <v>477</v>
      </c>
      <c r="AF539" s="17">
        <v>4.5867252742410987</v>
      </c>
      <c r="AG539" s="18">
        <v>-19060.000748267717</v>
      </c>
      <c r="AH539" s="20">
        <v>2559.139740141416</v>
      </c>
      <c r="AN539" s="23">
        <v>534</v>
      </c>
      <c r="AO539" s="58">
        <v>267</v>
      </c>
      <c r="AP539" s="45">
        <f t="shared" si="137"/>
        <v>25625.981945140655</v>
      </c>
      <c r="AQ539" s="45">
        <f t="shared" si="138"/>
        <v>10635.149300804496</v>
      </c>
      <c r="AR539" s="45">
        <f t="shared" si="139"/>
        <v>-1246.6525999214284</v>
      </c>
      <c r="AS539" s="45">
        <f t="shared" si="140"/>
        <v>1878.687684508129</v>
      </c>
      <c r="AT539" s="45">
        <f t="shared" si="126"/>
        <v>-2063.5114576834803</v>
      </c>
      <c r="AU539" s="45">
        <f t="shared" si="127"/>
        <v>-1168.9471870809512</v>
      </c>
      <c r="AV539" s="64">
        <f t="shared" si="128"/>
        <v>-1750.4533436824361</v>
      </c>
      <c r="AW539" s="64">
        <f t="shared" si="129"/>
        <v>-975.46217354589805</v>
      </c>
      <c r="AX539" s="64">
        <f t="shared" si="130"/>
        <v>-83.28924761908435</v>
      </c>
      <c r="AY539" s="64">
        <f t="shared" si="131"/>
        <v>-1.1594513725403375</v>
      </c>
      <c r="AZ539" s="64">
        <f t="shared" si="132"/>
        <v>-229.76886638195981</v>
      </c>
      <c r="BA539" s="64">
        <f t="shared" si="133"/>
        <v>-192.32556216251265</v>
      </c>
      <c r="BB539" s="65">
        <f t="shared" si="134"/>
        <v>6440.5616203389864</v>
      </c>
      <c r="BC539" s="65">
        <f t="shared" si="135"/>
        <v>45630.40261812965</v>
      </c>
      <c r="BD539" s="66">
        <f t="shared" si="136"/>
        <v>39938.848878987723</v>
      </c>
    </row>
    <row r="540" spans="31:56" x14ac:dyDescent="0.25">
      <c r="AE540" s="71">
        <v>478</v>
      </c>
      <c r="AF540" s="17">
        <v>4.6495571273128942</v>
      </c>
      <c r="AG540" s="18">
        <v>-18594.640140607062</v>
      </c>
      <c r="AH540" s="20">
        <v>2632.8456195348354</v>
      </c>
      <c r="AN540" s="23">
        <v>535</v>
      </c>
      <c r="AO540" s="58">
        <v>267.5</v>
      </c>
      <c r="AP540" s="45">
        <f t="shared" si="137"/>
        <v>24486.777780759072</v>
      </c>
      <c r="AQ540" s="45">
        <f t="shared" si="138"/>
        <v>11282.256346288323</v>
      </c>
      <c r="AR540" s="45">
        <f t="shared" si="139"/>
        <v>-2278.4083287631684</v>
      </c>
      <c r="AS540" s="45">
        <f t="shared" si="140"/>
        <v>1294.2140909676534</v>
      </c>
      <c r="AT540" s="45">
        <f t="shared" si="126"/>
        <v>-1822.7534705044036</v>
      </c>
      <c r="AU540" s="45">
        <f t="shared" si="127"/>
        <v>-1476.4414766885177</v>
      </c>
      <c r="AV540" s="64">
        <f t="shared" si="128"/>
        <v>-1507.1508353434269</v>
      </c>
      <c r="AW540" s="64">
        <f t="shared" si="129"/>
        <v>-1270.495462520327</v>
      </c>
      <c r="AX540" s="64">
        <f t="shared" si="130"/>
        <v>-87.371596888930426</v>
      </c>
      <c r="AY540" s="64">
        <f t="shared" si="131"/>
        <v>-2.5183389354090568</v>
      </c>
      <c r="AZ540" s="64">
        <f t="shared" si="132"/>
        <v>-228.23103827204616</v>
      </c>
      <c r="BA540" s="64">
        <f t="shared" si="133"/>
        <v>-203.42767523278164</v>
      </c>
      <c r="BB540" s="65">
        <f t="shared" si="134"/>
        <v>5868.2738452590638</v>
      </c>
      <c r="BC540" s="65">
        <f t="shared" si="135"/>
        <v>44505.253382631541</v>
      </c>
      <c r="BD540" s="66">
        <f t="shared" si="136"/>
        <v>39499.709651387057</v>
      </c>
    </row>
    <row r="541" spans="31:56" x14ac:dyDescent="0.25">
      <c r="AE541" s="71">
        <v>479</v>
      </c>
      <c r="AF541" s="17">
        <v>4.7123889803846897</v>
      </c>
      <c r="AG541" s="18">
        <v>-18134.825846263589</v>
      </c>
      <c r="AH541" s="20">
        <v>2735.6262915352672</v>
      </c>
      <c r="AN541" s="23">
        <v>536</v>
      </c>
      <c r="AO541" s="58">
        <v>268</v>
      </c>
      <c r="AP541" s="45">
        <f t="shared" si="137"/>
        <v>22891.885248751387</v>
      </c>
      <c r="AQ541" s="45">
        <f t="shared" si="138"/>
        <v>11560.25302260002</v>
      </c>
      <c r="AR541" s="45">
        <f t="shared" si="139"/>
        <v>-3189.7850640153702</v>
      </c>
      <c r="AS541" s="45">
        <f t="shared" si="140"/>
        <v>555.99335262339457</v>
      </c>
      <c r="AT541" s="45">
        <f t="shared" si="126"/>
        <v>-1410.8874436157107</v>
      </c>
      <c r="AU541" s="45">
        <f t="shared" si="127"/>
        <v>-1748.0961814271477</v>
      </c>
      <c r="AV541" s="64">
        <f t="shared" si="128"/>
        <v>-1085.4351384487145</v>
      </c>
      <c r="AW541" s="64">
        <f t="shared" si="129"/>
        <v>-1523.9682499938444</v>
      </c>
      <c r="AX541" s="64">
        <f t="shared" si="130"/>
        <v>-93.665472629613618</v>
      </c>
      <c r="AY541" s="64">
        <f t="shared" si="131"/>
        <v>-3.4072141137202259</v>
      </c>
      <c r="AZ541" s="64">
        <f t="shared" si="132"/>
        <v>-231.78683253738265</v>
      </c>
      <c r="BA541" s="64">
        <f t="shared" si="133"/>
        <v>-220.720717319583</v>
      </c>
      <c r="BB541" s="65">
        <f t="shared" si="134"/>
        <v>4984.8425150127332</v>
      </c>
      <c r="BC541" s="65">
        <f t="shared" si="135"/>
        <v>42920.254072950098</v>
      </c>
      <c r="BD541" s="66">
        <f t="shared" si="136"/>
        <v>38514.9880352318</v>
      </c>
    </row>
    <row r="542" spans="31:56" x14ac:dyDescent="0.25">
      <c r="AE542" s="71">
        <v>480</v>
      </c>
      <c r="AF542" s="17">
        <v>4.7752208334564861</v>
      </c>
      <c r="AG542" s="18">
        <v>-17682.372542187895</v>
      </c>
      <c r="AH542" s="20">
        <v>2867.0761277863476</v>
      </c>
      <c r="AN542" s="23">
        <v>537</v>
      </c>
      <c r="AO542" s="58">
        <v>268.5</v>
      </c>
      <c r="AP542" s="45">
        <f t="shared" si="137"/>
        <v>20944.270855839775</v>
      </c>
      <c r="AQ542" s="45">
        <f t="shared" si="138"/>
        <v>11401.22565355493</v>
      </c>
      <c r="AR542" s="45">
        <f t="shared" si="139"/>
        <v>-3895.2287858232257</v>
      </c>
      <c r="AS542" s="45">
        <f t="shared" si="140"/>
        <v>-318.05473809017928</v>
      </c>
      <c r="AT542" s="45">
        <f t="shared" si="126"/>
        <v>-738.5872387487434</v>
      </c>
      <c r="AU542" s="45">
        <f t="shared" si="127"/>
        <v>-1881.376608821324</v>
      </c>
      <c r="AV542" s="64">
        <f t="shared" si="128"/>
        <v>-395.17001828473201</v>
      </c>
      <c r="AW542" s="64">
        <f t="shared" si="129"/>
        <v>-1632.6326321668821</v>
      </c>
      <c r="AX542" s="64">
        <f t="shared" si="130"/>
        <v>-102.42305768745085</v>
      </c>
      <c r="AY542" s="64">
        <f t="shared" si="131"/>
        <v>-3.5051989679460367</v>
      </c>
      <c r="AZ542" s="64">
        <f t="shared" si="132"/>
        <v>-240.99416277656059</v>
      </c>
      <c r="BA542" s="64">
        <f t="shared" si="133"/>
        <v>-245.23877768649587</v>
      </c>
      <c r="BB542" s="65">
        <f t="shared" si="134"/>
        <v>4013.8770595452311</v>
      </c>
      <c r="BC542" s="65">
        <f t="shared" si="135"/>
        <v>40968.240738998677</v>
      </c>
      <c r="BD542" s="66">
        <f t="shared" si="136"/>
        <v>37015.265854118952</v>
      </c>
    </row>
    <row r="543" spans="31:56" x14ac:dyDescent="0.25">
      <c r="AE543" s="71">
        <v>481</v>
      </c>
      <c r="AF543" s="17">
        <v>4.8380526865282816</v>
      </c>
      <c r="AG543" s="18">
        <v>-17239.065854864912</v>
      </c>
      <c r="AH543" s="20">
        <v>3026.6763558381153</v>
      </c>
      <c r="AN543" s="23">
        <v>538</v>
      </c>
      <c r="AO543" s="58">
        <v>269</v>
      </c>
      <c r="AP543" s="45">
        <f t="shared" si="137"/>
        <v>18812.009653240977</v>
      </c>
      <c r="AQ543" s="45">
        <f t="shared" si="138"/>
        <v>10771.854132304508</v>
      </c>
      <c r="AR543" s="45">
        <f t="shared" si="139"/>
        <v>-4264.5224051975974</v>
      </c>
      <c r="AS543" s="45">
        <f t="shared" si="140"/>
        <v>-1258.7430425008413</v>
      </c>
      <c r="AT543" s="45">
        <f t="shared" si="126"/>
        <v>153.7013243710004</v>
      </c>
      <c r="AU543" s="45">
        <f t="shared" si="127"/>
        <v>-1723.1643133941814</v>
      </c>
      <c r="AV543" s="64">
        <f t="shared" si="128"/>
        <v>523.97203038923601</v>
      </c>
      <c r="AW543" s="64">
        <f t="shared" si="129"/>
        <v>-1443.0757434334214</v>
      </c>
      <c r="AX543" s="64">
        <f t="shared" si="130"/>
        <v>-113.56851404186506</v>
      </c>
      <c r="AY543" s="64">
        <f t="shared" si="131"/>
        <v>-2.2585361501778416</v>
      </c>
      <c r="AZ543" s="64">
        <f t="shared" si="132"/>
        <v>-256.70219197637056</v>
      </c>
      <c r="BA543" s="64">
        <f t="shared" si="133"/>
        <v>-277.83003381058217</v>
      </c>
      <c r="BB543" s="65">
        <f t="shared" si="134"/>
        <v>3480.8548557891222</v>
      </c>
      <c r="BC543" s="65">
        <f t="shared" si="135"/>
        <v>38819.683823091946</v>
      </c>
      <c r="BD543" s="66">
        <f t="shared" si="136"/>
        <v>35088.463476516357</v>
      </c>
    </row>
    <row r="544" spans="31:56" x14ac:dyDescent="0.25">
      <c r="AE544" s="71">
        <v>482</v>
      </c>
      <c r="AF544" s="17">
        <v>4.900884539600078</v>
      </c>
      <c r="AG544" s="18">
        <v>-16806.655313261956</v>
      </c>
      <c r="AH544" s="20">
        <v>3213.7971065048532</v>
      </c>
      <c r="AN544" s="23">
        <v>539</v>
      </c>
      <c r="AO544" s="58">
        <v>269.5</v>
      </c>
      <c r="AP544" s="45">
        <f t="shared" si="137"/>
        <v>16718.173781734928</v>
      </c>
      <c r="AQ544" s="45">
        <f t="shared" si="138"/>
        <v>9711.6915327055412</v>
      </c>
      <c r="AR544" s="45">
        <f t="shared" si="139"/>
        <v>-4187.6717430120971</v>
      </c>
      <c r="AS544" s="45">
        <f t="shared" si="140"/>
        <v>-2120.3251991979319</v>
      </c>
      <c r="AT544" s="45">
        <f t="shared" si="126"/>
        <v>975.46922097471054</v>
      </c>
      <c r="AU544" s="45">
        <f t="shared" si="127"/>
        <v>-1248.2435007159127</v>
      </c>
      <c r="AV544" s="64">
        <f t="shared" si="128"/>
        <v>1381.4283538096854</v>
      </c>
      <c r="AW544" s="64">
        <f t="shared" si="129"/>
        <v>-930.97354642239634</v>
      </c>
      <c r="AX544" s="64">
        <f t="shared" si="130"/>
        <v>-126.25130420924553</v>
      </c>
      <c r="AY544" s="64">
        <f t="shared" si="131"/>
        <v>0.99131618655284237</v>
      </c>
      <c r="AZ544" s="64">
        <f t="shared" si="132"/>
        <v>-279.70782862572935</v>
      </c>
      <c r="BA544" s="64">
        <f t="shared" si="133"/>
        <v>-318.26127048006919</v>
      </c>
      <c r="BB544" s="65">
        <f t="shared" si="134"/>
        <v>3957.5197741430693</v>
      </c>
      <c r="BC544" s="65">
        <f t="shared" si="135"/>
        <v>36719.305652994037</v>
      </c>
      <c r="BD544" s="66">
        <f t="shared" si="136"/>
        <v>32899.039056197813</v>
      </c>
    </row>
    <row r="545" spans="31:56" x14ac:dyDescent="0.25">
      <c r="AE545" s="71">
        <v>483</v>
      </c>
      <c r="AF545" s="17">
        <v>4.9637163926718735</v>
      </c>
      <c r="AG545" s="18">
        <v>-16386.847444237133</v>
      </c>
      <c r="AH545" s="20">
        <v>3427.6998996710245</v>
      </c>
      <c r="AN545" s="23">
        <v>540</v>
      </c>
      <c r="AO545" s="58">
        <v>270</v>
      </c>
      <c r="AP545" s="45">
        <f t="shared" si="137"/>
        <v>14868.205215472555</v>
      </c>
      <c r="AQ545" s="45">
        <f t="shared" si="138"/>
        <v>8339.4680579275973</v>
      </c>
      <c r="AR545" s="45">
        <f t="shared" si="139"/>
        <v>-3699.9371325247416</v>
      </c>
      <c r="AS545" s="45">
        <f t="shared" si="140"/>
        <v>-2744.4469495558883</v>
      </c>
      <c r="AT545" s="45">
        <f t="shared" si="126"/>
        <v>1427.363440193946</v>
      </c>
      <c r="AU545" s="45">
        <f t="shared" si="127"/>
        <v>-665.00164756165236</v>
      </c>
      <c r="AV545" s="64">
        <f t="shared" si="128"/>
        <v>1876.5366502958689</v>
      </c>
      <c r="AW545" s="64">
        <f t="shared" si="129"/>
        <v>-306.96718080064278</v>
      </c>
      <c r="AX545" s="64">
        <f t="shared" si="130"/>
        <v>-138.76346893247364</v>
      </c>
      <c r="AY545" s="64">
        <f t="shared" si="131"/>
        <v>6.6083462320824005</v>
      </c>
      <c r="AZ545" s="64">
        <f t="shared" si="132"/>
        <v>-310.40974116944926</v>
      </c>
      <c r="BA545" s="64">
        <f t="shared" si="133"/>
        <v>-364.64281299309204</v>
      </c>
      <c r="BB545" s="65">
        <f t="shared" si="134"/>
        <v>5200.0023394979171</v>
      </c>
      <c r="BC545" s="65">
        <f t="shared" si="135"/>
        <v>34907.722659591389</v>
      </c>
      <c r="BD545" s="66">
        <f t="shared" si="136"/>
        <v>30650.878416631935</v>
      </c>
    </row>
    <row r="546" spans="31:56" x14ac:dyDescent="0.25">
      <c r="AE546" s="71">
        <v>484</v>
      </c>
      <c r="AF546" s="17">
        <v>5.026548245743669</v>
      </c>
      <c r="AG546" s="18">
        <v>-15981.299037657525</v>
      </c>
      <c r="AH546" s="20">
        <v>3667.5405587348878</v>
      </c>
      <c r="AN546" s="23">
        <v>541</v>
      </c>
      <c r="AO546" s="58">
        <v>270.5</v>
      </c>
      <c r="AP546" s="45">
        <f t="shared" si="137"/>
        <v>13375.077509258672</v>
      </c>
      <c r="AQ546" s="45">
        <f t="shared" si="138"/>
        <v>6800.9941712592399</v>
      </c>
      <c r="AR546" s="45">
        <f t="shared" si="139"/>
        <v>-2986.2554124277685</v>
      </c>
      <c r="AS546" s="45">
        <f t="shared" si="140"/>
        <v>-3076.9477733367144</v>
      </c>
      <c r="AT546" s="45">
        <f t="shared" si="126"/>
        <v>1501.5526252001662</v>
      </c>
      <c r="AU546" s="45">
        <f t="shared" si="127"/>
        <v>-188.55756480351343</v>
      </c>
      <c r="AV546" s="64">
        <f t="shared" si="128"/>
        <v>1999.5255456487175</v>
      </c>
      <c r="AW546" s="64">
        <f t="shared" si="129"/>
        <v>210.97303599820711</v>
      </c>
      <c r="AX546" s="64">
        <f t="shared" si="130"/>
        <v>-149.17502746192997</v>
      </c>
      <c r="AY546" s="64">
        <f t="shared" si="131"/>
        <v>14.298447163782386</v>
      </c>
      <c r="AZ546" s="64">
        <f t="shared" si="132"/>
        <v>-348.79789298662155</v>
      </c>
      <c r="BA546" s="64">
        <f t="shared" si="133"/>
        <v>-413.82904796550292</v>
      </c>
      <c r="BB546" s="65">
        <f t="shared" si="134"/>
        <v>6661.6970177983812</v>
      </c>
      <c r="BC546" s="65">
        <f t="shared" si="135"/>
        <v>33528.039564539729</v>
      </c>
      <c r="BD546" s="66">
        <f t="shared" si="136"/>
        <v>28511.871568287886</v>
      </c>
    </row>
    <row r="547" spans="31:56" x14ac:dyDescent="0.25">
      <c r="AE547" s="71">
        <v>485</v>
      </c>
      <c r="AF547" s="17">
        <v>5.0893800988154654</v>
      </c>
      <c r="AG547" s="18">
        <v>-15591.610607806448</v>
      </c>
      <c r="AH547" s="20">
        <v>3932.3725421878971</v>
      </c>
      <c r="AN547" s="23">
        <v>542</v>
      </c>
      <c r="AO547" s="58">
        <v>271</v>
      </c>
      <c r="AP547" s="45">
        <f t="shared" si="137"/>
        <v>12257.337959344828</v>
      </c>
      <c r="AQ547" s="45">
        <f t="shared" si="138"/>
        <v>5215.3808933900045</v>
      </c>
      <c r="AR547" s="45">
        <f t="shared" si="139"/>
        <v>-2235.4790998276853</v>
      </c>
      <c r="AS547" s="45">
        <f t="shared" si="140"/>
        <v>-3171.2265557384712</v>
      </c>
      <c r="AT547" s="45">
        <f t="shared" si="126"/>
        <v>1359.1749297168612</v>
      </c>
      <c r="AU547" s="45">
        <f t="shared" si="127"/>
        <v>124.53663592900961</v>
      </c>
      <c r="AV547" s="64">
        <f t="shared" si="128"/>
        <v>1909.848322222243</v>
      </c>
      <c r="AW547" s="64">
        <f t="shared" si="129"/>
        <v>563.5369262877922</v>
      </c>
      <c r="AX547" s="64">
        <f t="shared" si="130"/>
        <v>-156.13963010298659</v>
      </c>
      <c r="AY547" s="64">
        <f t="shared" si="131"/>
        <v>23.159650013008715</v>
      </c>
      <c r="AZ547" s="64">
        <f t="shared" si="132"/>
        <v>-394.53376240239538</v>
      </c>
      <c r="BA547" s="64">
        <f t="shared" si="133"/>
        <v>-462.15994037179127</v>
      </c>
      <c r="BB547" s="65">
        <f t="shared" si="134"/>
        <v>8072.6885198234895</v>
      </c>
      <c r="BC547" s="65">
        <f t="shared" si="135"/>
        <v>32610.250416375617</v>
      </c>
      <c r="BD547" s="66">
        <f t="shared" si="136"/>
        <v>26579.641421732562</v>
      </c>
    </row>
    <row r="548" spans="31:56" x14ac:dyDescent="0.25">
      <c r="AE548" s="71">
        <v>486</v>
      </c>
      <c r="AF548" s="17">
        <v>5.1522119518872609</v>
      </c>
      <c r="AG548" s="18">
        <v>-15219.320076884826</v>
      </c>
      <c r="AH548" s="20">
        <v>4221.1506791815818</v>
      </c>
      <c r="AN548" s="23">
        <v>543</v>
      </c>
      <c r="AO548" s="58">
        <v>271.5</v>
      </c>
      <c r="AP548" s="45">
        <f t="shared" si="137"/>
        <v>11479.392141860202</v>
      </c>
      <c r="AQ548" s="45">
        <f t="shared" si="138"/>
        <v>3660.9017745030214</v>
      </c>
      <c r="AR548" s="45">
        <f t="shared" si="139"/>
        <v>-1555.8916349692547</v>
      </c>
      <c r="AS548" s="45">
        <f t="shared" si="140"/>
        <v>-3108.9582377739666</v>
      </c>
      <c r="AT548" s="45">
        <f t="shared" si="126"/>
        <v>1133.8369563281981</v>
      </c>
      <c r="AU548" s="45">
        <f t="shared" si="127"/>
        <v>310.05519436476732</v>
      </c>
      <c r="AV548" s="64">
        <f t="shared" si="128"/>
        <v>1739.9044419529014</v>
      </c>
      <c r="AW548" s="64">
        <f t="shared" si="129"/>
        <v>783.94219835555077</v>
      </c>
      <c r="AX548" s="64">
        <f t="shared" si="130"/>
        <v>-159.25799362616667</v>
      </c>
      <c r="AY548" s="64">
        <f t="shared" si="131"/>
        <v>32.070252825796302</v>
      </c>
      <c r="AZ548" s="64">
        <f t="shared" si="132"/>
        <v>-446.80949199853677</v>
      </c>
      <c r="BA548" s="64">
        <f t="shared" si="133"/>
        <v>-505.95725681657973</v>
      </c>
      <c r="BB548" s="65">
        <f t="shared" si="134"/>
        <v>9345.5568832043245</v>
      </c>
      <c r="BC548" s="65">
        <f t="shared" si="135"/>
        <v>32111.311027946351</v>
      </c>
      <c r="BD548" s="66">
        <f t="shared" si="136"/>
        <v>24895.775151676917</v>
      </c>
    </row>
    <row r="549" spans="31:56" x14ac:dyDescent="0.25">
      <c r="AE549" s="71">
        <v>487</v>
      </c>
      <c r="AF549" s="17">
        <v>5.2150438049590573</v>
      </c>
      <c r="AG549" s="18">
        <v>-14865.896705534837</v>
      </c>
      <c r="AH549" s="20">
        <v>4532.7352943394135</v>
      </c>
      <c r="AN549" s="23">
        <v>544</v>
      </c>
      <c r="AO549" s="58">
        <v>272</v>
      </c>
      <c r="AP549" s="45">
        <f t="shared" si="137"/>
        <v>10984.905563457623</v>
      </c>
      <c r="AQ549" s="45">
        <f t="shared" si="138"/>
        <v>2183.9364542072303</v>
      </c>
      <c r="AR549" s="45">
        <f t="shared" si="139"/>
        <v>-988.97315680515567</v>
      </c>
      <c r="AS549" s="45">
        <f t="shared" si="140"/>
        <v>-2953.9306405915831</v>
      </c>
      <c r="AT549" s="45">
        <f t="shared" si="126"/>
        <v>893.22223899551068</v>
      </c>
      <c r="AU549" s="45">
        <f t="shared" si="127"/>
        <v>415.88796304147195</v>
      </c>
      <c r="AV549" s="64">
        <f t="shared" si="128"/>
        <v>1556.2950537322074</v>
      </c>
      <c r="AW549" s="64">
        <f t="shared" si="129"/>
        <v>917.7234315047873</v>
      </c>
      <c r="AX549" s="64">
        <f t="shared" si="130"/>
        <v>-158.95447410662851</v>
      </c>
      <c r="AY549" s="64">
        <f t="shared" si="131"/>
        <v>40.096887433173769</v>
      </c>
      <c r="AZ549" s="64">
        <f t="shared" si="132"/>
        <v>-504.11834063006813</v>
      </c>
      <c r="BA549" s="64">
        <f t="shared" si="133"/>
        <v>-541.93235589648907</v>
      </c>
      <c r="BB549" s="65">
        <f t="shared" si="134"/>
        <v>10465.775619737129</v>
      </c>
      <c r="BC549" s="65">
        <f t="shared" si="135"/>
        <v>31955.519431363617</v>
      </c>
      <c r="BD549" s="66">
        <f t="shared" si="136"/>
        <v>23469.232580868309</v>
      </c>
    </row>
    <row r="550" spans="31:56" x14ac:dyDescent="0.25">
      <c r="AE550" s="71">
        <v>488</v>
      </c>
      <c r="AF550" s="17">
        <v>5.2778756580308528</v>
      </c>
      <c r="AG550" s="18">
        <v>-14532.735294339411</v>
      </c>
      <c r="AH550" s="20">
        <v>4865.8967055348376</v>
      </c>
      <c r="AN550" s="23">
        <v>545</v>
      </c>
      <c r="AO550" s="58">
        <v>272.5</v>
      </c>
      <c r="AP550" s="45">
        <f t="shared" si="137"/>
        <v>10713.724544803925</v>
      </c>
      <c r="AQ550" s="45">
        <f t="shared" si="138"/>
        <v>810.9431246718068</v>
      </c>
      <c r="AR550" s="45">
        <f t="shared" si="139"/>
        <v>-542.36203730740033</v>
      </c>
      <c r="AS550" s="45">
        <f t="shared" si="140"/>
        <v>-2745.9866590708471</v>
      </c>
      <c r="AT550" s="45">
        <f t="shared" si="126"/>
        <v>664.81317834000924</v>
      </c>
      <c r="AU550" s="45">
        <f t="shared" si="127"/>
        <v>476.75104512203507</v>
      </c>
      <c r="AV550" s="64">
        <f t="shared" si="128"/>
        <v>1385.1064412998362</v>
      </c>
      <c r="AW550" s="64">
        <f t="shared" si="129"/>
        <v>997.71494060665975</v>
      </c>
      <c r="AX550" s="64">
        <f t="shared" si="130"/>
        <v>-156.11326739631573</v>
      </c>
      <c r="AY550" s="64">
        <f t="shared" si="131"/>
        <v>46.706601506613914</v>
      </c>
      <c r="AZ550" s="64">
        <f t="shared" si="132"/>
        <v>-564.17999556351128</v>
      </c>
      <c r="BA550" s="64">
        <f t="shared" si="133"/>
        <v>-567.67049699123868</v>
      </c>
      <c r="BB550" s="65">
        <f t="shared" si="134"/>
        <v>11444.579228226456</v>
      </c>
      <c r="BC550" s="65">
        <f t="shared" si="135"/>
        <v>32058.877735692924</v>
      </c>
      <c r="BD550" s="66">
        <f t="shared" si="136"/>
        <v>22291.412282795813</v>
      </c>
    </row>
    <row r="551" spans="31:56" x14ac:dyDescent="0.25">
      <c r="AE551" s="71">
        <v>489</v>
      </c>
      <c r="AF551" s="17">
        <v>5.3407075111026492</v>
      </c>
      <c r="AG551" s="18">
        <v>-14221.150679181581</v>
      </c>
      <c r="AH551" s="20">
        <v>5219.3200768848274</v>
      </c>
      <c r="AN551" s="23">
        <v>546</v>
      </c>
      <c r="AO551" s="58">
        <v>273</v>
      </c>
      <c r="AP551" s="45">
        <f t="shared" si="137"/>
        <v>10608.746820735227</v>
      </c>
      <c r="AQ551" s="45">
        <f t="shared" si="138"/>
        <v>-442.86244358310796</v>
      </c>
      <c r="AR551" s="45">
        <f t="shared" si="139"/>
        <v>-209.95544813739571</v>
      </c>
      <c r="AS551" s="45">
        <f t="shared" si="140"/>
        <v>-2507.6111365098295</v>
      </c>
      <c r="AT551" s="45">
        <f t="shared" si="126"/>
        <v>458.57590731111009</v>
      </c>
      <c r="AU551" s="45">
        <f t="shared" si="127"/>
        <v>513.72569793478692</v>
      </c>
      <c r="AV551" s="64">
        <f t="shared" si="128"/>
        <v>1234.4488552992536</v>
      </c>
      <c r="AW551" s="64">
        <f t="shared" si="129"/>
        <v>1044.0627320035921</v>
      </c>
      <c r="AX551" s="64">
        <f t="shared" si="130"/>
        <v>-151.72166448828341</v>
      </c>
      <c r="AY551" s="64">
        <f t="shared" si="131"/>
        <v>51.763258432040374</v>
      </c>
      <c r="AZ551" s="64">
        <f t="shared" si="132"/>
        <v>-624.15128349986003</v>
      </c>
      <c r="BA551" s="64">
        <f t="shared" si="133"/>
        <v>-582.10029250084563</v>
      </c>
      <c r="BB551" s="65">
        <f t="shared" si="134"/>
        <v>12299.784553996617</v>
      </c>
      <c r="BC551" s="65">
        <f t="shared" si="135"/>
        <v>32341.131055537739</v>
      </c>
      <c r="BD551" s="66">
        <f t="shared" si="136"/>
        <v>21343.458743845975</v>
      </c>
    </row>
    <row r="552" spans="31:56" x14ac:dyDescent="0.25">
      <c r="AE552" s="71">
        <v>490</v>
      </c>
      <c r="AF552" s="17">
        <v>5.4035393641744447</v>
      </c>
      <c r="AG552" s="18">
        <v>-13932.372542187892</v>
      </c>
      <c r="AH552" s="20">
        <v>5591.6106078064558</v>
      </c>
      <c r="AN552" s="23">
        <v>547</v>
      </c>
      <c r="AO552" s="58">
        <v>273.5</v>
      </c>
      <c r="AP552" s="45">
        <f t="shared" si="137"/>
        <v>10618.413073494306</v>
      </c>
      <c r="AQ552" s="45">
        <f t="shared" si="138"/>
        <v>-1568.236587354326</v>
      </c>
      <c r="AR552" s="45">
        <f t="shared" si="139"/>
        <v>19.332505518159337</v>
      </c>
      <c r="AS552" s="45">
        <f t="shared" si="140"/>
        <v>-2250.7482875424362</v>
      </c>
      <c r="AT552" s="45">
        <f t="shared" si="126"/>
        <v>277.95073592528877</v>
      </c>
      <c r="AU552" s="45">
        <f t="shared" si="127"/>
        <v>538.42678085882142</v>
      </c>
      <c r="AV552" s="64">
        <f t="shared" si="128"/>
        <v>1105.6900326482628</v>
      </c>
      <c r="AW552" s="64">
        <f t="shared" si="129"/>
        <v>1068.7593566932442</v>
      </c>
      <c r="AX552" s="64">
        <f t="shared" si="130"/>
        <v>-146.64502557191477</v>
      </c>
      <c r="AY552" s="64">
        <f t="shared" si="131"/>
        <v>55.405364938494898</v>
      </c>
      <c r="AZ552" s="64">
        <f t="shared" si="132"/>
        <v>-681.09427115105927</v>
      </c>
      <c r="BA552" s="64">
        <f t="shared" si="133"/>
        <v>-585.73794077291757</v>
      </c>
      <c r="BB552" s="65">
        <f t="shared" si="134"/>
        <v>13047.876764585653</v>
      </c>
      <c r="BC552" s="65">
        <f t="shared" si="135"/>
        <v>32730.892393580263</v>
      </c>
      <c r="BD552" s="66">
        <f t="shared" si="136"/>
        <v>20599.686776929033</v>
      </c>
    </row>
    <row r="553" spans="31:56" x14ac:dyDescent="0.25">
      <c r="AE553" s="71">
        <v>491</v>
      </c>
      <c r="AF553" s="17">
        <v>5.4663712172462402</v>
      </c>
      <c r="AG553" s="18">
        <v>-13667.540558734885</v>
      </c>
      <c r="AH553" s="20">
        <v>5981.2990376575272</v>
      </c>
      <c r="AN553" s="23">
        <v>548</v>
      </c>
      <c r="AO553" s="58">
        <v>274</v>
      </c>
      <c r="AP553" s="45">
        <f t="shared" si="137"/>
        <v>10697.567010234709</v>
      </c>
      <c r="AQ553" s="45">
        <f t="shared" si="138"/>
        <v>-2559.0040359108389</v>
      </c>
      <c r="AR553" s="45">
        <f t="shared" si="139"/>
        <v>158.30787348080372</v>
      </c>
      <c r="AS553" s="45">
        <f t="shared" si="140"/>
        <v>-1981.5348971130254</v>
      </c>
      <c r="AT553" s="45">
        <f t="shared" si="126"/>
        <v>123.95972600374557</v>
      </c>
      <c r="AU553" s="45">
        <f t="shared" si="127"/>
        <v>556.54419761011013</v>
      </c>
      <c r="AV553" s="64">
        <f t="shared" si="128"/>
        <v>998.02808547671827</v>
      </c>
      <c r="AW553" s="64">
        <f t="shared" si="129"/>
        <v>1079.1981571711353</v>
      </c>
      <c r="AX553" s="64">
        <f t="shared" si="130"/>
        <v>-141.53942309289997</v>
      </c>
      <c r="AY553" s="64">
        <f t="shared" si="131"/>
        <v>57.906679876993657</v>
      </c>
      <c r="AZ553" s="64">
        <f t="shared" si="132"/>
        <v>-732.52893638007276</v>
      </c>
      <c r="BA553" s="64">
        <f t="shared" si="133"/>
        <v>-580.56063943801882</v>
      </c>
      <c r="BB553" s="65">
        <f t="shared" si="134"/>
        <v>13701.051847341656</v>
      </c>
      <c r="BC553" s="65">
        <f t="shared" si="135"/>
        <v>33167.291157432119</v>
      </c>
      <c r="BD553" s="66">
        <f t="shared" si="136"/>
        <v>20029.777597848955</v>
      </c>
    </row>
    <row r="554" spans="31:56" x14ac:dyDescent="0.25">
      <c r="AE554" s="71">
        <v>492</v>
      </c>
      <c r="AF554" s="17">
        <v>5.5292030703180366</v>
      </c>
      <c r="AG554" s="18">
        <v>-13427.699899671024</v>
      </c>
      <c r="AH554" s="20">
        <v>6386.8474442371353</v>
      </c>
      <c r="AN554" s="23">
        <v>549</v>
      </c>
      <c r="AO554" s="58">
        <v>274.5</v>
      </c>
      <c r="AP554" s="45">
        <f t="shared" si="137"/>
        <v>10807.710878476048</v>
      </c>
      <c r="AQ554" s="45">
        <f t="shared" si="138"/>
        <v>-3410.6354350648239</v>
      </c>
      <c r="AR554" s="45">
        <f t="shared" si="139"/>
        <v>220.28773648267651</v>
      </c>
      <c r="AS554" s="45">
        <f t="shared" si="140"/>
        <v>-1703.2627983079703</v>
      </c>
      <c r="AT554" s="45">
        <f t="shared" si="126"/>
        <v>-3.5797280904380386</v>
      </c>
      <c r="AU554" s="45">
        <f t="shared" si="127"/>
        <v>570.28203096757659</v>
      </c>
      <c r="AV554" s="64">
        <f t="shared" si="128"/>
        <v>910.11881410561034</v>
      </c>
      <c r="AW554" s="64">
        <f t="shared" si="129"/>
        <v>1080.2504634072689</v>
      </c>
      <c r="AX554" s="64">
        <f t="shared" si="130"/>
        <v>-136.85360775998629</v>
      </c>
      <c r="AY554" s="64">
        <f t="shared" si="131"/>
        <v>59.572548213076452</v>
      </c>
      <c r="AZ554" s="64">
        <f t="shared" si="132"/>
        <v>-776.84493443606209</v>
      </c>
      <c r="BA554" s="64">
        <f t="shared" si="133"/>
        <v>-569.54098065276878</v>
      </c>
      <c r="BB554" s="65">
        <f t="shared" si="134"/>
        <v>14266.749625986284</v>
      </c>
      <c r="BC554" s="65">
        <f t="shared" si="135"/>
        <v>33600.002862261601</v>
      </c>
      <c r="BD554" s="66">
        <f t="shared" si="136"/>
        <v>19600.9462587005</v>
      </c>
    </row>
    <row r="555" spans="31:56" x14ac:dyDescent="0.25">
      <c r="AE555" s="71">
        <v>493</v>
      </c>
      <c r="AF555" s="17">
        <v>5.5920349233898321</v>
      </c>
      <c r="AG555" s="18">
        <v>-13213.797106504851</v>
      </c>
      <c r="AH555" s="20">
        <v>6806.6553132619583</v>
      </c>
      <c r="AN555" s="23">
        <v>550</v>
      </c>
      <c r="AO555" s="58">
        <v>275</v>
      </c>
      <c r="AP555" s="45">
        <f t="shared" si="137"/>
        <v>10916.959814694777</v>
      </c>
      <c r="AQ555" s="45">
        <f t="shared" si="138"/>
        <v>-4119.6963264769147</v>
      </c>
      <c r="AR555" s="45">
        <f t="shared" si="139"/>
        <v>218.49787243745749</v>
      </c>
      <c r="AS555" s="45">
        <f t="shared" si="140"/>
        <v>-1418.121782824182</v>
      </c>
      <c r="AT555" s="45">
        <f t="shared" si="126"/>
        <v>-105.72286251914068</v>
      </c>
      <c r="AU555" s="45">
        <f t="shared" si="127"/>
        <v>579.97411633569016</v>
      </c>
      <c r="AV555" s="64">
        <f t="shared" si="128"/>
        <v>840.57285155432885</v>
      </c>
      <c r="AW555" s="64">
        <f t="shared" si="129"/>
        <v>1075.3229178864242</v>
      </c>
      <c r="AX555" s="64">
        <f t="shared" si="130"/>
        <v>-132.87047348795298</v>
      </c>
      <c r="AY555" s="64">
        <f t="shared" si="131"/>
        <v>60.681604777756817</v>
      </c>
      <c r="AZ555" s="64">
        <f t="shared" si="132"/>
        <v>-813.42524058551658</v>
      </c>
      <c r="BA555" s="64">
        <f t="shared" si="133"/>
        <v>-556.03040632849081</v>
      </c>
      <c r="BB555" s="65">
        <f t="shared" si="134"/>
        <v>14748.524052508123</v>
      </c>
      <c r="BC555" s="65">
        <f t="shared" si="135"/>
        <v>33988.589681470708</v>
      </c>
      <c r="BD555" s="66">
        <f t="shared" si="136"/>
        <v>19280.316848296046</v>
      </c>
    </row>
    <row r="556" spans="31:56" x14ac:dyDescent="0.25">
      <c r="AE556" s="71">
        <v>494</v>
      </c>
      <c r="AF556" s="17">
        <v>5.6548667764616285</v>
      </c>
      <c r="AG556" s="18">
        <v>-13026.676355838114</v>
      </c>
      <c r="AH556" s="20">
        <v>7239.0658548649162</v>
      </c>
      <c r="AN556" s="23">
        <v>551</v>
      </c>
      <c r="AO556" s="58">
        <v>275.5</v>
      </c>
      <c r="AP556" s="45">
        <f t="shared" si="137"/>
        <v>10999.77803528372</v>
      </c>
      <c r="AQ556" s="45">
        <f t="shared" si="138"/>
        <v>-4683.7636888050838</v>
      </c>
      <c r="AR556" s="45">
        <f t="shared" si="139"/>
        <v>165.63644117788715</v>
      </c>
      <c r="AS556" s="45">
        <f t="shared" si="140"/>
        <v>-1128.1347246563369</v>
      </c>
      <c r="AT556" s="45">
        <f t="shared" si="126"/>
        <v>-184.1572008473471</v>
      </c>
      <c r="AU556" s="45">
        <f t="shared" si="127"/>
        <v>585.09213027320095</v>
      </c>
      <c r="AV556" s="64">
        <f t="shared" si="128"/>
        <v>788.0818860969049</v>
      </c>
      <c r="AW556" s="64">
        <f t="shared" si="129"/>
        <v>1066.8407407366844</v>
      </c>
      <c r="AX556" s="64">
        <f t="shared" si="130"/>
        <v>-129.75635811194473</v>
      </c>
      <c r="AY556" s="64">
        <f t="shared" si="131"/>
        <v>61.462107808228538</v>
      </c>
      <c r="AZ556" s="64">
        <f t="shared" si="132"/>
        <v>-842.48272883230732</v>
      </c>
      <c r="BA556" s="64">
        <f t="shared" si="133"/>
        <v>-543.21071827171193</v>
      </c>
      <c r="BB556" s="65">
        <f t="shared" si="134"/>
        <v>15147.544125659666</v>
      </c>
      <c r="BC556" s="65">
        <f t="shared" si="135"/>
        <v>34301.591133729205</v>
      </c>
      <c r="BD556" s="66">
        <f t="shared" si="136"/>
        <v>19037.269468250008</v>
      </c>
    </row>
    <row r="557" spans="31:56" x14ac:dyDescent="0.25">
      <c r="AE557" s="71">
        <v>495</v>
      </c>
      <c r="AF557" s="17">
        <v>5.717698629533424</v>
      </c>
      <c r="AG557" s="18">
        <v>-12867.076127786346</v>
      </c>
      <c r="AH557" s="20">
        <v>7682.3725421878989</v>
      </c>
      <c r="AN557" s="23">
        <v>552</v>
      </c>
      <c r="AO557" s="58">
        <v>276</v>
      </c>
      <c r="AP557" s="45">
        <f t="shared" si="137"/>
        <v>11036.556955660828</v>
      </c>
      <c r="AQ557" s="45">
        <f t="shared" si="138"/>
        <v>-5101.5580185649515</v>
      </c>
      <c r="AR557" s="45">
        <f t="shared" si="139"/>
        <v>73.557840754213601</v>
      </c>
      <c r="AS557" s="45">
        <f t="shared" si="140"/>
        <v>-835.58865951973644</v>
      </c>
      <c r="AT557" s="45">
        <f t="shared" si="126"/>
        <v>-240.87771735423712</v>
      </c>
      <c r="AU557" s="45">
        <f t="shared" si="127"/>
        <v>584.7953712291386</v>
      </c>
      <c r="AV557" s="64">
        <f t="shared" si="128"/>
        <v>751.4498709979548</v>
      </c>
      <c r="AW557" s="64">
        <f t="shared" si="129"/>
        <v>1056.4510869965604</v>
      </c>
      <c r="AX557" s="64">
        <f t="shared" si="130"/>
        <v>-127.6036431188999</v>
      </c>
      <c r="AY557" s="64">
        <f t="shared" si="131"/>
        <v>62.088517830546628</v>
      </c>
      <c r="AZ557" s="64">
        <f t="shared" si="132"/>
        <v>-864.72394523329206</v>
      </c>
      <c r="BA557" s="64">
        <f t="shared" si="133"/>
        <v>-533.74423359796845</v>
      </c>
      <c r="BB557" s="65">
        <f t="shared" si="134"/>
        <v>15464.235374061369</v>
      </c>
      <c r="BC557" s="65">
        <f t="shared" si="135"/>
        <v>34515.575067642465</v>
      </c>
      <c r="BD557" s="66">
        <f t="shared" si="136"/>
        <v>18845.432142882513</v>
      </c>
    </row>
    <row r="558" spans="31:56" x14ac:dyDescent="0.25">
      <c r="AE558" s="71">
        <v>496</v>
      </c>
      <c r="AF558" s="17">
        <v>5.7805304826052195</v>
      </c>
      <c r="AG558" s="18">
        <v>-12735.626291535267</v>
      </c>
      <c r="AH558" s="20">
        <v>8134.8258462635913</v>
      </c>
      <c r="AN558" s="23">
        <v>553</v>
      </c>
      <c r="AO558" s="58">
        <v>276.5</v>
      </c>
      <c r="AP558" s="45">
        <f t="shared" si="137"/>
        <v>11013.116446699374</v>
      </c>
      <c r="AQ558" s="45">
        <f t="shared" si="138"/>
        <v>-5373.1535055175355</v>
      </c>
      <c r="AR558" s="45">
        <f t="shared" si="139"/>
        <v>-46.88101792290496</v>
      </c>
      <c r="AS558" s="45">
        <f t="shared" si="140"/>
        <v>-543.19097390516708</v>
      </c>
      <c r="AT558" s="45">
        <f t="shared" si="126"/>
        <v>-277.83884116378783</v>
      </c>
      <c r="AU558" s="45">
        <f t="shared" si="127"/>
        <v>578.1663757547725</v>
      </c>
      <c r="AV558" s="64">
        <f t="shared" si="128"/>
        <v>729.60268703466284</v>
      </c>
      <c r="AW558" s="64">
        <f t="shared" si="129"/>
        <v>1045.1106139887352</v>
      </c>
      <c r="AX558" s="64">
        <f t="shared" si="130"/>
        <v>-126.46244002569365</v>
      </c>
      <c r="AY558" s="64">
        <f t="shared" si="131"/>
        <v>62.687234497654003</v>
      </c>
      <c r="AZ558" s="64">
        <f t="shared" si="132"/>
        <v>-880.97908817275697</v>
      </c>
      <c r="BA558" s="64">
        <f t="shared" si="133"/>
        <v>-529.63147273161678</v>
      </c>
      <c r="BB558" s="65">
        <f t="shared" si="134"/>
        <v>15699.750226586526</v>
      </c>
      <c r="BC558" s="65">
        <f t="shared" si="135"/>
        <v>34614.2635403491</v>
      </c>
      <c r="BD558" s="66">
        <f t="shared" si="136"/>
        <v>18684.112817147176</v>
      </c>
    </row>
    <row r="559" spans="31:56" x14ac:dyDescent="0.25">
      <c r="AE559" s="71">
        <v>497</v>
      </c>
      <c r="AF559" s="17">
        <v>5.8433623356770159</v>
      </c>
      <c r="AG559" s="18">
        <v>-12632.845619534834</v>
      </c>
      <c r="AH559" s="20">
        <v>8594.6401406070654</v>
      </c>
      <c r="AN559" s="23">
        <v>554</v>
      </c>
      <c r="AO559" s="58">
        <v>277</v>
      </c>
      <c r="AP559" s="45">
        <f t="shared" si="137"/>
        <v>10920.216227446976</v>
      </c>
      <c r="AQ559" s="45">
        <f t="shared" si="138"/>
        <v>-5500.2073985314255</v>
      </c>
      <c r="AR559" s="45">
        <f t="shared" si="139"/>
        <v>-185.80043850479888</v>
      </c>
      <c r="AS559" s="45">
        <f t="shared" si="140"/>
        <v>-254.10778602778083</v>
      </c>
      <c r="AT559" s="45">
        <f t="shared" si="126"/>
        <v>-296.68105183914258</v>
      </c>
      <c r="AU559" s="45">
        <f t="shared" si="127"/>
        <v>564.27512176626283</v>
      </c>
      <c r="AV559" s="64">
        <f t="shared" si="128"/>
        <v>721.57713514343118</v>
      </c>
      <c r="AW559" s="64">
        <f t="shared" si="129"/>
        <v>1033.1361016833027</v>
      </c>
      <c r="AX559" s="64">
        <f t="shared" si="130"/>
        <v>-126.36180110762008</v>
      </c>
      <c r="AY559" s="64">
        <f t="shared" si="131"/>
        <v>63.344774500039449</v>
      </c>
      <c r="AZ559" s="64">
        <f t="shared" si="132"/>
        <v>-891.89638587495369</v>
      </c>
      <c r="BA559" s="64">
        <f t="shared" si="133"/>
        <v>-532.20575441707933</v>
      </c>
      <c r="BB559" s="65">
        <f t="shared" si="134"/>
        <v>15857.107736316495</v>
      </c>
      <c r="BC559" s="65">
        <f t="shared" si="135"/>
        <v>34587.80422272515</v>
      </c>
      <c r="BD559" s="66">
        <f t="shared" si="136"/>
        <v>18539.130082061107</v>
      </c>
    </row>
    <row r="560" spans="31:56" x14ac:dyDescent="0.25">
      <c r="AE560" s="71">
        <v>498</v>
      </c>
      <c r="AF560" s="17">
        <v>5.9061941887488114</v>
      </c>
      <c r="AG560" s="18">
        <v>-12559.139740141416</v>
      </c>
      <c r="AH560" s="20">
        <v>9060.0007482677211</v>
      </c>
      <c r="AN560" s="23">
        <v>555</v>
      </c>
      <c r="AO560" s="58">
        <v>277.5</v>
      </c>
      <c r="AP560" s="45">
        <f t="shared" si="137"/>
        <v>10753.14574523479</v>
      </c>
      <c r="AQ560" s="45">
        <f t="shared" si="138"/>
        <v>-5486.1925111037499</v>
      </c>
      <c r="AR560" s="45">
        <f t="shared" si="139"/>
        <v>-334.14096442437017</v>
      </c>
      <c r="AS560" s="45">
        <f t="shared" si="140"/>
        <v>28.029774855350581</v>
      </c>
      <c r="AT560" s="45">
        <f t="shared" si="126"/>
        <v>-298.59311423155964</v>
      </c>
      <c r="AU560" s="45">
        <f t="shared" si="127"/>
        <v>542.19234519045449</v>
      </c>
      <c r="AV560" s="64">
        <f t="shared" si="128"/>
        <v>726.47391607414193</v>
      </c>
      <c r="AW560" s="64">
        <f t="shared" si="129"/>
        <v>1020.2529280238751</v>
      </c>
      <c r="AX560" s="64">
        <f t="shared" si="130"/>
        <v>-127.32228345380457</v>
      </c>
      <c r="AY560" s="64">
        <f t="shared" si="131"/>
        <v>64.114982215257072</v>
      </c>
      <c r="AZ560" s="64">
        <f t="shared" si="132"/>
        <v>-897.74474685189693</v>
      </c>
      <c r="BA560" s="64">
        <f t="shared" si="133"/>
        <v>-542.17556504867775</v>
      </c>
      <c r="BB560" s="65">
        <f t="shared" si="134"/>
        <v>15941.941837314444</v>
      </c>
      <c r="BC560" s="65">
        <f t="shared" si="135"/>
        <v>34432.225192668251</v>
      </c>
      <c r="BD560" s="66">
        <f t="shared" si="136"/>
        <v>18403.101200786441</v>
      </c>
    </row>
    <row r="561" spans="31:56" x14ac:dyDescent="0.25">
      <c r="AE561" s="71">
        <v>499</v>
      </c>
      <c r="AF561" s="17">
        <v>5.9690260418206078</v>
      </c>
      <c r="AG561" s="18">
        <v>-12514.799536787963</v>
      </c>
      <c r="AH561" s="20">
        <v>9529.0711035301501</v>
      </c>
      <c r="AN561" s="23">
        <v>556</v>
      </c>
      <c r="AO561" s="58">
        <v>278</v>
      </c>
      <c r="AP561" s="45">
        <f t="shared" si="137"/>
        <v>10511.426984464715</v>
      </c>
      <c r="AQ561" s="45">
        <f t="shared" si="138"/>
        <v>-5336.6295373784606</v>
      </c>
      <c r="AR561" s="45">
        <f t="shared" si="139"/>
        <v>-483.43752154014999</v>
      </c>
      <c r="AS561" s="45">
        <f t="shared" si="140"/>
        <v>299.12594745057783</v>
      </c>
      <c r="AT561" s="45">
        <f t="shared" si="126"/>
        <v>-284.33155154759027</v>
      </c>
      <c r="AU561" s="45">
        <f t="shared" si="127"/>
        <v>511.03777748391769</v>
      </c>
      <c r="AV561" s="64">
        <f t="shared" si="128"/>
        <v>743.36470645011207</v>
      </c>
      <c r="AW561" s="64">
        <f t="shared" si="129"/>
        <v>1005.6620033633016</v>
      </c>
      <c r="AX561" s="64">
        <f t="shared" si="130"/>
        <v>-129.36160501533928</v>
      </c>
      <c r="AY561" s="64">
        <f t="shared" si="131"/>
        <v>65.023868385149683</v>
      </c>
      <c r="AZ561" s="64">
        <f t="shared" si="132"/>
        <v>-898.33465298236308</v>
      </c>
      <c r="BA561" s="64">
        <f t="shared" si="133"/>
        <v>-559.6480942645336</v>
      </c>
      <c r="BB561" s="65">
        <f t="shared" si="134"/>
        <v>15962.83420170245</v>
      </c>
      <c r="BC561" s="65">
        <f t="shared" si="135"/>
        <v>34149.075861509213</v>
      </c>
      <c r="BD561" s="66">
        <f t="shared" si="136"/>
        <v>18275.259116965935</v>
      </c>
    </row>
    <row r="562" spans="31:56" x14ac:dyDescent="0.25">
      <c r="AE562" s="71">
        <v>500</v>
      </c>
      <c r="AF562" s="17">
        <v>6.0318578948924033</v>
      </c>
      <c r="AG562" s="18">
        <v>-12500</v>
      </c>
      <c r="AH562" s="20">
        <v>10000.000000000005</v>
      </c>
      <c r="AN562" s="23">
        <v>557</v>
      </c>
      <c r="AO562" s="58">
        <v>278.5</v>
      </c>
      <c r="AP562" s="45">
        <f t="shared" si="137"/>
        <v>10198.625335807743</v>
      </c>
      <c r="AQ562" s="45">
        <f t="shared" si="138"/>
        <v>-5059.3071192821917</v>
      </c>
      <c r="AR562" s="45">
        <f t="shared" si="139"/>
        <v>-625.60329731394518</v>
      </c>
      <c r="AS562" s="45">
        <f t="shared" si="140"/>
        <v>554.64483619253667</v>
      </c>
      <c r="AT562" s="45">
        <f t="shared" si="126"/>
        <v>-254.39509726418987</v>
      </c>
      <c r="AU562" s="45">
        <f t="shared" si="127"/>
        <v>470.1127567327876</v>
      </c>
      <c r="AV562" s="64">
        <f t="shared" si="128"/>
        <v>771.15750126651039</v>
      </c>
      <c r="AW562" s="64">
        <f t="shared" si="129"/>
        <v>988.14750252611827</v>
      </c>
      <c r="AX562" s="64">
        <f t="shared" si="130"/>
        <v>-132.49454718776431</v>
      </c>
      <c r="AY562" s="64">
        <f t="shared" si="131"/>
        <v>66.07175179477089</v>
      </c>
      <c r="AZ562" s="64">
        <f t="shared" si="132"/>
        <v>-893.05805134293598</v>
      </c>
      <c r="BA562" s="64">
        <f t="shared" si="133"/>
        <v>-584.10649758810155</v>
      </c>
      <c r="BB562" s="65">
        <f t="shared" si="134"/>
        <v>15931.20022547963</v>
      </c>
      <c r="BC562" s="65">
        <f t="shared" si="135"/>
        <v>33745.217484635548</v>
      </c>
      <c r="BD562" s="66">
        <f t="shared" si="136"/>
        <v>18160.825615786602</v>
      </c>
    </row>
    <row r="563" spans="31:56" x14ac:dyDescent="0.25">
      <c r="AE563" s="71">
        <v>501</v>
      </c>
      <c r="AF563" s="17">
        <v>6.0946897479641988</v>
      </c>
      <c r="AG563" s="18" cm="1">
        <f t="array" ref="AG563:AG662">COS(AF63:AF162)*$AL$36+$K$26</f>
        <v>-12514.799536787963</v>
      </c>
      <c r="AH563" s="20" cm="1">
        <f t="array" ref="AH563:AH662">SIN(AF63:AF162)*$AL$36+$L$26</f>
        <v>10470.92889646985</v>
      </c>
      <c r="AN563" s="23">
        <v>558</v>
      </c>
      <c r="AO563" s="58">
        <v>279</v>
      </c>
      <c r="AP563" s="45">
        <f t="shared" si="137"/>
        <v>9822.224912834723</v>
      </c>
      <c r="AQ563" s="45">
        <f t="shared" si="138"/>
        <v>-4664.4565120027273</v>
      </c>
      <c r="AR563" s="45">
        <f t="shared" si="139"/>
        <v>-752.80084594604011</v>
      </c>
      <c r="AS563" s="45">
        <f t="shared" si="140"/>
        <v>789.70121455893047</v>
      </c>
      <c r="AT563" s="45">
        <f t="shared" si="126"/>
        <v>-209.33231921747984</v>
      </c>
      <c r="AU563" s="45">
        <f t="shared" si="127"/>
        <v>419.12833182379825</v>
      </c>
      <c r="AV563" s="64">
        <f t="shared" si="128"/>
        <v>808.44454502361532</v>
      </c>
      <c r="AW563" s="64">
        <f t="shared" si="129"/>
        <v>966.25130994564483</v>
      </c>
      <c r="AX563" s="64">
        <f t="shared" si="130"/>
        <v>-136.72767648493209</v>
      </c>
      <c r="AY563" s="64">
        <f t="shared" si="131"/>
        <v>67.232980492261916</v>
      </c>
      <c r="AZ563" s="64">
        <f t="shared" si="132"/>
        <v>-881.04918775616306</v>
      </c>
      <c r="BA563" s="64">
        <f t="shared" si="133"/>
        <v>-614.35595861410854</v>
      </c>
      <c r="BB563" s="65">
        <f t="shared" si="134"/>
        <v>15860.678042168554</v>
      </c>
      <c r="BC563" s="65">
        <f t="shared" si="135"/>
        <v>33232.685469942378</v>
      </c>
      <c r="BD563" s="66">
        <f t="shared" si="136"/>
        <v>18069.914514433684</v>
      </c>
    </row>
    <row r="564" spans="31:56" x14ac:dyDescent="0.25">
      <c r="AE564" s="71">
        <v>502</v>
      </c>
      <c r="AF564" s="17">
        <v>6.1575216010359952</v>
      </c>
      <c r="AG564" s="18">
        <v>-12559.139740141416</v>
      </c>
      <c r="AH564" s="20">
        <v>10939.999251732283</v>
      </c>
      <c r="AN564" s="23">
        <v>559</v>
      </c>
      <c r="AO564" s="58">
        <v>279.5</v>
      </c>
      <c r="AP564" s="45">
        <f t="shared" si="137"/>
        <v>9393.4914100573333</v>
      </c>
      <c r="AQ564" s="45">
        <f t="shared" si="138"/>
        <v>-4164.8238217673124</v>
      </c>
      <c r="AR564" s="45">
        <f t="shared" si="139"/>
        <v>-857.46700555478003</v>
      </c>
      <c r="AS564" s="45">
        <f t="shared" si="140"/>
        <v>999.26538047082954</v>
      </c>
      <c r="AT564" s="45">
        <f t="shared" si="126"/>
        <v>-150.1277864741246</v>
      </c>
      <c r="AU564" s="45">
        <f t="shared" si="127"/>
        <v>358.49315584211581</v>
      </c>
      <c r="AV564" s="64">
        <f t="shared" si="128"/>
        <v>853.38160271794811</v>
      </c>
      <c r="AW564" s="64">
        <f t="shared" si="129"/>
        <v>938.53184240867142</v>
      </c>
      <c r="AX564" s="64">
        <f t="shared" si="130"/>
        <v>-142.04914877099762</v>
      </c>
      <c r="AY564" s="64">
        <f t="shared" si="131"/>
        <v>68.453969564321028</v>
      </c>
      <c r="AZ564" s="64">
        <f t="shared" si="132"/>
        <v>-861.46024042107513</v>
      </c>
      <c r="BA564" s="64">
        <f t="shared" si="133"/>
        <v>-648.49265613087664</v>
      </c>
      <c r="BB564" s="65">
        <f t="shared" si="134"/>
        <v>15765.980440854219</v>
      </c>
      <c r="BC564" s="65">
        <f t="shared" si="135"/>
        <v>32628.508564977667</v>
      </c>
      <c r="BD564" s="66">
        <f t="shared" si="136"/>
        <v>18015.927336241544</v>
      </c>
    </row>
    <row r="565" spans="31:56" x14ac:dyDescent="0.25">
      <c r="AE565" s="71">
        <v>503</v>
      </c>
      <c r="AF565" s="17">
        <v>6.2203534541077907</v>
      </c>
      <c r="AG565" s="18">
        <v>-12632.845619534834</v>
      </c>
      <c r="AH565" s="20">
        <v>11405.359859392935</v>
      </c>
      <c r="AN565" s="23">
        <v>560</v>
      </c>
      <c r="AO565" s="58">
        <v>280</v>
      </c>
      <c r="AP565" s="45">
        <f t="shared" si="137"/>
        <v>8927.2259606614116</v>
      </c>
      <c r="AQ565" s="45">
        <f t="shared" si="138"/>
        <v>-3575.5678425713686</v>
      </c>
      <c r="AR565" s="45">
        <f t="shared" si="139"/>
        <v>-932.53089879184233</v>
      </c>
      <c r="AS565" s="45">
        <f t="shared" si="140"/>
        <v>1178.5119583918874</v>
      </c>
      <c r="AT565" s="45">
        <f t="shared" si="126"/>
        <v>-78.561598106754559</v>
      </c>
      <c r="AU565" s="45">
        <f t="shared" si="127"/>
        <v>289.57190041561114</v>
      </c>
      <c r="AV565" s="64">
        <f t="shared" si="128"/>
        <v>903.66663871679384</v>
      </c>
      <c r="AW565" s="64">
        <f t="shared" si="129"/>
        <v>903.89464542655173</v>
      </c>
      <c r="AX565" s="64">
        <f t="shared" si="130"/>
        <v>-148.41400657845202</v>
      </c>
      <c r="AY565" s="64">
        <f t="shared" si="131"/>
        <v>69.650799486738649</v>
      </c>
      <c r="AZ565" s="64">
        <f t="shared" si="132"/>
        <v>-833.81423024509638</v>
      </c>
      <c r="BA565" s="64">
        <f t="shared" si="133"/>
        <v>-683.9735444976792</v>
      </c>
      <c r="BB565" s="65">
        <f t="shared" si="134"/>
        <v>15661.242861332928</v>
      </c>
      <c r="BC565" s="65">
        <f t="shared" si="135"/>
        <v>31954.349375748858</v>
      </c>
      <c r="BD565" s="66">
        <f t="shared" si="136"/>
        <v>18013.474764159484</v>
      </c>
    </row>
    <row r="566" spans="31:56" x14ac:dyDescent="0.25">
      <c r="AE566" s="71">
        <v>504</v>
      </c>
      <c r="AF566" s="17">
        <v>6.2831853071795871</v>
      </c>
      <c r="AG566" s="18">
        <v>-12735.626291535267</v>
      </c>
      <c r="AH566" s="20">
        <v>11865.174153736411</v>
      </c>
      <c r="AN566" s="23">
        <v>561</v>
      </c>
      <c r="AO566" s="58">
        <v>280.5</v>
      </c>
      <c r="AP566" s="45">
        <f t="shared" si="137"/>
        <v>8441.3201117388016</v>
      </c>
      <c r="AQ566" s="45">
        <f t="shared" si="138"/>
        <v>-2913.9188882715221</v>
      </c>
      <c r="AR566" s="45">
        <f t="shared" si="139"/>
        <v>-971.81169784521967</v>
      </c>
      <c r="AS566" s="45">
        <f t="shared" si="140"/>
        <v>1323.2979085996931</v>
      </c>
      <c r="AT566" s="45">
        <f t="shared" si="126"/>
        <v>2.6077638267082648</v>
      </c>
      <c r="AU566" s="45">
        <f t="shared" si="127"/>
        <v>214.78764841292082</v>
      </c>
      <c r="AV566" s="64">
        <f t="shared" si="128"/>
        <v>956.68102004809793</v>
      </c>
      <c r="AW566" s="64">
        <f t="shared" si="129"/>
        <v>861.93221380304908</v>
      </c>
      <c r="AX566" s="64">
        <f t="shared" si="130"/>
        <v>-155.72609049023194</v>
      </c>
      <c r="AY566" s="64">
        <f t="shared" si="131"/>
        <v>70.708184200931555</v>
      </c>
      <c r="AZ566" s="64">
        <f t="shared" si="132"/>
        <v>-798.3471657311577</v>
      </c>
      <c r="BA566" s="64">
        <f t="shared" si="133"/>
        <v>-717.85274959105982</v>
      </c>
      <c r="BB566" s="65">
        <f t="shared" si="134"/>
        <v>15558.045743948443</v>
      </c>
      <c r="BC566" s="65">
        <f t="shared" si="135"/>
        <v>31235.84464603533</v>
      </c>
      <c r="BD566" s="66">
        <f t="shared" si="136"/>
        <v>18076.018449468174</v>
      </c>
    </row>
    <row r="567" spans="31:56" x14ac:dyDescent="0.25">
      <c r="AE567" s="71">
        <v>505</v>
      </c>
      <c r="AF567" s="17" cm="1">
        <f t="array" ref="AF567:AF667">$AL$35*AE62:AE162</f>
        <v>0</v>
      </c>
      <c r="AG567" s="18">
        <v>-12867.076127786349</v>
      </c>
      <c r="AH567" s="20">
        <v>12317.627457812105</v>
      </c>
      <c r="AN567" s="23">
        <v>562</v>
      </c>
      <c r="AO567" s="58">
        <v>281</v>
      </c>
      <c r="AP567" s="45">
        <f t="shared" si="137"/>
        <v>7956.0662037728689</v>
      </c>
      <c r="AQ567" s="45">
        <f t="shared" si="138"/>
        <v>-2198.5730218684453</v>
      </c>
      <c r="AR567" s="45">
        <f t="shared" si="139"/>
        <v>-970.50781593186548</v>
      </c>
      <c r="AS567" s="45">
        <f t="shared" si="140"/>
        <v>1430.6917328061536</v>
      </c>
      <c r="AT567" s="45">
        <f t="shared" si="126"/>
        <v>89.777643851579569</v>
      </c>
      <c r="AU567" s="45">
        <f t="shared" si="127"/>
        <v>137.46048078121805</v>
      </c>
      <c r="AV567" s="64">
        <f t="shared" si="128"/>
        <v>1009.8094969287861</v>
      </c>
      <c r="AW567" s="64">
        <f t="shared" si="129"/>
        <v>813.16547482252338</v>
      </c>
      <c r="AX567" s="64">
        <f t="shared" si="130"/>
        <v>-163.81890756795465</v>
      </c>
      <c r="AY567" s="64">
        <f t="shared" si="131"/>
        <v>71.482049433003553</v>
      </c>
      <c r="AZ567" s="64">
        <f t="shared" si="132"/>
        <v>-756.21294550925188</v>
      </c>
      <c r="BA567" s="64">
        <f t="shared" si="133"/>
        <v>-747.18704347430889</v>
      </c>
      <c r="BB567" s="65">
        <f t="shared" si="134"/>
        <v>15463.46209451223</v>
      </c>
      <c r="BC567" s="65">
        <f t="shared" si="135"/>
        <v>30501.58719410497</v>
      </c>
      <c r="BD567" s="66">
        <f t="shared" si="136"/>
        <v>18213.626331759962</v>
      </c>
    </row>
    <row r="568" spans="31:56" x14ac:dyDescent="0.25">
      <c r="AE568" s="71">
        <v>506</v>
      </c>
      <c r="AF568" s="17">
        <v>6.2831853071795868E-2</v>
      </c>
      <c r="AG568" s="18">
        <v>-13026.676355838115</v>
      </c>
      <c r="AH568" s="20">
        <v>12760.934145135085</v>
      </c>
      <c r="AN568" s="23">
        <v>563</v>
      </c>
      <c r="AO568" s="58">
        <v>281.5</v>
      </c>
      <c r="AP568" s="45">
        <f t="shared" si="137"/>
        <v>7493.256706769831</v>
      </c>
      <c r="AQ568" s="45">
        <f t="shared" si="138"/>
        <v>-1448.8620352700639</v>
      </c>
      <c r="AR568" s="45">
        <f t="shared" si="139"/>
        <v>-925.6189940060757</v>
      </c>
      <c r="AS568" s="45">
        <f t="shared" si="140"/>
        <v>1499.4219731967626</v>
      </c>
      <c r="AT568" s="45">
        <f t="shared" si="126"/>
        <v>178.99148501947923</v>
      </c>
      <c r="AU568" s="45">
        <f t="shared" si="127"/>
        <v>61.371380695920493</v>
      </c>
      <c r="AV568" s="64">
        <f t="shared" si="128"/>
        <v>1060.8739489540487</v>
      </c>
      <c r="AW568" s="64">
        <f t="shared" si="129"/>
        <v>759.07967273468876</v>
      </c>
      <c r="AX568" s="64">
        <f t="shared" si="130"/>
        <v>-172.4392218898476</v>
      </c>
      <c r="AY568" s="64">
        <f t="shared" si="131"/>
        <v>71.807893911675407</v>
      </c>
      <c r="AZ568" s="64">
        <f t="shared" si="132"/>
        <v>-709.44324204472184</v>
      </c>
      <c r="BA568" s="64">
        <f t="shared" si="133"/>
        <v>-769.51618595044363</v>
      </c>
      <c r="BB568" s="65">
        <f t="shared" si="134"/>
        <v>15378.581193629523</v>
      </c>
      <c r="BC568" s="65">
        <f t="shared" si="135"/>
        <v>29781.799916173513</v>
      </c>
      <c r="BD568" s="66">
        <f t="shared" si="136"/>
        <v>18431.353810298209</v>
      </c>
    </row>
    <row r="569" spans="31:56" x14ac:dyDescent="0.25">
      <c r="AE569" s="71">
        <v>507</v>
      </c>
      <c r="AF569" s="17">
        <v>0.12566370614359174</v>
      </c>
      <c r="AG569" s="18">
        <v>-13213.797106504855</v>
      </c>
      <c r="AH569" s="20">
        <v>13193.344686738044</v>
      </c>
      <c r="AN569" s="23">
        <v>564</v>
      </c>
      <c r="AO569" s="58">
        <v>282</v>
      </c>
      <c r="AP569" s="45">
        <f t="shared" si="137"/>
        <v>7075.1950810216631</v>
      </c>
      <c r="AQ569" s="45">
        <f t="shared" si="138"/>
        <v>-683.80820349770249</v>
      </c>
      <c r="AR569" s="45">
        <f t="shared" si="139"/>
        <v>-836.12325149633602</v>
      </c>
      <c r="AS569" s="45">
        <f t="shared" si="140"/>
        <v>1530.1076635447228</v>
      </c>
      <c r="AT569" s="45">
        <f t="shared" si="126"/>
        <v>266.66055908189355</v>
      </c>
      <c r="AU569" s="45">
        <f t="shared" si="127"/>
        <v>-9.8222668199832697</v>
      </c>
      <c r="AV569" s="64">
        <f t="shared" si="128"/>
        <v>1108.5456373304667</v>
      </c>
      <c r="AW569" s="64">
        <f t="shared" si="129"/>
        <v>701.91580744212752</v>
      </c>
      <c r="AX569" s="64">
        <f t="shared" si="130"/>
        <v>-181.2381821671344</v>
      </c>
      <c r="AY569" s="64">
        <f t="shared" si="131"/>
        <v>71.516159777607655</v>
      </c>
      <c r="AZ569" s="64">
        <f t="shared" si="132"/>
        <v>-660.64689608143874</v>
      </c>
      <c r="BA569" s="64">
        <f t="shared" si="133"/>
        <v>-783.25423403971843</v>
      </c>
      <c r="BB569" s="65">
        <f t="shared" si="134"/>
        <v>15297.885439016822</v>
      </c>
      <c r="BC569" s="65">
        <f t="shared" si="135"/>
        <v>29106.871120141106</v>
      </c>
      <c r="BD569" s="66">
        <f t="shared" si="136"/>
        <v>18728.686120466897</v>
      </c>
    </row>
    <row r="570" spans="31:56" x14ac:dyDescent="0.25">
      <c r="AE570" s="71">
        <v>508</v>
      </c>
      <c r="AF570" s="17">
        <v>0.1884955592153876</v>
      </c>
      <c r="AG570" s="18">
        <v>-13427.699899671024</v>
      </c>
      <c r="AH570" s="20">
        <v>13613.152555762865</v>
      </c>
      <c r="AN570" s="23">
        <v>565</v>
      </c>
      <c r="AO570" s="58">
        <v>282.5</v>
      </c>
      <c r="AP570" s="45">
        <f t="shared" si="137"/>
        <v>6723.7985950439688</v>
      </c>
      <c r="AQ570" s="45">
        <f t="shared" si="138"/>
        <v>78.790061569663067</v>
      </c>
      <c r="AR570" s="45">
        <f t="shared" si="139"/>
        <v>-702.79297195538925</v>
      </c>
      <c r="AS570" s="45">
        <f t="shared" si="140"/>
        <v>1525.1965301347311</v>
      </c>
      <c r="AT570" s="45">
        <f t="shared" si="126"/>
        <v>350.26983210440585</v>
      </c>
      <c r="AU570" s="45">
        <f t="shared" si="127"/>
        <v>-73.10687448084991</v>
      </c>
      <c r="AV570" s="64">
        <f t="shared" si="128"/>
        <v>1152.5973482072968</v>
      </c>
      <c r="AW570" s="64">
        <f t="shared" si="129"/>
        <v>644.28571355744441</v>
      </c>
      <c r="AX570" s="64">
        <f t="shared" si="130"/>
        <v>-189.77481784801071</v>
      </c>
      <c r="AY570" s="64">
        <f t="shared" si="131"/>
        <v>70.453899066828868</v>
      </c>
      <c r="AZ570" s="64">
        <f t="shared" si="132"/>
        <v>-612.55269825488028</v>
      </c>
      <c r="BA570" s="64">
        <f t="shared" si="133"/>
        <v>-787.84648710512317</v>
      </c>
      <c r="BB570" s="65">
        <f t="shared" si="134"/>
        <v>15209.598308147841</v>
      </c>
      <c r="BC570" s="65">
        <f t="shared" si="135"/>
        <v>28505.996176083427</v>
      </c>
      <c r="BD570" s="66">
        <f t="shared" si="136"/>
        <v>19100.192753426523</v>
      </c>
    </row>
    <row r="571" spans="31:56" x14ac:dyDescent="0.25">
      <c r="AE571" s="71">
        <v>509</v>
      </c>
      <c r="AF571" s="17">
        <v>0.25132741228718347</v>
      </c>
      <c r="AG571" s="18">
        <v>-13667.540558734887</v>
      </c>
      <c r="AH571" s="20">
        <v>14018.700962342475</v>
      </c>
      <c r="AN571" s="23">
        <v>566</v>
      </c>
      <c r="AO571" s="58">
        <v>283</v>
      </c>
      <c r="AP571" s="45">
        <f t="shared" si="137"/>
        <v>6459.9695670923757</v>
      </c>
      <c r="AQ571" s="45">
        <f t="shared" si="138"/>
        <v>823.11160801681615</v>
      </c>
      <c r="AR571" s="45">
        <f t="shared" si="139"/>
        <v>-527.65805590318632</v>
      </c>
      <c r="AS571" s="45">
        <f t="shared" si="140"/>
        <v>1488.6430928943062</v>
      </c>
      <c r="AT571" s="45">
        <f t="shared" si="126"/>
        <v>428.83342621955842</v>
      </c>
      <c r="AU571" s="45">
        <f t="shared" si="127"/>
        <v>-126.38781870520063</v>
      </c>
      <c r="AV571" s="64">
        <f t="shared" si="128"/>
        <v>1193.9325409072737</v>
      </c>
      <c r="AW571" s="64">
        <f t="shared" si="129"/>
        <v>588.75453513163825</v>
      </c>
      <c r="AX571" s="64">
        <f t="shared" si="130"/>
        <v>-197.53525645166752</v>
      </c>
      <c r="AY571" s="64">
        <f t="shared" si="131"/>
        <v>68.509489300139393</v>
      </c>
      <c r="AZ571" s="64">
        <f t="shared" si="132"/>
        <v>-567.56385823604785</v>
      </c>
      <c r="BA571" s="64">
        <f t="shared" si="133"/>
        <v>-783.6518431369783</v>
      </c>
      <c r="BB571" s="65">
        <f t="shared" si="134"/>
        <v>15096.79643908152</v>
      </c>
      <c r="BC571" s="65">
        <f t="shared" si="135"/>
        <v>28006.16485794459</v>
      </c>
      <c r="BD571" s="66">
        <f t="shared" si="136"/>
        <v>19537.189240994721</v>
      </c>
    </row>
    <row r="572" spans="31:56" x14ac:dyDescent="0.25">
      <c r="AE572" s="71">
        <v>510</v>
      </c>
      <c r="AF572" s="17">
        <v>0.31415926535897931</v>
      </c>
      <c r="AG572" s="18">
        <v>-13932.372542187895</v>
      </c>
      <c r="AH572" s="20">
        <v>14408.389392193549</v>
      </c>
      <c r="AN572" s="23">
        <v>567</v>
      </c>
      <c r="AO572" s="58">
        <v>283.5</v>
      </c>
      <c r="AP572" s="45">
        <f t="shared" si="137"/>
        <v>6303.3488956956717</v>
      </c>
      <c r="AQ572" s="45">
        <f t="shared" si="138"/>
        <v>1535.8361997876691</v>
      </c>
      <c r="AR572" s="45">
        <f t="shared" si="139"/>
        <v>-313.24134279340711</v>
      </c>
      <c r="AS572" s="45">
        <f t="shared" si="140"/>
        <v>1425.4491835417059</v>
      </c>
      <c r="AT572" s="45">
        <f t="shared" si="126"/>
        <v>503.00456169146082</v>
      </c>
      <c r="AU572" s="45">
        <f t="shared" si="127"/>
        <v>-168.46450246133202</v>
      </c>
      <c r="AV572" s="64">
        <f t="shared" si="128"/>
        <v>1234.4328297983302</v>
      </c>
      <c r="AW572" s="64">
        <f t="shared" si="129"/>
        <v>537.52990721674769</v>
      </c>
      <c r="AX572" s="64">
        <f t="shared" si="130"/>
        <v>-203.96804503315482</v>
      </c>
      <c r="AY572" s="64">
        <f t="shared" si="131"/>
        <v>65.634948234755839</v>
      </c>
      <c r="AZ572" s="64">
        <f t="shared" si="132"/>
        <v>-527.46022307371459</v>
      </c>
      <c r="BA572" s="64">
        <f t="shared" si="133"/>
        <v>-771.62935791283553</v>
      </c>
      <c r="BB572" s="65">
        <f t="shared" si="134"/>
        <v>14938.858768620987</v>
      </c>
      <c r="BC572" s="65">
        <f t="shared" si="135"/>
        <v>27631.652718676087</v>
      </c>
      <c r="BD572" s="66">
        <f t="shared" si="136"/>
        <v>20029.96692668345</v>
      </c>
    </row>
    <row r="573" spans="31:56" x14ac:dyDescent="0.25">
      <c r="AE573" s="71">
        <v>511</v>
      </c>
      <c r="AF573" s="17">
        <v>0.37699111843077521</v>
      </c>
      <c r="AG573" s="18">
        <v>-14221.150679181581</v>
      </c>
      <c r="AH573" s="20">
        <v>14780.679923115173</v>
      </c>
      <c r="AN573" s="23">
        <v>568</v>
      </c>
      <c r="AO573" s="58">
        <v>284</v>
      </c>
      <c r="AP573" s="45">
        <f t="shared" si="137"/>
        <v>6272.479364721833</v>
      </c>
      <c r="AQ573" s="45">
        <f t="shared" si="138"/>
        <v>2206.4446659431887</v>
      </c>
      <c r="AR573" s="45">
        <f t="shared" si="139"/>
        <v>-61.739061947676703</v>
      </c>
      <c r="AS573" s="45">
        <f t="shared" si="140"/>
        <v>1341.21693231104</v>
      </c>
      <c r="AT573" s="45">
        <f t="shared" si="126"/>
        <v>574.90697730207125</v>
      </c>
      <c r="AU573" s="45">
        <f t="shared" si="127"/>
        <v>-198.77733248894936</v>
      </c>
      <c r="AV573" s="64">
        <f t="shared" si="128"/>
        <v>1276.7298340642601</v>
      </c>
      <c r="AW573" s="64">
        <f t="shared" si="129"/>
        <v>492.32779923068614</v>
      </c>
      <c r="AX573" s="64">
        <f t="shared" si="130"/>
        <v>-208.53210539692023</v>
      </c>
      <c r="AY573" s="64">
        <f t="shared" si="131"/>
        <v>61.859654727545824</v>
      </c>
      <c r="AZ573" s="64">
        <f t="shared" si="132"/>
        <v>-493.29075136526848</v>
      </c>
      <c r="BA573" s="64">
        <f t="shared" si="133"/>
        <v>-752.96478644718127</v>
      </c>
      <c r="BB573" s="65">
        <f t="shared" si="134"/>
        <v>14712.802277836443</v>
      </c>
      <c r="BC573" s="65">
        <f t="shared" si="135"/>
        <v>27404.063142438201</v>
      </c>
      <c r="BD573" s="66">
        <f t="shared" si="136"/>
        <v>20570.136826726368</v>
      </c>
    </row>
    <row r="574" spans="31:56" x14ac:dyDescent="0.25">
      <c r="AE574" s="71">
        <v>512</v>
      </c>
      <c r="AF574" s="17">
        <v>0.4398229715025711</v>
      </c>
      <c r="AG574" s="18">
        <v>-14532.735294339414</v>
      </c>
      <c r="AH574" s="20">
        <v>15134.103294465165</v>
      </c>
      <c r="AN574" s="23">
        <v>569</v>
      </c>
      <c r="AO574" s="58">
        <v>284.5</v>
      </c>
      <c r="AP574" s="45">
        <f t="shared" si="137"/>
        <v>6385.3365780735121</v>
      </c>
      <c r="AQ574" s="45">
        <f t="shared" si="138"/>
        <v>2827.3587989764715</v>
      </c>
      <c r="AR574" s="45">
        <f t="shared" si="139"/>
        <v>225.71442670335892</v>
      </c>
      <c r="AS574" s="45">
        <f t="shared" si="140"/>
        <v>1241.8282660665652</v>
      </c>
      <c r="AT574" s="45">
        <f t="shared" si="126"/>
        <v>647.84033434191792</v>
      </c>
      <c r="AU574" s="45">
        <f t="shared" si="127"/>
        <v>-217.05499094584189</v>
      </c>
      <c r="AV574" s="64">
        <f t="shared" si="128"/>
        <v>1324.004102945139</v>
      </c>
      <c r="AW574" s="64">
        <f t="shared" si="129"/>
        <v>454.4068354846076</v>
      </c>
      <c r="AX574" s="64">
        <f t="shared" si="130"/>
        <v>-210.75026591117418</v>
      </c>
      <c r="AY574" s="64">
        <f t="shared" si="131"/>
        <v>57.290762084018198</v>
      </c>
      <c r="AZ574" s="64">
        <f t="shared" si="132"/>
        <v>-465.4135026920469</v>
      </c>
      <c r="BA574" s="64">
        <f t="shared" si="133"/>
        <v>-728.75258851446767</v>
      </c>
      <c r="BB574" s="65">
        <f t="shared" si="134"/>
        <v>14394.187572970059</v>
      </c>
      <c r="BC574" s="65">
        <f t="shared" si="135"/>
        <v>27342.874174761586</v>
      </c>
      <c r="BD574" s="66">
        <f t="shared" si="136"/>
        <v>21152.792031868095</v>
      </c>
    </row>
    <row r="575" spans="31:56" x14ac:dyDescent="0.25">
      <c r="AE575" s="71">
        <v>513</v>
      </c>
      <c r="AF575" s="17">
        <v>0.50265482457436694</v>
      </c>
      <c r="AG575" s="18">
        <v>-14865.896705534837</v>
      </c>
      <c r="AH575" s="20">
        <v>15467.264705660586</v>
      </c>
      <c r="AN575" s="23">
        <v>570</v>
      </c>
      <c r="AO575" s="58">
        <v>285</v>
      </c>
      <c r="AP575" s="45">
        <f t="shared" si="137"/>
        <v>6660.1538750106711</v>
      </c>
      <c r="AQ575" s="45">
        <f t="shared" si="138"/>
        <v>3394.0091842732936</v>
      </c>
      <c r="AR575" s="45">
        <f t="shared" si="139"/>
        <v>549.63459387431794</v>
      </c>
      <c r="AS575" s="45">
        <f t="shared" si="140"/>
        <v>1133.3007705936443</v>
      </c>
      <c r="AT575" s="45">
        <f t="shared" si="126"/>
        <v>725.99491941208362</v>
      </c>
      <c r="AU575" s="45">
        <f t="shared" si="127"/>
        <v>-222.97247089538934</v>
      </c>
      <c r="AV575" s="64">
        <f t="shared" si="128"/>
        <v>1379.8588976282117</v>
      </c>
      <c r="AW575" s="64">
        <f t="shared" si="129"/>
        <v>424.71913900466723</v>
      </c>
      <c r="AX575" s="64">
        <f t="shared" si="130"/>
        <v>-210.25933467890397</v>
      </c>
      <c r="AY575" s="64">
        <f t="shared" si="131"/>
        <v>52.099145425847304</v>
      </c>
      <c r="AZ575" s="64">
        <f t="shared" si="132"/>
        <v>-443.60464353722415</v>
      </c>
      <c r="BA575" s="64">
        <f t="shared" si="133"/>
        <v>-699.79075532590389</v>
      </c>
      <c r="BB575" s="65">
        <f t="shared" si="134"/>
        <v>13957.458766452613</v>
      </c>
      <c r="BC575" s="65">
        <f t="shared" si="135"/>
        <v>27466.396183276611</v>
      </c>
      <c r="BD575" s="66">
        <f t="shared" si="136"/>
        <v>21778.401278791254</v>
      </c>
    </row>
    <row r="576" spans="31:56" x14ac:dyDescent="0.25">
      <c r="AE576" s="71">
        <v>514</v>
      </c>
      <c r="AF576" s="17">
        <v>0.56548667764616278</v>
      </c>
      <c r="AG576" s="18">
        <v>-15219.320076884827</v>
      </c>
      <c r="AH576" s="20">
        <v>15778.849320818419</v>
      </c>
      <c r="AN576" s="23">
        <v>571</v>
      </c>
      <c r="AO576" s="58">
        <v>285.5</v>
      </c>
      <c r="AP576" s="45">
        <f t="shared" si="137"/>
        <v>7116.4699018008505</v>
      </c>
      <c r="AQ576" s="45">
        <f t="shared" si="138"/>
        <v>3904.9164518462685</v>
      </c>
      <c r="AR576" s="45">
        <f t="shared" si="139"/>
        <v>912.63205358035975</v>
      </c>
      <c r="AS576" s="45">
        <f t="shared" si="140"/>
        <v>1021.8145351459497</v>
      </c>
      <c r="AT576" s="45">
        <f t="shared" si="126"/>
        <v>814.21354031481542</v>
      </c>
      <c r="AU576" s="45">
        <f t="shared" si="127"/>
        <v>-215.88023867964205</v>
      </c>
      <c r="AV576" s="64">
        <f t="shared" si="128"/>
        <v>1448.22964128902</v>
      </c>
      <c r="AW576" s="64">
        <f t="shared" si="129"/>
        <v>404.12111569285645</v>
      </c>
      <c r="AX576" s="64">
        <f t="shared" si="130"/>
        <v>-206.84823842848084</v>
      </c>
      <c r="AY576" s="64">
        <f t="shared" si="131"/>
        <v>46.49415279996623</v>
      </c>
      <c r="AZ576" s="64">
        <f t="shared" si="132"/>
        <v>-427.16786254572395</v>
      </c>
      <c r="BA576" s="64">
        <f t="shared" si="133"/>
        <v>-666.49550717246473</v>
      </c>
      <c r="BB576" s="65">
        <f t="shared" si="134"/>
        <v>13375.723289206046</v>
      </c>
      <c r="BC576" s="65">
        <f t="shared" si="135"/>
        <v>27793.038398027762</v>
      </c>
      <c r="BD576" s="66">
        <f t="shared" si="136"/>
        <v>22454.503088078647</v>
      </c>
    </row>
    <row r="577" spans="31:56" x14ac:dyDescent="0.25">
      <c r="AE577" s="71">
        <v>515</v>
      </c>
      <c r="AF577" s="17">
        <v>0.62831853071795862</v>
      </c>
      <c r="AG577" s="18">
        <v>-15591.610607806451</v>
      </c>
      <c r="AH577" s="20">
        <v>16067.627457812105</v>
      </c>
      <c r="AN577" s="23">
        <v>572</v>
      </c>
      <c r="AO577" s="58">
        <v>286</v>
      </c>
      <c r="AP577" s="45">
        <f t="shared" si="137"/>
        <v>7776.339313669735</v>
      </c>
      <c r="AQ577" s="45">
        <f t="shared" si="138"/>
        <v>4361.853659749333</v>
      </c>
      <c r="AR577" s="45">
        <f t="shared" si="139"/>
        <v>1319.7388237377675</v>
      </c>
      <c r="AS577" s="45">
        <f t="shared" si="140"/>
        <v>913.87441580612858</v>
      </c>
      <c r="AT577" s="45">
        <f t="shared" si="126"/>
        <v>917.65468749946263</v>
      </c>
      <c r="AU577" s="45">
        <f t="shared" si="127"/>
        <v>-194.62784613870315</v>
      </c>
      <c r="AV577" s="64">
        <f t="shared" si="128"/>
        <v>1533.1404834978396</v>
      </c>
      <c r="AW577" s="64">
        <f t="shared" si="129"/>
        <v>393.59888341462846</v>
      </c>
      <c r="AX577" s="64">
        <f t="shared" si="130"/>
        <v>-200.47883599374507</v>
      </c>
      <c r="AY577" s="64">
        <f t="shared" si="131"/>
        <v>40.69395188082153</v>
      </c>
      <c r="AZ577" s="64">
        <f t="shared" si="132"/>
        <v>-415.00696000463205</v>
      </c>
      <c r="BA577" s="64">
        <f t="shared" si="133"/>
        <v>-628.92068143415315</v>
      </c>
      <c r="BB577" s="65">
        <f t="shared" si="134"/>
        <v>12620.057172111574</v>
      </c>
      <c r="BC577" s="65">
        <f t="shared" si="135"/>
        <v>28342.789556114563</v>
      </c>
      <c r="BD577" s="66">
        <f t="shared" si="136"/>
        <v>23197.332247471291</v>
      </c>
    </row>
    <row r="578" spans="31:56" x14ac:dyDescent="0.25">
      <c r="AE578" s="71">
        <v>516</v>
      </c>
      <c r="AF578" s="17">
        <v>0.69115038378975457</v>
      </c>
      <c r="AG578" s="18">
        <v>-15981.299037657525</v>
      </c>
      <c r="AH578" s="20">
        <v>16332.459441265113</v>
      </c>
      <c r="AN578" s="23">
        <v>573</v>
      </c>
      <c r="AO578" s="58">
        <v>286.5</v>
      </c>
      <c r="AP578" s="45">
        <f t="shared" si="137"/>
        <v>8665.6223974134846</v>
      </c>
      <c r="AQ578" s="45">
        <f t="shared" si="138"/>
        <v>4770.1339061177214</v>
      </c>
      <c r="AR578" s="45">
        <f t="shared" si="139"/>
        <v>1778.5661674874987</v>
      </c>
      <c r="AS578" s="45">
        <f t="shared" si="140"/>
        <v>816.56049273677695</v>
      </c>
      <c r="AT578" s="45">
        <f t="shared" si="126"/>
        <v>1040.8055073497685</v>
      </c>
      <c r="AU578" s="45">
        <f t="shared" si="127"/>
        <v>-157.51924876635053</v>
      </c>
      <c r="AV578" s="64">
        <f t="shared" si="128"/>
        <v>1637.7528894272402</v>
      </c>
      <c r="AW578" s="64">
        <f t="shared" si="129"/>
        <v>394.45007390479958</v>
      </c>
      <c r="AX578" s="64">
        <f t="shared" si="130"/>
        <v>-191.2886776046735</v>
      </c>
      <c r="AY578" s="64">
        <f t="shared" si="131"/>
        <v>34.899440007921413</v>
      </c>
      <c r="AZ578" s="64">
        <f t="shared" si="132"/>
        <v>-405.65870447279832</v>
      </c>
      <c r="BA578" s="64">
        <f t="shared" si="133"/>
        <v>-586.86876267907155</v>
      </c>
      <c r="BB578" s="65">
        <f t="shared" si="134"/>
        <v>11658.485516075531</v>
      </c>
      <c r="BC578" s="65">
        <f t="shared" si="135"/>
        <v>29138.795561776966</v>
      </c>
      <c r="BD578" s="66">
        <f t="shared" si="136"/>
        <v>24033.464797538338</v>
      </c>
    </row>
    <row r="579" spans="31:56" x14ac:dyDescent="0.25">
      <c r="AE579" s="71">
        <v>517</v>
      </c>
      <c r="AF579" s="17">
        <v>0.75398223686155041</v>
      </c>
      <c r="AG579" s="18">
        <v>-16386.847444237137</v>
      </c>
      <c r="AH579" s="20">
        <v>16572.300100328976</v>
      </c>
      <c r="AN579" s="23">
        <v>574</v>
      </c>
      <c r="AO579" s="58">
        <v>287</v>
      </c>
      <c r="AP579" s="45">
        <f t="shared" si="137"/>
        <v>9815.106857994675</v>
      </c>
      <c r="AQ579" s="45">
        <f t="shared" si="138"/>
        <v>5139.0343402945218</v>
      </c>
      <c r="AR579" s="45">
        <f t="shared" si="139"/>
        <v>2298.9689211623827</v>
      </c>
      <c r="AS579" s="45">
        <f t="shared" si="140"/>
        <v>737.80086835360169</v>
      </c>
      <c r="AT579" s="45">
        <f t="shared" si="126"/>
        <v>1184.1963036687937</v>
      </c>
      <c r="AU579" s="45">
        <f t="shared" si="127"/>
        <v>-102.57585964574128</v>
      </c>
      <c r="AV579" s="64">
        <f t="shared" si="128"/>
        <v>1761.0915661887336</v>
      </c>
      <c r="AW579" s="64">
        <f t="shared" si="129"/>
        <v>408.2396008869548</v>
      </c>
      <c r="AX579" s="64">
        <f t="shared" si="130"/>
        <v>-179.58002857637436</v>
      </c>
      <c r="AY579" s="64">
        <f t="shared" si="131"/>
        <v>29.278189618314741</v>
      </c>
      <c r="AZ579" s="64">
        <f t="shared" si="132"/>
        <v>-397.31523394356554</v>
      </c>
      <c r="BA579" s="64">
        <f t="shared" si="133"/>
        <v>-540.09365015101082</v>
      </c>
      <c r="BB579" s="65">
        <f t="shared" si="134"/>
        <v>10454.960887558385</v>
      </c>
      <c r="BC579" s="65">
        <f t="shared" si="135"/>
        <v>30208.766676222927</v>
      </c>
      <c r="BD579" s="66">
        <f t="shared" si="136"/>
        <v>25001.361870373436</v>
      </c>
    </row>
    <row r="580" spans="31:56" x14ac:dyDescent="0.25">
      <c r="AE580" s="71">
        <v>518</v>
      </c>
      <c r="AF580" s="17">
        <v>0.81681408993334625</v>
      </c>
      <c r="AG580" s="18">
        <v>-16806.655313261956</v>
      </c>
      <c r="AH580" s="20">
        <v>16786.202893495145</v>
      </c>
      <c r="AN580" s="23">
        <v>575</v>
      </c>
      <c r="AO580" s="58">
        <v>287.5</v>
      </c>
      <c r="AP580" s="45">
        <f t="shared" si="137"/>
        <v>11260.640394493064</v>
      </c>
      <c r="AQ580" s="45">
        <f t="shared" si="138"/>
        <v>5482.2908095598868</v>
      </c>
      <c r="AR580" s="45">
        <f t="shared" si="139"/>
        <v>2891.0670729967796</v>
      </c>
      <c r="AS580" s="45">
        <f t="shared" si="140"/>
        <v>686.51293853073105</v>
      </c>
      <c r="AT580" s="45">
        <f t="shared" si="126"/>
        <v>1334.078477570913</v>
      </c>
      <c r="AU580" s="45">
        <f t="shared" si="127"/>
        <v>-28.800981389458173</v>
      </c>
      <c r="AV580" s="64">
        <f t="shared" si="128"/>
        <v>1887.7814895119461</v>
      </c>
      <c r="AW580" s="64">
        <f t="shared" si="129"/>
        <v>435.84361244625029</v>
      </c>
      <c r="AX580" s="64">
        <f t="shared" si="130"/>
        <v>-165.80448712728327</v>
      </c>
      <c r="AY580" s="64">
        <f t="shared" si="131"/>
        <v>23.961647805625002</v>
      </c>
      <c r="AZ580" s="64">
        <f t="shared" si="132"/>
        <v>-387.89852481374982</v>
      </c>
      <c r="BA580" s="64">
        <f t="shared" si="133"/>
        <v>-488.60624164133344</v>
      </c>
      <c r="BB580" s="65">
        <f t="shared" si="134"/>
        <v>8969.2561950003874</v>
      </c>
      <c r="BC580" s="65">
        <f t="shared" si="135"/>
        <v>31585.397483698041</v>
      </c>
      <c r="BD580" s="66">
        <f t="shared" si="136"/>
        <v>26152.106279349679</v>
      </c>
    </row>
    <row r="581" spans="31:56" x14ac:dyDescent="0.25">
      <c r="AE581" s="71">
        <v>519</v>
      </c>
      <c r="AF581" s="17">
        <v>0.87964594300514221</v>
      </c>
      <c r="AG581" s="18">
        <v>-17239.065854864915</v>
      </c>
      <c r="AH581" s="20">
        <v>16973.323644161886</v>
      </c>
      <c r="AN581" s="23">
        <v>576</v>
      </c>
      <c r="AO581" s="58">
        <v>288</v>
      </c>
      <c r="AP581" s="45">
        <f t="shared" si="137"/>
        <v>13039.693550384181</v>
      </c>
      <c r="AQ581" s="45">
        <f t="shared" si="138"/>
        <v>5818.3470334778885</v>
      </c>
      <c r="AR581" s="45">
        <f t="shared" si="139"/>
        <v>3558.1063117822359</v>
      </c>
      <c r="AS581" s="45">
        <f t="shared" si="140"/>
        <v>672.11244783600193</v>
      </c>
      <c r="AT581" s="45">
        <f t="shared" si="126"/>
        <v>1432.914559540267</v>
      </c>
      <c r="AU581" s="45">
        <f t="shared" si="127"/>
        <v>59.211188895892008</v>
      </c>
      <c r="AV581" s="64">
        <f t="shared" si="128"/>
        <v>1958.7603828341846</v>
      </c>
      <c r="AW581" s="64">
        <f t="shared" si="129"/>
        <v>473.24858931763072</v>
      </c>
      <c r="AX581" s="64">
        <f t="shared" si="130"/>
        <v>-150.55854235542958</v>
      </c>
      <c r="AY581" s="64">
        <f t="shared" si="131"/>
        <v>19.055369696929478</v>
      </c>
      <c r="AZ581" s="64">
        <f t="shared" si="132"/>
        <v>-375.28728093848815</v>
      </c>
      <c r="BA581" s="64">
        <f t="shared" si="133"/>
        <v>-433.09277011866817</v>
      </c>
      <c r="BB581" s="65">
        <f t="shared" si="134"/>
        <v>7160.5741789591275</v>
      </c>
      <c r="BC581" s="65">
        <f t="shared" si="135"/>
        <v>33303.266678146174</v>
      </c>
      <c r="BD581" s="66">
        <f t="shared" si="136"/>
        <v>27546.943870384068</v>
      </c>
    </row>
    <row r="582" spans="31:56" x14ac:dyDescent="0.25">
      <c r="AE582" s="71">
        <v>520</v>
      </c>
      <c r="AF582" s="17">
        <v>0.94247779607693805</v>
      </c>
      <c r="AG582" s="18">
        <v>-17682.372542187895</v>
      </c>
      <c r="AH582" s="20">
        <v>17132.923872213651</v>
      </c>
      <c r="AN582" s="23">
        <v>577</v>
      </c>
      <c r="AO582" s="58">
        <v>288.5</v>
      </c>
      <c r="AP582" s="45">
        <f t="shared" si="137"/>
        <v>15176.975346160365</v>
      </c>
      <c r="AQ582" s="45">
        <f t="shared" si="138"/>
        <v>6169.2060546198627</v>
      </c>
      <c r="AR582" s="45">
        <f t="shared" si="139"/>
        <v>4274.563591552369</v>
      </c>
      <c r="AS582" s="45">
        <f t="shared" si="140"/>
        <v>701.71804228394797</v>
      </c>
      <c r="AT582" s="45">
        <f t="shared" ref="AT582:AT645" si="141">AV582+AX582+AZ582</f>
        <v>1313.8250001143911</v>
      </c>
      <c r="AU582" s="45">
        <f t="shared" ref="AU582:AU645" si="142">AW582+AY582+BA582</f>
        <v>137.62417384993182</v>
      </c>
      <c r="AV582" s="64">
        <f t="shared" ref="AV582:AV645" si="143">$K$22*(($K$18-AP582)/((BB582^2+$K$23^2)^(3/2)))</f>
        <v>1806.2727019376764</v>
      </c>
      <c r="AW582" s="64">
        <f t="shared" ref="AW582:AW645" si="144">$K$22*(($L$18-AQ582)/((BB582^2+$K$23^2)^(3/2)))</f>
        <v>498.39612027079767</v>
      </c>
      <c r="AX582" s="64">
        <f t="shared" ref="AX582:AX645" si="145">$K$30*(($K$26-AP582)/((BC582^2+$K$31^2)^(3/2)))</f>
        <v>-134.61328940484813</v>
      </c>
      <c r="AY582" s="64">
        <f t="shared" ref="AY582:AY645" si="146">$K$30*(($L$26-AQ582)/((BC582^2+$K$31^2)^(3/2)))</f>
        <v>14.659468841344919</v>
      </c>
      <c r="AZ582" s="64">
        <f t="shared" ref="AZ582:AZ645" si="147">$K$38*(($K$34-AP582)/((BD582^2+$K$39^2)^(3/2)))</f>
        <v>-357.83441241843718</v>
      </c>
      <c r="BA582" s="64">
        <f t="shared" ref="BA582:BA645" si="148">$K$38*(($L$34-AQ582)/((BD582^2+$K$39^2)^(3/2)))</f>
        <v>-375.43141526221075</v>
      </c>
      <c r="BB582" s="65">
        <f t="shared" ref="BB582:BB645" si="149">SQRT(($K$18-AP582)^2+($L$18-AQ582)^2)</f>
        <v>5003.2568729384029</v>
      </c>
      <c r="BC582" s="65">
        <f t="shared" ref="BC582:BC645" si="150">SQRT(($K$26-AP582)^2+($L$26-AQ582)^2)</f>
        <v>35384.948449253614</v>
      </c>
      <c r="BD582" s="66">
        <f t="shared" ref="BD582:BD645" si="151">SQRT(($K$34-AP582)^2+($L$34-AQ582)^2)</f>
        <v>29244.582730866881</v>
      </c>
    </row>
    <row r="583" spans="31:56" x14ac:dyDescent="0.25">
      <c r="AE583" s="71">
        <v>521</v>
      </c>
      <c r="AF583" s="17">
        <v>1.0053096491487339</v>
      </c>
      <c r="AG583" s="18">
        <v>-18134.825846263589</v>
      </c>
      <c r="AH583" s="20">
        <v>17264.373708464733</v>
      </c>
      <c r="AN583" s="23">
        <v>578</v>
      </c>
      <c r="AO583" s="58">
        <v>289</v>
      </c>
      <c r="AP583" s="45">
        <f t="shared" ref="AP583:AP646" si="152">AP582+AR582*$K$5+AT582*$K$5^2</f>
        <v>17642.713391965146</v>
      </c>
      <c r="AQ583" s="45">
        <f t="shared" ref="AQ583:AQ646" si="153">AQ582+AS582*$K$5+AU582*$K$5^2</f>
        <v>6554.4711192243194</v>
      </c>
      <c r="AR583" s="45">
        <f t="shared" ref="AR583:AR646" si="154">AR582+AT582*$K$5</f>
        <v>4931.4760916095647</v>
      </c>
      <c r="AS583" s="45">
        <f t="shared" ref="AS583:AS646" si="155">AS582+AU582*$K$5</f>
        <v>770.53012920891388</v>
      </c>
      <c r="AT583" s="45">
        <f t="shared" si="141"/>
        <v>669.50367075135705</v>
      </c>
      <c r="AU583" s="45">
        <f t="shared" si="142"/>
        <v>142.47457098881006</v>
      </c>
      <c r="AV583" s="64">
        <f t="shared" si="143"/>
        <v>1123.7959529214797</v>
      </c>
      <c r="AW583" s="64">
        <f t="shared" si="144"/>
        <v>450.76467408089366</v>
      </c>
      <c r="AX583" s="64">
        <f t="shared" si="145"/>
        <v>-118.99537861065737</v>
      </c>
      <c r="AY583" s="64">
        <f t="shared" si="146"/>
        <v>10.891935695830357</v>
      </c>
      <c r="AZ583" s="64">
        <f t="shared" si="147"/>
        <v>-335.29690355946531</v>
      </c>
      <c r="BA583" s="64">
        <f t="shared" si="148"/>
        <v>-319.18203878791394</v>
      </c>
      <c r="BB583" s="65">
        <f t="shared" si="149"/>
        <v>2539.8474396706151</v>
      </c>
      <c r="BC583" s="65">
        <f t="shared" si="150"/>
        <v>37800.073290641798</v>
      </c>
      <c r="BD583" s="66">
        <f t="shared" si="151"/>
        <v>31261.60096636372</v>
      </c>
    </row>
    <row r="584" spans="31:56" x14ac:dyDescent="0.25">
      <c r="AE584" s="71">
        <v>522</v>
      </c>
      <c r="AF584" s="17">
        <v>1.0681415022205298</v>
      </c>
      <c r="AG584" s="18">
        <v>-18594.640140607065</v>
      </c>
      <c r="AH584" s="20">
        <v>17367.154380465166</v>
      </c>
      <c r="AN584" s="23">
        <v>579</v>
      </c>
      <c r="AO584" s="58">
        <v>289.5</v>
      </c>
      <c r="AP584" s="45">
        <f t="shared" si="152"/>
        <v>20275.827355457764</v>
      </c>
      <c r="AQ584" s="45">
        <f t="shared" si="153"/>
        <v>6975.3548265759782</v>
      </c>
      <c r="AR584" s="45">
        <f t="shared" si="154"/>
        <v>5266.2279269852434</v>
      </c>
      <c r="AS584" s="45">
        <f t="shared" si="155"/>
        <v>841.76741470331888</v>
      </c>
      <c r="AT584" s="45">
        <f t="shared" si="141"/>
        <v>-558.57586049258146</v>
      </c>
      <c r="AU584" s="45">
        <f t="shared" si="142"/>
        <v>11.720630279397994</v>
      </c>
      <c r="AV584" s="64">
        <f t="shared" si="143"/>
        <v>-143.66508607793773</v>
      </c>
      <c r="AW584" s="64">
        <f t="shared" si="144"/>
        <v>273.262214602489</v>
      </c>
      <c r="AX584" s="64">
        <f t="shared" si="145"/>
        <v>-105.01723001516838</v>
      </c>
      <c r="AY584" s="64">
        <f t="shared" si="146"/>
        <v>7.8866128580893342</v>
      </c>
      <c r="AZ584" s="64">
        <f t="shared" si="147"/>
        <v>-309.89354439947533</v>
      </c>
      <c r="BA584" s="64">
        <f t="shared" si="148"/>
        <v>-269.42819718118034</v>
      </c>
      <c r="BB584" s="65">
        <f t="shared" si="149"/>
        <v>592.73374124976704</v>
      </c>
      <c r="BC584" s="65">
        <f t="shared" si="150"/>
        <v>40389.240492880737</v>
      </c>
      <c r="BD584" s="66">
        <f t="shared" si="151"/>
        <v>33493.039101533068</v>
      </c>
    </row>
    <row r="585" spans="31:56" x14ac:dyDescent="0.25">
      <c r="AE585" s="71">
        <v>523</v>
      </c>
      <c r="AF585" s="17">
        <v>1.1309733552923256</v>
      </c>
      <c r="AG585" s="18">
        <v>-19060.000748267717</v>
      </c>
      <c r="AH585" s="20">
        <v>17440.860259858586</v>
      </c>
      <c r="AN585" s="23">
        <v>580</v>
      </c>
      <c r="AO585" s="58">
        <v>290</v>
      </c>
      <c r="AP585" s="45">
        <f t="shared" si="152"/>
        <v>22769.297353827242</v>
      </c>
      <c r="AQ585" s="45">
        <f t="shared" si="153"/>
        <v>7399.1686914974871</v>
      </c>
      <c r="AR585" s="45">
        <f t="shared" si="154"/>
        <v>4986.9399967389527</v>
      </c>
      <c r="AS585" s="45">
        <f t="shared" si="155"/>
        <v>847.62772984301785</v>
      </c>
      <c r="AT585" s="45">
        <f t="shared" si="141"/>
        <v>-1677.3876300264544</v>
      </c>
      <c r="AU585" s="45">
        <f t="shared" si="142"/>
        <v>-177.60774622945311</v>
      </c>
      <c r="AV585" s="64">
        <f t="shared" si="143"/>
        <v>-1297.6890351837483</v>
      </c>
      <c r="AW585" s="64">
        <f t="shared" si="144"/>
        <v>47.249416270197898</v>
      </c>
      <c r="AX585" s="64">
        <f t="shared" si="145"/>
        <v>-93.856797879849339</v>
      </c>
      <c r="AY585" s="64">
        <f t="shared" si="146"/>
        <v>5.7074984520375907</v>
      </c>
      <c r="AZ585" s="64">
        <f t="shared" si="147"/>
        <v>-285.84179696285673</v>
      </c>
      <c r="BA585" s="64">
        <f t="shared" si="148"/>
        <v>-230.56466095168861</v>
      </c>
      <c r="BB585" s="65">
        <f t="shared" si="149"/>
        <v>2771.1324015082519</v>
      </c>
      <c r="BC585" s="65">
        <f t="shared" si="150"/>
        <v>42848.303579434512</v>
      </c>
      <c r="BD585" s="66">
        <f t="shared" si="151"/>
        <v>35677.116385653113</v>
      </c>
    </row>
    <row r="586" spans="31:56" x14ac:dyDescent="0.25">
      <c r="AE586" s="71">
        <v>524</v>
      </c>
      <c r="AF586" s="17">
        <v>1.1938052083641215</v>
      </c>
      <c r="AG586" s="18">
        <v>-19529.07110353015</v>
      </c>
      <c r="AH586" s="20">
        <v>17485.200463212037</v>
      </c>
      <c r="AN586" s="23">
        <v>581</v>
      </c>
      <c r="AO586" s="58">
        <v>290.5</v>
      </c>
      <c r="AP586" s="45">
        <f t="shared" si="152"/>
        <v>24843.420444690106</v>
      </c>
      <c r="AQ586" s="45">
        <f t="shared" si="153"/>
        <v>7778.5806198616328</v>
      </c>
      <c r="AR586" s="45">
        <f t="shared" si="154"/>
        <v>4148.2461817257254</v>
      </c>
      <c r="AS586" s="45">
        <f t="shared" si="155"/>
        <v>758.82385672829128</v>
      </c>
      <c r="AT586" s="45">
        <f t="shared" si="141"/>
        <v>-2199.2387689685343</v>
      </c>
      <c r="AU586" s="45">
        <f t="shared" si="142"/>
        <v>-305.34663402804051</v>
      </c>
      <c r="AV586" s="64">
        <f t="shared" si="143"/>
        <v>-1846.9653869501874</v>
      </c>
      <c r="AW586" s="64">
        <f t="shared" si="144"/>
        <v>-106.23252064017014</v>
      </c>
      <c r="AX586" s="64">
        <f t="shared" si="145"/>
        <v>-85.832809617001416</v>
      </c>
      <c r="AY586" s="64">
        <f t="shared" si="146"/>
        <v>4.2519206796481335</v>
      </c>
      <c r="AZ586" s="64">
        <f t="shared" si="147"/>
        <v>-266.44057240134543</v>
      </c>
      <c r="BA586" s="64">
        <f t="shared" si="148"/>
        <v>-203.36603406751854</v>
      </c>
      <c r="BB586" s="65">
        <f t="shared" si="149"/>
        <v>4851.4254364881863</v>
      </c>
      <c r="BC586" s="65">
        <f t="shared" si="150"/>
        <v>44898.408226146559</v>
      </c>
      <c r="BD586" s="66">
        <f t="shared" si="151"/>
        <v>37543.221477306441</v>
      </c>
    </row>
    <row r="587" spans="31:56" x14ac:dyDescent="0.25">
      <c r="AE587" s="71">
        <v>525</v>
      </c>
      <c r="AF587" s="17">
        <v>1.2566370614359172</v>
      </c>
      <c r="AG587" s="18">
        <v>-20000</v>
      </c>
      <c r="AH587" s="20">
        <v>17500</v>
      </c>
      <c r="AN587" s="23">
        <v>582</v>
      </c>
      <c r="AO587" s="58">
        <v>291</v>
      </c>
      <c r="AP587" s="45">
        <f t="shared" si="152"/>
        <v>26367.733843310838</v>
      </c>
      <c r="AQ587" s="45">
        <f t="shared" si="153"/>
        <v>8081.6558897187688</v>
      </c>
      <c r="AR587" s="45">
        <f t="shared" si="154"/>
        <v>3048.626797241458</v>
      </c>
      <c r="AS587" s="45">
        <f t="shared" si="155"/>
        <v>606.15053971427096</v>
      </c>
      <c r="AT587" s="45">
        <f t="shared" si="141"/>
        <v>-2327.0092081829166</v>
      </c>
      <c r="AU587" s="45">
        <f t="shared" si="142"/>
        <v>-364.70722140546388</v>
      </c>
      <c r="AV587" s="64">
        <f t="shared" si="143"/>
        <v>-1993.793205911539</v>
      </c>
      <c r="AW587" s="64">
        <f t="shared" si="144"/>
        <v>-182.1215505604012</v>
      </c>
      <c r="AX587" s="64">
        <f t="shared" si="145"/>
        <v>-80.55478143693017</v>
      </c>
      <c r="AY587" s="64">
        <f t="shared" si="146"/>
        <v>3.33274408119085</v>
      </c>
      <c r="AZ587" s="64">
        <f t="shared" si="147"/>
        <v>-252.66122083444708</v>
      </c>
      <c r="BA587" s="64">
        <f t="shared" si="148"/>
        <v>-185.91841492625352</v>
      </c>
      <c r="BB587" s="65">
        <f t="shared" si="149"/>
        <v>6394.2441205580153</v>
      </c>
      <c r="BC587" s="65">
        <f t="shared" si="150"/>
        <v>46407.400119911523</v>
      </c>
      <c r="BD587" s="66">
        <f t="shared" si="151"/>
        <v>38944.801515429208</v>
      </c>
    </row>
    <row r="588" spans="31:56" x14ac:dyDescent="0.25">
      <c r="AE588" s="71">
        <v>526</v>
      </c>
      <c r="AF588" s="17">
        <v>1.3194689145077132</v>
      </c>
      <c r="AG588" s="18">
        <v>-20470.92889646985</v>
      </c>
      <c r="AH588" s="20">
        <v>17485.200463212037</v>
      </c>
      <c r="AN588" s="23">
        <v>583</v>
      </c>
      <c r="AO588" s="58">
        <v>291.5</v>
      </c>
      <c r="AP588" s="45">
        <f t="shared" si="152"/>
        <v>27310.294939885836</v>
      </c>
      <c r="AQ588" s="45">
        <f t="shared" si="153"/>
        <v>8293.5543542245377</v>
      </c>
      <c r="AR588" s="45">
        <f t="shared" si="154"/>
        <v>1885.1221931499997</v>
      </c>
      <c r="AS588" s="45">
        <f t="shared" si="155"/>
        <v>423.79692901153902</v>
      </c>
      <c r="AT588" s="45">
        <f t="shared" si="141"/>
        <v>-2323.2811350016464</v>
      </c>
      <c r="AU588" s="45">
        <f t="shared" si="142"/>
        <v>-390.56377823742883</v>
      </c>
      <c r="AV588" s="64">
        <f t="shared" si="143"/>
        <v>-2001.5009619200298</v>
      </c>
      <c r="AW588" s="64">
        <f t="shared" si="144"/>
        <v>-217.2689086250526</v>
      </c>
      <c r="AX588" s="64">
        <f t="shared" si="145"/>
        <v>-77.5255970161909</v>
      </c>
      <c r="AY588" s="64">
        <f t="shared" si="146"/>
        <v>2.7962881574194083</v>
      </c>
      <c r="AZ588" s="64">
        <f t="shared" si="147"/>
        <v>-244.25457606542577</v>
      </c>
      <c r="BA588" s="64">
        <f t="shared" si="148"/>
        <v>-176.09115776979564</v>
      </c>
      <c r="BB588" s="65">
        <f t="shared" si="149"/>
        <v>7353.2401444009147</v>
      </c>
      <c r="BC588" s="65">
        <f t="shared" si="150"/>
        <v>47341.060022362959</v>
      </c>
      <c r="BD588" s="66">
        <f t="shared" si="151"/>
        <v>39831.455328115051</v>
      </c>
    </row>
    <row r="589" spans="31:56" x14ac:dyDescent="0.25">
      <c r="AE589" s="71">
        <v>527</v>
      </c>
      <c r="AF589" s="17">
        <v>1.3823007675795091</v>
      </c>
      <c r="AG589" s="18">
        <v>-20939.999251732283</v>
      </c>
      <c r="AH589" s="20">
        <v>17440.860259858582</v>
      </c>
      <c r="AN589" s="23">
        <v>584</v>
      </c>
      <c r="AO589" s="58">
        <v>292</v>
      </c>
      <c r="AP589" s="45">
        <f t="shared" si="152"/>
        <v>27672.035752710424</v>
      </c>
      <c r="AQ589" s="45">
        <f t="shared" si="153"/>
        <v>8407.8118741709495</v>
      </c>
      <c r="AR589" s="45">
        <f t="shared" si="154"/>
        <v>723.48162564917652</v>
      </c>
      <c r="AS589" s="45">
        <f t="shared" si="155"/>
        <v>228.5150398928246</v>
      </c>
      <c r="AT589" s="45">
        <f t="shared" si="141"/>
        <v>-2307.9445901807171</v>
      </c>
      <c r="AU589" s="45">
        <f t="shared" si="142"/>
        <v>-405.51854482407703</v>
      </c>
      <c r="AV589" s="64">
        <f t="shared" si="143"/>
        <v>-1990.7471181753504</v>
      </c>
      <c r="AW589" s="64">
        <f t="shared" si="144"/>
        <v>-235.559886658859</v>
      </c>
      <c r="AX589" s="64">
        <f t="shared" si="145"/>
        <v>-76.411363904232573</v>
      </c>
      <c r="AY589" s="64">
        <f t="shared" si="146"/>
        <v>2.5520467998852872</v>
      </c>
      <c r="AZ589" s="64">
        <f t="shared" si="147"/>
        <v>-240.78610810113406</v>
      </c>
      <c r="BA589" s="64">
        <f t="shared" si="148"/>
        <v>-172.51070496510334</v>
      </c>
      <c r="BB589" s="65">
        <f t="shared" si="149"/>
        <v>7725.5585551953964</v>
      </c>
      <c r="BC589" s="65">
        <f t="shared" si="150"/>
        <v>47698.616917429914</v>
      </c>
      <c r="BD589" s="66">
        <f t="shared" si="151"/>
        <v>40191.884466431366</v>
      </c>
    </row>
    <row r="590" spans="31:56" x14ac:dyDescent="0.25">
      <c r="AE590" s="71">
        <v>528</v>
      </c>
      <c r="AF590" s="17">
        <v>1.4451326206513049</v>
      </c>
      <c r="AG590" s="18">
        <v>-21405.359859392935</v>
      </c>
      <c r="AH590" s="20">
        <v>17367.154380465166</v>
      </c>
      <c r="AN590" s="23">
        <v>585</v>
      </c>
      <c r="AO590" s="58">
        <v>292.5</v>
      </c>
      <c r="AP590" s="45">
        <f t="shared" si="152"/>
        <v>27456.790417989832</v>
      </c>
      <c r="AQ590" s="45">
        <f t="shared" si="153"/>
        <v>8420.6897579113429</v>
      </c>
      <c r="AR590" s="45">
        <f t="shared" si="154"/>
        <v>-430.49066944118204</v>
      </c>
      <c r="AS590" s="45">
        <f t="shared" si="155"/>
        <v>25.755767480786091</v>
      </c>
      <c r="AT590" s="45">
        <f t="shared" si="141"/>
        <v>-2314.2952817633764</v>
      </c>
      <c r="AU590" s="45">
        <f t="shared" si="142"/>
        <v>-418.42960001012403</v>
      </c>
      <c r="AV590" s="64">
        <f t="shared" si="143"/>
        <v>-1995.1768995259145</v>
      </c>
      <c r="AW590" s="64">
        <f t="shared" si="144"/>
        <v>-246.34445031244576</v>
      </c>
      <c r="AX590" s="64">
        <f t="shared" si="145"/>
        <v>-77.084818778938299</v>
      </c>
      <c r="AY590" s="64">
        <f t="shared" si="146"/>
        <v>2.5652987219501475</v>
      </c>
      <c r="AZ590" s="64">
        <f t="shared" si="147"/>
        <v>-242.03356345852339</v>
      </c>
      <c r="BA590" s="64">
        <f t="shared" si="148"/>
        <v>-174.65044841962842</v>
      </c>
      <c r="BB590" s="65">
        <f t="shared" si="149"/>
        <v>7513.4142018224857</v>
      </c>
      <c r="BC590" s="65">
        <f t="shared" si="150"/>
        <v>47483.062007602006</v>
      </c>
      <c r="BD590" s="66">
        <f t="shared" si="151"/>
        <v>40024.641821928279</v>
      </c>
    </row>
    <row r="591" spans="31:56" x14ac:dyDescent="0.25">
      <c r="AE591" s="71">
        <v>529</v>
      </c>
      <c r="AF591" s="17">
        <v>1.5079644737231008</v>
      </c>
      <c r="AG591" s="18">
        <v>-21865.174153736411</v>
      </c>
      <c r="AH591" s="20">
        <v>17264.373708464733</v>
      </c>
      <c r="AN591" s="23">
        <v>586</v>
      </c>
      <c r="AO591" s="58">
        <v>293</v>
      </c>
      <c r="AP591" s="45">
        <f t="shared" si="152"/>
        <v>26662.971262828396</v>
      </c>
      <c r="AQ591" s="45">
        <f t="shared" si="153"/>
        <v>8328.9602416492053</v>
      </c>
      <c r="AR591" s="45">
        <f t="shared" si="154"/>
        <v>-1587.6383103228702</v>
      </c>
      <c r="AS591" s="45">
        <f t="shared" si="155"/>
        <v>-183.45903252427593</v>
      </c>
      <c r="AT591" s="45">
        <f t="shared" si="141"/>
        <v>-2324.0907902202925</v>
      </c>
      <c r="AU591" s="45">
        <f t="shared" si="142"/>
        <v>-428.3094484265111</v>
      </c>
      <c r="AV591" s="64">
        <f t="shared" si="143"/>
        <v>-1996.3865725787771</v>
      </c>
      <c r="AW591" s="64">
        <f t="shared" si="144"/>
        <v>-248.37644203310353</v>
      </c>
      <c r="AX591" s="64">
        <f t="shared" si="145"/>
        <v>-79.622204514297081</v>
      </c>
      <c r="AY591" s="64">
        <f t="shared" si="146"/>
        <v>2.8513372764352307</v>
      </c>
      <c r="AZ591" s="64">
        <f t="shared" si="147"/>
        <v>-248.08201312721872</v>
      </c>
      <c r="BA591" s="64">
        <f t="shared" si="148"/>
        <v>-182.7843436698428</v>
      </c>
      <c r="BB591" s="65">
        <f t="shared" si="149"/>
        <v>6714.3399624618451</v>
      </c>
      <c r="BC591" s="65">
        <f t="shared" si="150"/>
        <v>46692.882337135045</v>
      </c>
      <c r="BD591" s="66">
        <f t="shared" si="151"/>
        <v>39329.176639578232</v>
      </c>
    </row>
    <row r="592" spans="31:56" x14ac:dyDescent="0.25">
      <c r="AE592" s="71">
        <v>530</v>
      </c>
      <c r="AF592" s="17">
        <v>1.5707963267948968</v>
      </c>
      <c r="AG592" s="18">
        <v>-22317.627457812108</v>
      </c>
      <c r="AH592" s="20">
        <v>17132.923872213651</v>
      </c>
      <c r="AN592" s="23">
        <v>587</v>
      </c>
      <c r="AO592" s="58">
        <v>293.5</v>
      </c>
      <c r="AP592" s="45">
        <f t="shared" si="152"/>
        <v>25288.129410111887</v>
      </c>
      <c r="AQ592" s="45">
        <f t="shared" si="153"/>
        <v>8130.1533632804403</v>
      </c>
      <c r="AR592" s="45">
        <f t="shared" si="154"/>
        <v>-2749.6837054330163</v>
      </c>
      <c r="AS592" s="45">
        <f t="shared" si="155"/>
        <v>-397.6137567375315</v>
      </c>
      <c r="AT592" s="45">
        <f t="shared" si="141"/>
        <v>-2247.5119049729201</v>
      </c>
      <c r="AU592" s="45">
        <f t="shared" si="142"/>
        <v>-421.4053829735459</v>
      </c>
      <c r="AV592" s="64">
        <f t="shared" si="143"/>
        <v>-1903.921328752079</v>
      </c>
      <c r="AW592" s="64">
        <f t="shared" si="144"/>
        <v>-226.8784168633087</v>
      </c>
      <c r="AX592" s="64">
        <f t="shared" si="145"/>
        <v>-84.306283885131378</v>
      </c>
      <c r="AY592" s="64">
        <f t="shared" si="146"/>
        <v>3.4808198843765821</v>
      </c>
      <c r="AZ592" s="64">
        <f t="shared" si="147"/>
        <v>-259.28429233570961</v>
      </c>
      <c r="BA592" s="64">
        <f t="shared" si="148"/>
        <v>-198.00778599461381</v>
      </c>
      <c r="BB592" s="65">
        <f t="shared" si="149"/>
        <v>5325.5427816649781</v>
      </c>
      <c r="BC592" s="65">
        <f t="shared" si="150"/>
        <v>45326.713888300932</v>
      </c>
      <c r="BD592" s="66">
        <f t="shared" si="151"/>
        <v>38110.035132134923</v>
      </c>
    </row>
    <row r="593" spans="31:56" x14ac:dyDescent="0.25">
      <c r="AE593" s="71">
        <v>531</v>
      </c>
      <c r="AF593" s="17">
        <v>1.6336281798666925</v>
      </c>
      <c r="AG593" s="18">
        <v>-22760.934145135085</v>
      </c>
      <c r="AH593" s="20">
        <v>16973.323644161886</v>
      </c>
      <c r="AN593" s="23">
        <v>588</v>
      </c>
      <c r="AO593" s="58">
        <v>294</v>
      </c>
      <c r="AP593" s="45">
        <f t="shared" si="152"/>
        <v>23351.409581152147</v>
      </c>
      <c r="AQ593" s="45">
        <f t="shared" si="153"/>
        <v>7825.995139168288</v>
      </c>
      <c r="AR593" s="45">
        <f t="shared" si="154"/>
        <v>-3873.4396579194763</v>
      </c>
      <c r="AS593" s="45">
        <f t="shared" si="155"/>
        <v>-608.31644822430439</v>
      </c>
      <c r="AT593" s="45">
        <f t="shared" si="141"/>
        <v>-1861.3064047843027</v>
      </c>
      <c r="AU593" s="45">
        <f t="shared" si="142"/>
        <v>-362.91932331321323</v>
      </c>
      <c r="AV593" s="64">
        <f t="shared" si="143"/>
        <v>-1493.6874232153721</v>
      </c>
      <c r="AW593" s="64">
        <f t="shared" si="144"/>
        <v>-145.29254858715845</v>
      </c>
      <c r="AX593" s="64">
        <f t="shared" si="145"/>
        <v>-91.606070437827938</v>
      </c>
      <c r="AY593" s="64">
        <f t="shared" si="146"/>
        <v>4.593900044720006</v>
      </c>
      <c r="AZ593" s="64">
        <f t="shared" si="147"/>
        <v>-276.01291113110273</v>
      </c>
      <c r="BA593" s="64">
        <f t="shared" si="148"/>
        <v>-222.22067477077476</v>
      </c>
      <c r="BB593" s="65">
        <f t="shared" si="149"/>
        <v>3367.2271992545679</v>
      </c>
      <c r="BC593" s="65">
        <f t="shared" si="150"/>
        <v>43405.886810520649</v>
      </c>
      <c r="BD593" s="66">
        <f t="shared" si="151"/>
        <v>36398.193352576993</v>
      </c>
    </row>
    <row r="594" spans="31:56" x14ac:dyDescent="0.25">
      <c r="AE594" s="71">
        <v>532</v>
      </c>
      <c r="AF594" s="17">
        <v>1.6964600329384885</v>
      </c>
      <c r="AG594" s="18">
        <v>-23193.344686738044</v>
      </c>
      <c r="AH594" s="20">
        <v>16786.202893495145</v>
      </c>
      <c r="AN594" s="23">
        <v>589</v>
      </c>
      <c r="AO594" s="58">
        <v>294.5</v>
      </c>
      <c r="AP594" s="45">
        <f t="shared" si="152"/>
        <v>20949.363150996334</v>
      </c>
      <c r="AQ594" s="45">
        <f t="shared" si="153"/>
        <v>7431.1070842278323</v>
      </c>
      <c r="AR594" s="45">
        <f t="shared" si="154"/>
        <v>-4804.0928603116281</v>
      </c>
      <c r="AS594" s="45">
        <f t="shared" si="155"/>
        <v>-789.77610988091101</v>
      </c>
      <c r="AT594" s="45">
        <f t="shared" si="141"/>
        <v>-890.30119077578115</v>
      </c>
      <c r="AU594" s="45">
        <f t="shared" si="142"/>
        <v>-215.53141443715563</v>
      </c>
      <c r="AV594" s="64">
        <f t="shared" si="143"/>
        <v>-490.40543039254993</v>
      </c>
      <c r="AW594" s="64">
        <f t="shared" si="144"/>
        <v>35.587498814116138</v>
      </c>
      <c r="AX594" s="64">
        <f t="shared" si="145"/>
        <v>-101.98798190980834</v>
      </c>
      <c r="AY594" s="64">
        <f t="shared" si="146"/>
        <v>6.3980532067354527</v>
      </c>
      <c r="AZ594" s="64">
        <f t="shared" si="147"/>
        <v>-297.90777847342287</v>
      </c>
      <c r="BA594" s="64">
        <f t="shared" si="148"/>
        <v>-257.51696645800723</v>
      </c>
      <c r="BB594" s="65">
        <f t="shared" si="149"/>
        <v>951.85956228494103</v>
      </c>
      <c r="BC594" s="65">
        <f t="shared" si="150"/>
        <v>41029.861726368035</v>
      </c>
      <c r="BD594" s="66">
        <f t="shared" si="151"/>
        <v>34300.495812252957</v>
      </c>
    </row>
    <row r="595" spans="31:56" x14ac:dyDescent="0.25">
      <c r="AE595" s="71">
        <v>533</v>
      </c>
      <c r="AF595" s="17">
        <v>1.7592918860102844</v>
      </c>
      <c r="AG595" s="18">
        <v>-23613.152555762867</v>
      </c>
      <c r="AH595" s="20">
        <v>16572.300100328976</v>
      </c>
      <c r="AN595" s="23">
        <v>590</v>
      </c>
      <c r="AO595" s="58">
        <v>295</v>
      </c>
      <c r="AP595" s="45">
        <f t="shared" si="152"/>
        <v>18324.741423146577</v>
      </c>
      <c r="AQ595" s="45">
        <f t="shared" si="153"/>
        <v>6982.3361756780878</v>
      </c>
      <c r="AR595" s="45">
        <f t="shared" si="154"/>
        <v>-5249.2434556995186</v>
      </c>
      <c r="AS595" s="45">
        <f t="shared" si="155"/>
        <v>-897.54181709948887</v>
      </c>
      <c r="AT595" s="45">
        <f t="shared" si="141"/>
        <v>400.16825105057018</v>
      </c>
      <c r="AU595" s="45">
        <f t="shared" si="142"/>
        <v>-36.015839665008855</v>
      </c>
      <c r="AV595" s="64">
        <f t="shared" si="143"/>
        <v>838.2119053423819</v>
      </c>
      <c r="AW595" s="64">
        <f t="shared" si="144"/>
        <v>259.01194389148878</v>
      </c>
      <c r="AX595" s="64">
        <f t="shared" si="145"/>
        <v>-115.36111726363337</v>
      </c>
      <c r="AY595" s="64">
        <f t="shared" si="146"/>
        <v>9.0834551616719725</v>
      </c>
      <c r="AZ595" s="64">
        <f t="shared" si="147"/>
        <v>-322.68253702817839</v>
      </c>
      <c r="BA595" s="64">
        <f t="shared" si="148"/>
        <v>-304.1112387181696</v>
      </c>
      <c r="BB595" s="65">
        <f t="shared" si="149"/>
        <v>1753.4158475195047</v>
      </c>
      <c r="BC595" s="65">
        <f t="shared" si="150"/>
        <v>38443.362237292262</v>
      </c>
      <c r="BD595" s="66">
        <f t="shared" si="151"/>
        <v>32051.001017084869</v>
      </c>
    </row>
    <row r="596" spans="31:56" x14ac:dyDescent="0.25">
      <c r="AE596" s="71">
        <v>534</v>
      </c>
      <c r="AF596" s="17">
        <v>1.8221237390820801</v>
      </c>
      <c r="AG596" s="18">
        <v>-24018.700962342475</v>
      </c>
      <c r="AH596" s="20">
        <v>16332.459441265113</v>
      </c>
      <c r="AN596" s="23">
        <v>591</v>
      </c>
      <c r="AO596" s="58">
        <v>295.5</v>
      </c>
      <c r="AP596" s="45">
        <f t="shared" si="152"/>
        <v>15800.161758059461</v>
      </c>
      <c r="AQ596" s="45">
        <f t="shared" si="153"/>
        <v>6524.5613072120914</v>
      </c>
      <c r="AR596" s="45">
        <f t="shared" si="154"/>
        <v>-5049.1593301742332</v>
      </c>
      <c r="AS596" s="45">
        <f t="shared" si="155"/>
        <v>-915.54973693199327</v>
      </c>
      <c r="AT596" s="45">
        <f t="shared" si="141"/>
        <v>1225.6010686021457</v>
      </c>
      <c r="AU596" s="45">
        <f t="shared" si="142"/>
        <v>49.59668923016892</v>
      </c>
      <c r="AV596" s="64">
        <f t="shared" si="143"/>
        <v>1702.7794992644112</v>
      </c>
      <c r="AW596" s="64">
        <f t="shared" si="144"/>
        <v>395.48118598517271</v>
      </c>
      <c r="AX596" s="64">
        <f t="shared" si="145"/>
        <v>-130.67561981238021</v>
      </c>
      <c r="AY596" s="64">
        <f t="shared" si="146"/>
        <v>12.685839476626033</v>
      </c>
      <c r="AZ596" s="64">
        <f t="shared" si="147"/>
        <v>-346.50281084988529</v>
      </c>
      <c r="BA596" s="64">
        <f t="shared" si="148"/>
        <v>-358.57033623162982</v>
      </c>
      <c r="BB596" s="65">
        <f t="shared" si="149"/>
        <v>4311.6263638972687</v>
      </c>
      <c r="BC596" s="65">
        <f t="shared" si="150"/>
        <v>35968.461963372167</v>
      </c>
      <c r="BD596" s="66">
        <f t="shared" si="151"/>
        <v>29932.481832106256</v>
      </c>
    </row>
    <row r="597" spans="31:56" x14ac:dyDescent="0.25">
      <c r="AE597" s="71">
        <v>535</v>
      </c>
      <c r="AF597" s="17">
        <v>1.8849555921538761</v>
      </c>
      <c r="AG597" s="18">
        <v>-24408.389392193549</v>
      </c>
      <c r="AH597" s="20">
        <v>16067.627457812105</v>
      </c>
      <c r="AN597" s="23">
        <v>592</v>
      </c>
      <c r="AO597" s="58">
        <v>296</v>
      </c>
      <c r="AP597" s="45">
        <f t="shared" si="152"/>
        <v>13581.982360122882</v>
      </c>
      <c r="AQ597" s="45">
        <f t="shared" si="153"/>
        <v>6079.1856110536373</v>
      </c>
      <c r="AR597" s="45">
        <f t="shared" si="154"/>
        <v>-4436.3587958731605</v>
      </c>
      <c r="AS597" s="45">
        <f t="shared" si="155"/>
        <v>-890.75139231690878</v>
      </c>
      <c r="AT597" s="45">
        <f t="shared" si="141"/>
        <v>1447.6320530671251</v>
      </c>
      <c r="AU597" s="45">
        <f t="shared" si="142"/>
        <v>35.242422300903968</v>
      </c>
      <c r="AV597" s="64">
        <f t="shared" si="143"/>
        <v>1960.8349547434618</v>
      </c>
      <c r="AW597" s="64">
        <f t="shared" si="144"/>
        <v>434.08770034197687</v>
      </c>
      <c r="AX597" s="64">
        <f t="shared" si="145"/>
        <v>-146.52706142007162</v>
      </c>
      <c r="AY597" s="64">
        <f t="shared" si="146"/>
        <v>17.107549060833406</v>
      </c>
      <c r="AZ597" s="64">
        <f t="shared" si="147"/>
        <v>-366.67584025626508</v>
      </c>
      <c r="BA597" s="64">
        <f t="shared" si="148"/>
        <v>-415.95282710190634</v>
      </c>
      <c r="BB597" s="65">
        <f t="shared" si="149"/>
        <v>6573.4058108115369</v>
      </c>
      <c r="BC597" s="65">
        <f t="shared" si="150"/>
        <v>33810.092054121553</v>
      </c>
      <c r="BD597" s="66">
        <f t="shared" si="151"/>
        <v>28100.215914778462</v>
      </c>
    </row>
    <row r="598" spans="31:56" x14ac:dyDescent="0.25">
      <c r="AE598" s="71">
        <v>536</v>
      </c>
      <c r="AF598" s="17">
        <v>1.9477874452256718</v>
      </c>
      <c r="AG598" s="18">
        <v>-24780.679923115174</v>
      </c>
      <c r="AH598" s="20">
        <v>15778.849320818419</v>
      </c>
      <c r="AN598" s="23">
        <v>593</v>
      </c>
      <c r="AO598" s="58">
        <v>296.5</v>
      </c>
      <c r="AP598" s="45">
        <f t="shared" si="152"/>
        <v>11725.710975453083</v>
      </c>
      <c r="AQ598" s="45">
        <f t="shared" si="153"/>
        <v>5642.6205204704092</v>
      </c>
      <c r="AR598" s="45">
        <f t="shared" si="154"/>
        <v>-3712.5427693395977</v>
      </c>
      <c r="AS598" s="45">
        <f t="shared" si="155"/>
        <v>-873.13018116645685</v>
      </c>
      <c r="AT598" s="45">
        <f t="shared" si="141"/>
        <v>1377.4636606001311</v>
      </c>
      <c r="AU598" s="45">
        <f t="shared" si="142"/>
        <v>-18.792551423325733</v>
      </c>
      <c r="AV598" s="64">
        <f t="shared" si="143"/>
        <v>1922.0448260203177</v>
      </c>
      <c r="AW598" s="64">
        <f t="shared" si="144"/>
        <v>431.45297535477908</v>
      </c>
      <c r="AX598" s="64">
        <f t="shared" si="145"/>
        <v>-161.76700069739957</v>
      </c>
      <c r="AY598" s="64">
        <f t="shared" si="146"/>
        <v>22.217948396783921</v>
      </c>
      <c r="AZ598" s="64">
        <f t="shared" si="147"/>
        <v>-382.81416472278693</v>
      </c>
      <c r="BA598" s="64">
        <f t="shared" si="148"/>
        <v>-472.46347517488874</v>
      </c>
      <c r="BB598" s="65">
        <f t="shared" si="149"/>
        <v>8480.1955987297351</v>
      </c>
      <c r="BC598" s="65">
        <f t="shared" si="150"/>
        <v>32023.545912759408</v>
      </c>
      <c r="BD598" s="66">
        <f t="shared" si="151"/>
        <v>26568.161200702954</v>
      </c>
    </row>
    <row r="599" spans="31:56" x14ac:dyDescent="0.25">
      <c r="AE599" s="71">
        <v>537</v>
      </c>
      <c r="AF599" s="17">
        <v>2.0106192982974678</v>
      </c>
      <c r="AG599" s="18">
        <v>-25134.103294465167</v>
      </c>
      <c r="AH599" s="20">
        <v>15467.264705660586</v>
      </c>
      <c r="AN599" s="23">
        <v>594</v>
      </c>
      <c r="AO599" s="58">
        <v>297</v>
      </c>
      <c r="AP599" s="45">
        <f t="shared" si="152"/>
        <v>10213.805505933316</v>
      </c>
      <c r="AQ599" s="45">
        <f t="shared" si="153"/>
        <v>5201.35729203135</v>
      </c>
      <c r="AR599" s="45">
        <f t="shared" si="154"/>
        <v>-3023.8109390395321</v>
      </c>
      <c r="AS599" s="45">
        <f t="shared" si="155"/>
        <v>-882.52645687811969</v>
      </c>
      <c r="AT599" s="45">
        <f t="shared" si="141"/>
        <v>1225.7712952857032</v>
      </c>
      <c r="AU599" s="45">
        <f t="shared" si="142"/>
        <v>-75.857693914735307</v>
      </c>
      <c r="AV599" s="64">
        <f t="shared" si="143"/>
        <v>1797.4029860032999</v>
      </c>
      <c r="AW599" s="64">
        <f t="shared" si="144"/>
        <v>422.18528045426871</v>
      </c>
      <c r="AX599" s="64">
        <f t="shared" si="145"/>
        <v>-175.55341982643634</v>
      </c>
      <c r="AY599" s="64">
        <f t="shared" si="146"/>
        <v>27.881894511555505</v>
      </c>
      <c r="AZ599" s="64">
        <f t="shared" si="147"/>
        <v>-396.07827089116046</v>
      </c>
      <c r="BA599" s="64">
        <f t="shared" si="148"/>
        <v>-525.92486888055953</v>
      </c>
      <c r="BB599" s="65">
        <f t="shared" si="149"/>
        <v>10052.530078273754</v>
      </c>
      <c r="BC599" s="65">
        <f t="shared" si="150"/>
        <v>30592.499325637113</v>
      </c>
      <c r="BD599" s="66">
        <f t="shared" si="151"/>
        <v>25289.41902086078</v>
      </c>
    </row>
    <row r="600" spans="31:56" x14ac:dyDescent="0.25">
      <c r="AE600" s="71">
        <v>538</v>
      </c>
      <c r="AF600" s="17">
        <v>2.0734511513692637</v>
      </c>
      <c r="AG600" s="18">
        <v>-25467.264705660586</v>
      </c>
      <c r="AH600" s="20">
        <v>15134.103294465163</v>
      </c>
      <c r="AN600" s="23">
        <v>595</v>
      </c>
      <c r="AO600" s="58">
        <v>297.5</v>
      </c>
      <c r="AP600" s="45">
        <f t="shared" si="152"/>
        <v>9008.3428602349759</v>
      </c>
      <c r="AQ600" s="45">
        <f t="shared" si="153"/>
        <v>4741.129640113606</v>
      </c>
      <c r="AR600" s="45">
        <f t="shared" si="154"/>
        <v>-2410.9252913966802</v>
      </c>
      <c r="AS600" s="45">
        <f t="shared" si="155"/>
        <v>-920.45530383548737</v>
      </c>
      <c r="AT600" s="45">
        <f t="shared" si="141"/>
        <v>1071.4733837592942</v>
      </c>
      <c r="AU600" s="45">
        <f t="shared" si="142"/>
        <v>-122.99232671590676</v>
      </c>
      <c r="AV600" s="64">
        <f t="shared" si="143"/>
        <v>1667.0095830609582</v>
      </c>
      <c r="AW600" s="64">
        <f t="shared" si="144"/>
        <v>418.41400890455458</v>
      </c>
      <c r="AX600" s="64">
        <f t="shared" si="145"/>
        <v>-187.2632393166181</v>
      </c>
      <c r="AY600" s="64">
        <f t="shared" si="146"/>
        <v>33.948616213042726</v>
      </c>
      <c r="AZ600" s="64">
        <f t="shared" si="147"/>
        <v>-408.27295998504582</v>
      </c>
      <c r="BA600" s="64">
        <f t="shared" si="148"/>
        <v>-575.35495183350406</v>
      </c>
      <c r="BB600" s="65">
        <f t="shared" si="149"/>
        <v>11332.603069939718</v>
      </c>
      <c r="BC600" s="65">
        <f t="shared" si="150"/>
        <v>29481.174891090028</v>
      </c>
      <c r="BD600" s="66">
        <f t="shared" si="151"/>
        <v>24206.318785756503</v>
      </c>
    </row>
    <row r="601" spans="31:56" x14ac:dyDescent="0.25">
      <c r="AE601" s="71">
        <v>539</v>
      </c>
      <c r="AF601" s="17">
        <v>2.1362830044410597</v>
      </c>
      <c r="AG601" s="18">
        <v>-25778.849320818419</v>
      </c>
      <c r="AH601" s="20">
        <v>14780.679923115171</v>
      </c>
      <c r="AN601" s="23">
        <v>596</v>
      </c>
      <c r="AO601" s="58">
        <v>298</v>
      </c>
      <c r="AP601" s="45">
        <f t="shared" si="152"/>
        <v>8070.7485604764588</v>
      </c>
      <c r="AQ601" s="45">
        <f t="shared" si="153"/>
        <v>4250.1539065168854</v>
      </c>
      <c r="AR601" s="45">
        <f t="shared" si="154"/>
        <v>-1875.1885995170333</v>
      </c>
      <c r="AS601" s="45">
        <f t="shared" si="155"/>
        <v>-981.95146719344075</v>
      </c>
      <c r="AT601" s="45">
        <f t="shared" si="141"/>
        <v>935.60219337282683</v>
      </c>
      <c r="AU601" s="45">
        <f t="shared" si="142"/>
        <v>-157.06443797312704</v>
      </c>
      <c r="AV601" s="64">
        <f t="shared" si="143"/>
        <v>1553.3510469309417</v>
      </c>
      <c r="AW601" s="64">
        <f t="shared" si="144"/>
        <v>423.17423329271799</v>
      </c>
      <c r="AX601" s="64">
        <f t="shared" si="145"/>
        <v>-196.44779131244476</v>
      </c>
      <c r="AY601" s="64">
        <f t="shared" si="146"/>
        <v>40.239203561590891</v>
      </c>
      <c r="AZ601" s="64">
        <f t="shared" si="147"/>
        <v>-421.30106224567015</v>
      </c>
      <c r="BA601" s="64">
        <f t="shared" si="148"/>
        <v>-620.47787482743593</v>
      </c>
      <c r="BB601" s="65">
        <f t="shared" si="149"/>
        <v>12364.001760704417</v>
      </c>
      <c r="BC601" s="65">
        <f t="shared" si="150"/>
        <v>28653.580140084316</v>
      </c>
      <c r="BD601" s="66">
        <f t="shared" si="151"/>
        <v>23268.280842292254</v>
      </c>
    </row>
    <row r="602" spans="31:56" x14ac:dyDescent="0.25">
      <c r="AE602" s="71">
        <v>540</v>
      </c>
      <c r="AF602" s="17">
        <v>2.1991148575128552</v>
      </c>
      <c r="AG602" s="18">
        <v>-26067.627457812105</v>
      </c>
      <c r="AH602" s="20">
        <v>14408.389392193549</v>
      </c>
      <c r="AN602" s="23">
        <v>597</v>
      </c>
      <c r="AO602" s="58">
        <v>298.5</v>
      </c>
      <c r="AP602" s="45">
        <f t="shared" si="152"/>
        <v>7367.0548090611483</v>
      </c>
      <c r="AQ602" s="45">
        <f t="shared" si="153"/>
        <v>3719.9120634268829</v>
      </c>
      <c r="AR602" s="45">
        <f t="shared" si="154"/>
        <v>-1407.3875028306197</v>
      </c>
      <c r="AS602" s="45">
        <f t="shared" si="155"/>
        <v>-1060.4836861800043</v>
      </c>
      <c r="AT602" s="45">
        <f t="shared" si="141"/>
        <v>819.63402675376312</v>
      </c>
      <c r="AU602" s="45">
        <f t="shared" si="142"/>
        <v>-178.10835453272512</v>
      </c>
      <c r="AV602" s="64">
        <f t="shared" si="143"/>
        <v>1459.3581160602484</v>
      </c>
      <c r="AW602" s="64">
        <f t="shared" si="144"/>
        <v>436.67584449081596</v>
      </c>
      <c r="AX602" s="64">
        <f t="shared" si="145"/>
        <v>-202.82669252091813</v>
      </c>
      <c r="AY602" s="64">
        <f t="shared" si="146"/>
        <v>46.543900094572898</v>
      </c>
      <c r="AZ602" s="64">
        <f t="shared" si="147"/>
        <v>-436.89739678556714</v>
      </c>
      <c r="BA602" s="64">
        <f t="shared" si="148"/>
        <v>-661.32809911811398</v>
      </c>
      <c r="BB602" s="65">
        <f t="shared" si="149"/>
        <v>13186.37057743679</v>
      </c>
      <c r="BC602" s="65">
        <f t="shared" si="150"/>
        <v>28078.37590412323</v>
      </c>
      <c r="BD602" s="66">
        <f t="shared" si="151"/>
        <v>22436.112682743369</v>
      </c>
    </row>
    <row r="603" spans="31:56" x14ac:dyDescent="0.25">
      <c r="AE603" s="71">
        <v>541</v>
      </c>
      <c r="AF603" s="17">
        <v>2.2619467105846511</v>
      </c>
      <c r="AG603" s="18">
        <v>-26332.459441265113</v>
      </c>
      <c r="AH603" s="20">
        <v>14018.700962342475</v>
      </c>
      <c r="AN603" s="23">
        <v>598</v>
      </c>
      <c r="AO603" s="58">
        <v>299</v>
      </c>
      <c r="AP603" s="45">
        <f t="shared" si="152"/>
        <v>6868.2695643342795</v>
      </c>
      <c r="AQ603" s="45">
        <f t="shared" si="153"/>
        <v>3145.1431317036995</v>
      </c>
      <c r="AR603" s="45">
        <f t="shared" si="154"/>
        <v>-997.57048945373822</v>
      </c>
      <c r="AS603" s="45">
        <f t="shared" si="155"/>
        <v>-1149.5378634463668</v>
      </c>
      <c r="AT603" s="45">
        <f t="shared" si="141"/>
        <v>719.38652625331747</v>
      </c>
      <c r="AU603" s="45">
        <f t="shared" si="142"/>
        <v>-186.95134781880432</v>
      </c>
      <c r="AV603" s="64">
        <f t="shared" si="143"/>
        <v>1382.198245923124</v>
      </c>
      <c r="AW603" s="64">
        <f t="shared" si="144"/>
        <v>458.37641536237214</v>
      </c>
      <c r="AX603" s="64">
        <f t="shared" si="145"/>
        <v>-206.29453567815722</v>
      </c>
      <c r="AY603" s="64">
        <f t="shared" si="146"/>
        <v>52.631581330513207</v>
      </c>
      <c r="AZ603" s="64">
        <f t="shared" si="147"/>
        <v>-456.51718399164935</v>
      </c>
      <c r="BA603" s="64">
        <f t="shared" si="148"/>
        <v>-697.95934451168966</v>
      </c>
      <c r="BB603" s="65">
        <f t="shared" si="149"/>
        <v>13834.996298457649</v>
      </c>
      <c r="BC603" s="65">
        <f t="shared" si="150"/>
        <v>27728.91941757848</v>
      </c>
      <c r="BD603" s="66">
        <f t="shared" si="151"/>
        <v>21681.836677775187</v>
      </c>
    </row>
    <row r="604" spans="31:56" x14ac:dyDescent="0.25">
      <c r="AE604" s="71">
        <v>542</v>
      </c>
      <c r="AF604" s="17">
        <v>2.3247785636564471</v>
      </c>
      <c r="AG604" s="18">
        <v>-26572.300100328976</v>
      </c>
      <c r="AH604" s="20">
        <v>13613.152555762865</v>
      </c>
      <c r="AN604" s="23">
        <v>599</v>
      </c>
      <c r="AO604" s="58">
        <v>299.5</v>
      </c>
      <c r="AP604" s="45">
        <f t="shared" si="152"/>
        <v>6549.3309511707403</v>
      </c>
      <c r="AQ604" s="45">
        <f t="shared" si="153"/>
        <v>2523.6363630258152</v>
      </c>
      <c r="AR604" s="45">
        <f t="shared" si="154"/>
        <v>-637.87722632707948</v>
      </c>
      <c r="AS604" s="45">
        <f t="shared" si="155"/>
        <v>-1243.0135373557689</v>
      </c>
      <c r="AT604" s="45">
        <f t="shared" si="141"/>
        <v>629.53636660663528</v>
      </c>
      <c r="AU604" s="45">
        <f t="shared" si="142"/>
        <v>-184.45125247782767</v>
      </c>
      <c r="AV604" s="64">
        <f t="shared" si="143"/>
        <v>1317.7468031442916</v>
      </c>
      <c r="AW604" s="64">
        <f t="shared" si="144"/>
        <v>487.52870582872629</v>
      </c>
      <c r="AX604" s="64">
        <f t="shared" si="145"/>
        <v>-206.92332125185865</v>
      </c>
      <c r="AY604" s="64">
        <f t="shared" si="146"/>
        <v>58.270168747175312</v>
      </c>
      <c r="AZ604" s="64">
        <f t="shared" si="147"/>
        <v>-481.2871152857976</v>
      </c>
      <c r="BA604" s="64">
        <f t="shared" si="148"/>
        <v>-730.25012705372922</v>
      </c>
      <c r="BB604" s="65">
        <f t="shared" si="149"/>
        <v>14341.711645007103</v>
      </c>
      <c r="BC604" s="65">
        <f t="shared" si="150"/>
        <v>27581.932259851968</v>
      </c>
      <c r="BD604" s="66">
        <f t="shared" si="151"/>
        <v>20987.255104068066</v>
      </c>
    </row>
    <row r="605" spans="31:56" x14ac:dyDescent="0.25">
      <c r="AE605" s="71">
        <v>543</v>
      </c>
      <c r="AF605" s="17">
        <v>2.387610416728243</v>
      </c>
      <c r="AG605" s="18">
        <v>-26786.202893495145</v>
      </c>
      <c r="AH605" s="20">
        <v>13193.344686738044</v>
      </c>
      <c r="AN605" s="23">
        <v>600</v>
      </c>
      <c r="AO605" s="58">
        <v>300</v>
      </c>
      <c r="AP605" s="45">
        <f t="shared" si="152"/>
        <v>6387.7764296588593</v>
      </c>
      <c r="AQ605" s="45">
        <f t="shared" si="153"/>
        <v>1856.016781228474</v>
      </c>
      <c r="AR605" s="45">
        <f t="shared" si="154"/>
        <v>-323.10904302376184</v>
      </c>
      <c r="AS605" s="45">
        <f t="shared" si="155"/>
        <v>-1335.2391635946829</v>
      </c>
      <c r="AT605" s="45">
        <f t="shared" si="141"/>
        <v>545.01976494038877</v>
      </c>
      <c r="AU605" s="45">
        <f t="shared" si="142"/>
        <v>-171.31462763884849</v>
      </c>
      <c r="AV605" s="64">
        <f t="shared" si="143"/>
        <v>1261.9333576493646</v>
      </c>
      <c r="AW605" s="64">
        <f t="shared" si="144"/>
        <v>523.23051094307914</v>
      </c>
      <c r="AX605" s="64">
        <f t="shared" si="145"/>
        <v>-204.95145741895303</v>
      </c>
      <c r="AY605" s="64">
        <f t="shared" si="146"/>
        <v>63.253576303863618</v>
      </c>
      <c r="AZ605" s="64">
        <f t="shared" si="147"/>
        <v>-511.96213529002284</v>
      </c>
      <c r="BA605" s="64">
        <f t="shared" si="148"/>
        <v>-757.79871488579124</v>
      </c>
      <c r="BB605" s="65">
        <f t="shared" si="149"/>
        <v>14735.914532282193</v>
      </c>
      <c r="BC605" s="65">
        <f t="shared" si="150"/>
        <v>27615.923080159602</v>
      </c>
      <c r="BD605" s="66">
        <f t="shared" si="151"/>
        <v>20342.240627348547</v>
      </c>
    </row>
    <row r="606" spans="31:56" x14ac:dyDescent="0.25">
      <c r="AE606" s="71">
        <v>544</v>
      </c>
      <c r="AF606" s="17">
        <v>2.450442269800039</v>
      </c>
      <c r="AG606" s="18">
        <v>-26973.323644161886</v>
      </c>
      <c r="AH606" s="20">
        <v>12760.934145135083</v>
      </c>
      <c r="AN606" s="23">
        <v>601</v>
      </c>
      <c r="AO606" s="58">
        <v>300.5</v>
      </c>
      <c r="AP606" s="45">
        <f t="shared" si="152"/>
        <v>6362.4768493820757</v>
      </c>
      <c r="AQ606" s="45">
        <f t="shared" si="153"/>
        <v>1145.5685425214203</v>
      </c>
      <c r="AR606" s="45">
        <f t="shared" si="154"/>
        <v>-50.599160553567458</v>
      </c>
      <c r="AS606" s="45">
        <f t="shared" si="155"/>
        <v>-1420.896477414107</v>
      </c>
      <c r="AT606" s="45">
        <f t="shared" si="141"/>
        <v>461.50149582586789</v>
      </c>
      <c r="AU606" s="45">
        <f t="shared" si="142"/>
        <v>-148.15583300488663</v>
      </c>
      <c r="AV606" s="64">
        <f t="shared" si="143"/>
        <v>1211.1196935506516</v>
      </c>
      <c r="AW606" s="64">
        <f t="shared" si="144"/>
        <v>564.32366746313232</v>
      </c>
      <c r="AX606" s="64">
        <f t="shared" si="145"/>
        <v>-200.75632602726651</v>
      </c>
      <c r="AY606" s="64">
        <f t="shared" si="146"/>
        <v>67.428532554797499</v>
      </c>
      <c r="AZ606" s="64">
        <f t="shared" si="147"/>
        <v>-548.86187169751724</v>
      </c>
      <c r="BA606" s="64">
        <f t="shared" si="148"/>
        <v>-779.90803302281643</v>
      </c>
      <c r="BB606" s="65">
        <f t="shared" si="149"/>
        <v>15045.292846316857</v>
      </c>
      <c r="BC606" s="65">
        <f t="shared" si="150"/>
        <v>27809.731067908444</v>
      </c>
      <c r="BD606" s="66">
        <f t="shared" si="151"/>
        <v>19742.98011228297</v>
      </c>
    </row>
    <row r="607" spans="31:56" x14ac:dyDescent="0.25">
      <c r="AE607" s="71">
        <v>545</v>
      </c>
      <c r="AF607" s="17">
        <v>2.5132741228718345</v>
      </c>
      <c r="AG607" s="18">
        <v>-27132.923872213651</v>
      </c>
      <c r="AH607" s="20">
        <v>12317.627457812103</v>
      </c>
      <c r="AN607" s="23">
        <v>602</v>
      </c>
      <c r="AO607" s="58">
        <v>301</v>
      </c>
      <c r="AP607" s="45">
        <f t="shared" si="152"/>
        <v>6452.5526430617592</v>
      </c>
      <c r="AQ607" s="45">
        <f t="shared" si="153"/>
        <v>398.08134556314519</v>
      </c>
      <c r="AR607" s="45">
        <f t="shared" si="154"/>
        <v>180.15158735936649</v>
      </c>
      <c r="AS607" s="45">
        <f t="shared" si="155"/>
        <v>-1494.9743939165503</v>
      </c>
      <c r="AT607" s="45">
        <f t="shared" si="141"/>
        <v>375.63175416975844</v>
      </c>
      <c r="AU607" s="45">
        <f t="shared" si="142"/>
        <v>-115.68081095995103</v>
      </c>
      <c r="AV607" s="64">
        <f t="shared" si="143"/>
        <v>1162.2345487523241</v>
      </c>
      <c r="AW607" s="64">
        <f t="shared" si="144"/>
        <v>609.27309810787699</v>
      </c>
      <c r="AX607" s="64">
        <f t="shared" si="145"/>
        <v>-194.8126549357678</v>
      </c>
      <c r="AY607" s="64">
        <f t="shared" si="146"/>
        <v>70.7143575438173</v>
      </c>
      <c r="AZ607" s="64">
        <f t="shared" si="147"/>
        <v>-591.79013964679791</v>
      </c>
      <c r="BA607" s="64">
        <f t="shared" si="148"/>
        <v>-795.66826661164532</v>
      </c>
      <c r="BB607" s="65">
        <f t="shared" si="149"/>
        <v>15296.096837535095</v>
      </c>
      <c r="BC607" s="65">
        <f t="shared" si="150"/>
        <v>28141.328738714103</v>
      </c>
      <c r="BD607" s="66">
        <f t="shared" si="151"/>
        <v>19190.150368527095</v>
      </c>
    </row>
    <row r="608" spans="31:56" x14ac:dyDescent="0.25">
      <c r="AE608" s="71">
        <v>546</v>
      </c>
      <c r="AF608" s="17">
        <v>2.5761059759436304</v>
      </c>
      <c r="AG608" s="18">
        <v>-27264.373708464733</v>
      </c>
      <c r="AH608" s="20">
        <v>11865.174153736411</v>
      </c>
      <c r="AN608" s="23">
        <v>603</v>
      </c>
      <c r="AO608" s="58">
        <v>301.5</v>
      </c>
      <c r="AP608" s="45">
        <f t="shared" si="152"/>
        <v>6636.5363752838821</v>
      </c>
      <c r="AQ608" s="45">
        <f t="shared" si="153"/>
        <v>-378.32605413511772</v>
      </c>
      <c r="AR608" s="45">
        <f t="shared" si="154"/>
        <v>367.96746444424571</v>
      </c>
      <c r="AS608" s="45">
        <f t="shared" si="155"/>
        <v>-1552.8147993965258</v>
      </c>
      <c r="AT608" s="45">
        <f t="shared" si="141"/>
        <v>285.28383308722562</v>
      </c>
      <c r="AU608" s="45">
        <f t="shared" si="142"/>
        <v>-74.931730144157427</v>
      </c>
      <c r="AV608" s="64">
        <f t="shared" si="143"/>
        <v>1112.8963581315036</v>
      </c>
      <c r="AW608" s="64">
        <f t="shared" si="144"/>
        <v>656.09939309471247</v>
      </c>
      <c r="AX608" s="64">
        <f t="shared" si="145"/>
        <v>-187.6429073052127</v>
      </c>
      <c r="AY608" s="64">
        <f t="shared" si="146"/>
        <v>73.110829663513073</v>
      </c>
      <c r="AZ608" s="64">
        <f t="shared" si="147"/>
        <v>-639.96961773906526</v>
      </c>
      <c r="BA608" s="64">
        <f t="shared" si="148"/>
        <v>-804.14195290238297</v>
      </c>
      <c r="BB608" s="65">
        <f t="shared" si="149"/>
        <v>15512.903708344711</v>
      </c>
      <c r="BC608" s="65">
        <f t="shared" si="150"/>
        <v>28586.967690851041</v>
      </c>
      <c r="BD608" s="66">
        <f t="shared" si="151"/>
        <v>18686.95608686682</v>
      </c>
    </row>
    <row r="609" spans="31:56" x14ac:dyDescent="0.25">
      <c r="AE609" s="71">
        <v>547</v>
      </c>
      <c r="AF609" s="17">
        <v>2.6389378290154264</v>
      </c>
      <c r="AG609" s="18">
        <v>-27367.154380465166</v>
      </c>
      <c r="AH609" s="20">
        <v>11405.359859392935</v>
      </c>
      <c r="AN609" s="23">
        <v>604</v>
      </c>
      <c r="AO609" s="58">
        <v>302</v>
      </c>
      <c r="AP609" s="45">
        <f t="shared" si="152"/>
        <v>6891.8410657778113</v>
      </c>
      <c r="AQ609" s="45">
        <f t="shared" si="153"/>
        <v>-1173.46638636942</v>
      </c>
      <c r="AR609" s="45">
        <f t="shared" si="154"/>
        <v>510.60938098785851</v>
      </c>
      <c r="AS609" s="45">
        <f t="shared" si="155"/>
        <v>-1590.2806644686045</v>
      </c>
      <c r="AT609" s="45">
        <f t="shared" si="141"/>
        <v>189.75245836737361</v>
      </c>
      <c r="AU609" s="45">
        <f t="shared" si="142"/>
        <v>-27.520313763977583</v>
      </c>
      <c r="AV609" s="64">
        <f t="shared" si="143"/>
        <v>1061.5657506134637</v>
      </c>
      <c r="AW609" s="64">
        <f t="shared" si="144"/>
        <v>702.42166738064896</v>
      </c>
      <c r="AX609" s="64">
        <f t="shared" si="145"/>
        <v>-179.76781030379308</v>
      </c>
      <c r="AY609" s="64">
        <f t="shared" si="146"/>
        <v>74.692899637013738</v>
      </c>
      <c r="AZ609" s="64">
        <f t="shared" si="147"/>
        <v>-692.04548194229699</v>
      </c>
      <c r="BA609" s="64">
        <f t="shared" si="148"/>
        <v>-804.63488078164028</v>
      </c>
      <c r="BB609" s="65">
        <f t="shared" si="149"/>
        <v>15717.914931704816</v>
      </c>
      <c r="BC609" s="65">
        <f t="shared" si="150"/>
        <v>29120.739465102553</v>
      </c>
      <c r="BD609" s="66">
        <f t="shared" si="151"/>
        <v>18237.020472176253</v>
      </c>
    </row>
    <row r="610" spans="31:56" x14ac:dyDescent="0.25">
      <c r="AE610" s="71">
        <v>548</v>
      </c>
      <c r="AF610" s="17">
        <v>2.7017696820872223</v>
      </c>
      <c r="AG610" s="18">
        <v>-27440.860259858586</v>
      </c>
      <c r="AH610" s="20">
        <v>10939.999251732281</v>
      </c>
      <c r="AN610" s="23">
        <v>605</v>
      </c>
      <c r="AO610" s="58">
        <v>302.5</v>
      </c>
      <c r="AP610" s="45">
        <f t="shared" si="152"/>
        <v>7194.5838708635838</v>
      </c>
      <c r="AQ610" s="45">
        <f t="shared" si="153"/>
        <v>-1975.4867970447165</v>
      </c>
      <c r="AR610" s="45">
        <f t="shared" si="154"/>
        <v>605.48561017154532</v>
      </c>
      <c r="AS610" s="45">
        <f t="shared" si="155"/>
        <v>-1604.0408213505934</v>
      </c>
      <c r="AT610" s="45">
        <f t="shared" si="141"/>
        <v>89.803159323571549</v>
      </c>
      <c r="AU610" s="45">
        <f t="shared" si="142"/>
        <v>24.239566663801043</v>
      </c>
      <c r="AV610" s="64">
        <f t="shared" si="143"/>
        <v>1007.6802016912694</v>
      </c>
      <c r="AW610" s="64">
        <f t="shared" si="144"/>
        <v>745.64233996610494</v>
      </c>
      <c r="AX610" s="64">
        <f t="shared" si="145"/>
        <v>-171.66465122621042</v>
      </c>
      <c r="AY610" s="64">
        <f t="shared" si="146"/>
        <v>75.594749823744451</v>
      </c>
      <c r="AZ610" s="64">
        <f t="shared" si="147"/>
        <v>-746.2123911414875</v>
      </c>
      <c r="BA610" s="64">
        <f t="shared" si="148"/>
        <v>-796.99752312604835</v>
      </c>
      <c r="BB610" s="65">
        <f t="shared" si="149"/>
        <v>15929.957070918797</v>
      </c>
      <c r="BC610" s="65">
        <f t="shared" si="150"/>
        <v>29714.603748588441</v>
      </c>
      <c r="BD610" s="66">
        <f t="shared" si="151"/>
        <v>17842.248175537825</v>
      </c>
    </row>
    <row r="611" spans="31:56" x14ac:dyDescent="0.25">
      <c r="AE611" s="71">
        <v>549</v>
      </c>
      <c r="AF611" s="17">
        <v>2.7646015351590183</v>
      </c>
      <c r="AG611" s="18">
        <v>-27485.200463212037</v>
      </c>
      <c r="AH611" s="20">
        <v>10470.928896469848</v>
      </c>
      <c r="AN611" s="23">
        <v>606</v>
      </c>
      <c r="AO611" s="58">
        <v>303</v>
      </c>
      <c r="AP611" s="45">
        <f t="shared" si="152"/>
        <v>7519.7774657802493</v>
      </c>
      <c r="AQ611" s="45">
        <f t="shared" si="153"/>
        <v>-2771.4473160540629</v>
      </c>
      <c r="AR611" s="45">
        <f t="shared" si="154"/>
        <v>650.38718983333115</v>
      </c>
      <c r="AS611" s="45">
        <f t="shared" si="155"/>
        <v>-1591.9210380186928</v>
      </c>
      <c r="AT611" s="45">
        <f t="shared" si="141"/>
        <v>-12.537754981465127</v>
      </c>
      <c r="AU611" s="45">
        <f t="shared" si="142"/>
        <v>77.377852531844837</v>
      </c>
      <c r="AV611" s="64">
        <f t="shared" si="143"/>
        <v>951.686015805956</v>
      </c>
      <c r="AW611" s="64">
        <f t="shared" si="144"/>
        <v>783.25468524086727</v>
      </c>
      <c r="AX611" s="64">
        <f t="shared" si="145"/>
        <v>-163.73852327194211</v>
      </c>
      <c r="AY611" s="64">
        <f t="shared" si="146"/>
        <v>75.988184358554406</v>
      </c>
      <c r="AZ611" s="64">
        <f t="shared" si="147"/>
        <v>-800.48524751547905</v>
      </c>
      <c r="BA611" s="64">
        <f t="shared" si="148"/>
        <v>-781.8650170675769</v>
      </c>
      <c r="BB611" s="65">
        <f t="shared" si="149"/>
        <v>16163.495428592192</v>
      </c>
      <c r="BC611" s="65">
        <f t="shared" si="150"/>
        <v>30338.886240480402</v>
      </c>
      <c r="BD611" s="66">
        <f t="shared" si="151"/>
        <v>17500.923648102129</v>
      </c>
    </row>
    <row r="612" spans="31:56" x14ac:dyDescent="0.25">
      <c r="AE612" s="71">
        <v>550</v>
      </c>
      <c r="AF612" s="17">
        <v>2.8274333882308142</v>
      </c>
      <c r="AG612" s="18">
        <v>-27500</v>
      </c>
      <c r="AH612" s="20">
        <v>9999.9999999999982</v>
      </c>
      <c r="AN612" s="23">
        <v>607</v>
      </c>
      <c r="AO612" s="58">
        <v>303.5</v>
      </c>
      <c r="AP612" s="45">
        <f t="shared" si="152"/>
        <v>7841.8366219515483</v>
      </c>
      <c r="AQ612" s="45">
        <f t="shared" si="153"/>
        <v>-3548.0633719304478</v>
      </c>
      <c r="AR612" s="45">
        <f t="shared" si="154"/>
        <v>644.11831234259853</v>
      </c>
      <c r="AS612" s="45">
        <f t="shared" si="155"/>
        <v>-1553.2321117527704</v>
      </c>
      <c r="AT612" s="45">
        <f t="shared" si="141"/>
        <v>-114.47947014638009</v>
      </c>
      <c r="AU612" s="45">
        <f t="shared" si="142"/>
        <v>128.51076045770355</v>
      </c>
      <c r="AV612" s="64">
        <f t="shared" si="143"/>
        <v>894.89935477238839</v>
      </c>
      <c r="AW612" s="64">
        <f t="shared" si="144"/>
        <v>813.19065023223891</v>
      </c>
      <c r="AX612" s="64">
        <f t="shared" si="145"/>
        <v>-156.30834744915845</v>
      </c>
      <c r="AY612" s="64">
        <f t="shared" si="146"/>
        <v>76.060908824285931</v>
      </c>
      <c r="AZ612" s="64">
        <f t="shared" si="147"/>
        <v>-853.07047746961007</v>
      </c>
      <c r="BA612" s="64">
        <f t="shared" si="148"/>
        <v>-760.74079859882124</v>
      </c>
      <c r="BB612" s="65">
        <f t="shared" si="149"/>
        <v>16428.044344885053</v>
      </c>
      <c r="BC612" s="65">
        <f t="shared" si="150"/>
        <v>30963.169857320579</v>
      </c>
      <c r="BD612" s="66">
        <f t="shared" si="151"/>
        <v>17206.383128310754</v>
      </c>
    </row>
    <row r="613" spans="31:56" x14ac:dyDescent="0.25">
      <c r="AE613" s="71">
        <v>551</v>
      </c>
      <c r="AF613" s="17">
        <v>2.8902652413026098</v>
      </c>
      <c r="AG613" s="18">
        <v>-27485.200463212037</v>
      </c>
      <c r="AH613" s="20">
        <v>9529.0711035301501</v>
      </c>
      <c r="AN613" s="23">
        <v>608</v>
      </c>
      <c r="AO613" s="58">
        <v>304</v>
      </c>
      <c r="AP613" s="45">
        <f t="shared" si="152"/>
        <v>8135.2759105862524</v>
      </c>
      <c r="AQ613" s="45">
        <f t="shared" si="153"/>
        <v>-4292.5517376924072</v>
      </c>
      <c r="AR613" s="45">
        <f t="shared" si="154"/>
        <v>586.87857726940842</v>
      </c>
      <c r="AS613" s="45">
        <f t="shared" si="155"/>
        <v>-1488.9767315239187</v>
      </c>
      <c r="AT613" s="45">
        <f t="shared" si="141"/>
        <v>-213.14752953604363</v>
      </c>
      <c r="AU613" s="45">
        <f t="shared" si="142"/>
        <v>174.2080419754875</v>
      </c>
      <c r="AV613" s="64">
        <f t="shared" si="143"/>
        <v>839.19359096186929</v>
      </c>
      <c r="AW613" s="64">
        <f t="shared" si="144"/>
        <v>834.08883045056223</v>
      </c>
      <c r="AX613" s="64">
        <f t="shared" si="145"/>
        <v>-149.60635463706024</v>
      </c>
      <c r="AY613" s="64">
        <f t="shared" si="146"/>
        <v>75.999132574107648</v>
      </c>
      <c r="AZ613" s="64">
        <f t="shared" si="147"/>
        <v>-902.73476586085269</v>
      </c>
      <c r="BA613" s="64">
        <f t="shared" si="148"/>
        <v>-735.87992104918237</v>
      </c>
      <c r="BB613" s="65">
        <f t="shared" si="149"/>
        <v>16728.298006792771</v>
      </c>
      <c r="BC613" s="65">
        <f t="shared" si="150"/>
        <v>31557.420454457766</v>
      </c>
      <c r="BD613" s="66">
        <f t="shared" si="151"/>
        <v>16946.531253835441</v>
      </c>
    </row>
    <row r="614" spans="31:56" x14ac:dyDescent="0.25">
      <c r="AE614" s="71">
        <v>552</v>
      </c>
      <c r="AF614" s="17">
        <v>2.9530970943744057</v>
      </c>
      <c r="AG614" s="18">
        <v>-27440.860259858586</v>
      </c>
      <c r="AH614" s="20">
        <v>9060.0007482677174</v>
      </c>
      <c r="AN614" s="23">
        <v>609</v>
      </c>
      <c r="AO614" s="58">
        <v>304.5</v>
      </c>
      <c r="AP614" s="45">
        <f t="shared" si="152"/>
        <v>8375.4283168369457</v>
      </c>
      <c r="AQ614" s="45">
        <f t="shared" si="153"/>
        <v>-4993.4880929604951</v>
      </c>
      <c r="AR614" s="45">
        <f t="shared" si="154"/>
        <v>480.30481250138661</v>
      </c>
      <c r="AS614" s="45">
        <f t="shared" si="155"/>
        <v>-1401.872710536175</v>
      </c>
      <c r="AT614" s="45">
        <f t="shared" si="141"/>
        <v>-306.25535270768671</v>
      </c>
      <c r="AU614" s="45">
        <f t="shared" si="142"/>
        <v>211.34733555108028</v>
      </c>
      <c r="AV614" s="64">
        <f t="shared" si="143"/>
        <v>786.58830807560548</v>
      </c>
      <c r="AW614" s="64">
        <f t="shared" si="144"/>
        <v>845.38440889294952</v>
      </c>
      <c r="AX614" s="64">
        <f t="shared" si="145"/>
        <v>-143.78757017288225</v>
      </c>
      <c r="AY614" s="64">
        <f t="shared" si="146"/>
        <v>75.976904990844233</v>
      </c>
      <c r="AZ614" s="64">
        <f t="shared" si="147"/>
        <v>-949.05609061040991</v>
      </c>
      <c r="BA614" s="64">
        <f t="shared" si="148"/>
        <v>-710.01397833271346</v>
      </c>
      <c r="BB614" s="65">
        <f t="shared" si="149"/>
        <v>17065.108014482124</v>
      </c>
      <c r="BC614" s="65">
        <f t="shared" si="150"/>
        <v>32093.13972421053</v>
      </c>
      <c r="BD614" s="66">
        <f t="shared" si="151"/>
        <v>16704.261827586604</v>
      </c>
    </row>
    <row r="615" spans="31:56" x14ac:dyDescent="0.25">
      <c r="AE615" s="71">
        <v>553</v>
      </c>
      <c r="AF615" s="17">
        <v>3.0159289474462017</v>
      </c>
      <c r="AG615" s="18">
        <v>-27367.154380465166</v>
      </c>
      <c r="AH615" s="20">
        <v>8594.6401406070636</v>
      </c>
      <c r="AN615" s="23">
        <v>610</v>
      </c>
      <c r="AO615" s="58">
        <v>305</v>
      </c>
      <c r="AP615" s="45">
        <f t="shared" si="152"/>
        <v>8539.0168849107176</v>
      </c>
      <c r="AQ615" s="45">
        <f t="shared" si="153"/>
        <v>-5641.5876143408132</v>
      </c>
      <c r="AR615" s="45">
        <f t="shared" si="154"/>
        <v>327.17713614754325</v>
      </c>
      <c r="AS615" s="45">
        <f t="shared" si="155"/>
        <v>-1296.1990427606347</v>
      </c>
      <c r="AT615" s="45">
        <f t="shared" si="141"/>
        <v>-392.58249165454947</v>
      </c>
      <c r="AU615" s="45">
        <f t="shared" si="142"/>
        <v>237.32225263572514</v>
      </c>
      <c r="AV615" s="64">
        <f t="shared" si="143"/>
        <v>738.85467737837428</v>
      </c>
      <c r="AW615" s="64">
        <f t="shared" si="144"/>
        <v>847.19813121876155</v>
      </c>
      <c r="AX615" s="64">
        <f t="shared" si="145"/>
        <v>-138.94498967377871</v>
      </c>
      <c r="AY615" s="64">
        <f t="shared" si="146"/>
        <v>76.152596227138346</v>
      </c>
      <c r="AZ615" s="64">
        <f t="shared" si="147"/>
        <v>-992.4921793591451</v>
      </c>
      <c r="BA615" s="64">
        <f t="shared" si="148"/>
        <v>-686.02847481017477</v>
      </c>
      <c r="BB615" s="65">
        <f t="shared" si="149"/>
        <v>17437.186097239359</v>
      </c>
      <c r="BC615" s="65">
        <f t="shared" si="150"/>
        <v>32544.350475225634</v>
      </c>
      <c r="BD615" s="66">
        <f t="shared" si="151"/>
        <v>16458.580151093131</v>
      </c>
    </row>
    <row r="616" spans="31:56" x14ac:dyDescent="0.25">
      <c r="AE616" s="71">
        <v>554</v>
      </c>
      <c r="AF616" s="17">
        <v>3.0787608005179976</v>
      </c>
      <c r="AG616" s="18">
        <v>-27264.373708464733</v>
      </c>
      <c r="AH616" s="20">
        <v>8134.8258462635877</v>
      </c>
      <c r="AN616" s="23">
        <v>611</v>
      </c>
      <c r="AO616" s="58">
        <v>305.5</v>
      </c>
      <c r="AP616" s="45">
        <f t="shared" si="152"/>
        <v>8604.4598300708531</v>
      </c>
      <c r="AQ616" s="45">
        <f t="shared" si="153"/>
        <v>-6230.3565725621993</v>
      </c>
      <c r="AR616" s="45">
        <f t="shared" si="154"/>
        <v>130.88589032026852</v>
      </c>
      <c r="AS616" s="45">
        <f t="shared" si="155"/>
        <v>-1177.5379164427723</v>
      </c>
      <c r="AT616" s="45">
        <f t="shared" si="141"/>
        <v>-472.17859773041118</v>
      </c>
      <c r="AU616" s="45">
        <f t="shared" si="142"/>
        <v>250.04147032396941</v>
      </c>
      <c r="AV616" s="64">
        <f t="shared" si="143"/>
        <v>697.22919763534605</v>
      </c>
      <c r="AW616" s="64">
        <f t="shared" si="144"/>
        <v>840.08351983144871</v>
      </c>
      <c r="AX616" s="64">
        <f t="shared" si="145"/>
        <v>-135.12640005500154</v>
      </c>
      <c r="AY616" s="64">
        <f t="shared" si="146"/>
        <v>76.671598355225129</v>
      </c>
      <c r="AZ616" s="64">
        <f t="shared" si="147"/>
        <v>-1034.2813953107557</v>
      </c>
      <c r="BA616" s="64">
        <f t="shared" si="148"/>
        <v>-666.71364786270442</v>
      </c>
      <c r="BB616" s="65">
        <f t="shared" si="149"/>
        <v>17843.234778878261</v>
      </c>
      <c r="BC616" s="65">
        <f t="shared" si="150"/>
        <v>32888.289658214977</v>
      </c>
      <c r="BD616" s="66">
        <f t="shared" si="151"/>
        <v>16186.042540176844</v>
      </c>
    </row>
    <row r="617" spans="31:56" x14ac:dyDescent="0.25">
      <c r="AE617" s="71">
        <v>555</v>
      </c>
      <c r="AF617" s="17">
        <v>3.1415926535897936</v>
      </c>
      <c r="AG617" s="18">
        <v>-27132.923872213651</v>
      </c>
      <c r="AH617" s="20">
        <v>7682.3725421878917</v>
      </c>
      <c r="AN617" s="23">
        <v>612</v>
      </c>
      <c r="AO617" s="58">
        <v>306</v>
      </c>
      <c r="AP617" s="45">
        <f t="shared" si="152"/>
        <v>8551.8581257983842</v>
      </c>
      <c r="AQ617" s="45">
        <f t="shared" si="153"/>
        <v>-6756.6151632025931</v>
      </c>
      <c r="AR617" s="45">
        <f t="shared" si="154"/>
        <v>-105.20340854493708</v>
      </c>
      <c r="AS617" s="45">
        <f t="shared" si="155"/>
        <v>-1052.5171812807876</v>
      </c>
      <c r="AT617" s="45">
        <f t="shared" si="141"/>
        <v>-546.33246309719414</v>
      </c>
      <c r="AU617" s="45">
        <f t="shared" si="142"/>
        <v>247.74232182209539</v>
      </c>
      <c r="AV617" s="64">
        <f t="shared" si="143"/>
        <v>662.26581660632837</v>
      </c>
      <c r="AW617" s="64">
        <f t="shared" si="144"/>
        <v>824.73374167185386</v>
      </c>
      <c r="AX617" s="64">
        <f t="shared" si="145"/>
        <v>-132.34971540886377</v>
      </c>
      <c r="AY617" s="64">
        <f t="shared" si="146"/>
        <v>77.673867609402791</v>
      </c>
      <c r="AZ617" s="64">
        <f t="shared" si="147"/>
        <v>-1076.2485642946588</v>
      </c>
      <c r="BA617" s="64">
        <f t="shared" si="148"/>
        <v>-654.66528745916128</v>
      </c>
      <c r="BB617" s="65">
        <f t="shared" si="149"/>
        <v>18284.174257633476</v>
      </c>
      <c r="BC617" s="65">
        <f t="shared" si="150"/>
        <v>33105.781280063311</v>
      </c>
      <c r="BD617" s="66">
        <f t="shared" si="151"/>
        <v>15862.101129084667</v>
      </c>
    </row>
    <row r="618" spans="31:56" x14ac:dyDescent="0.25">
      <c r="AE618" s="71">
        <v>556</v>
      </c>
      <c r="AF618" s="17">
        <v>3.2044245066615891</v>
      </c>
      <c r="AG618" s="18">
        <v>-26973.323644161886</v>
      </c>
      <c r="AH618" s="20">
        <v>7239.0658548649126</v>
      </c>
      <c r="AN618" s="23">
        <v>613</v>
      </c>
      <c r="AO618" s="58">
        <v>306.5</v>
      </c>
      <c r="AP618" s="45">
        <f t="shared" si="152"/>
        <v>8362.6733057516176</v>
      </c>
      <c r="AQ618" s="45">
        <f t="shared" si="153"/>
        <v>-7220.9381733874634</v>
      </c>
      <c r="AR618" s="45">
        <f t="shared" si="154"/>
        <v>-378.36964009353414</v>
      </c>
      <c r="AS618" s="45">
        <f t="shared" si="155"/>
        <v>-928.64602036973986</v>
      </c>
      <c r="AT618" s="45">
        <f t="shared" si="141"/>
        <v>-617.40993042663354</v>
      </c>
      <c r="AU618" s="45">
        <f t="shared" si="142"/>
        <v>228.69371783800239</v>
      </c>
      <c r="AV618" s="64">
        <f t="shared" si="143"/>
        <v>633.79961751043493</v>
      </c>
      <c r="AW618" s="64">
        <f t="shared" si="144"/>
        <v>801.74126144443846</v>
      </c>
      <c r="AX618" s="64">
        <f t="shared" si="145"/>
        <v>-130.61469498336558</v>
      </c>
      <c r="AY618" s="64">
        <f t="shared" si="146"/>
        <v>79.305203800668082</v>
      </c>
      <c r="AZ618" s="64">
        <f t="shared" si="147"/>
        <v>-1120.5948529537029</v>
      </c>
      <c r="BA618" s="64">
        <f t="shared" si="148"/>
        <v>-652.35274740710418</v>
      </c>
      <c r="BB618" s="65">
        <f t="shared" si="149"/>
        <v>18765.217645776513</v>
      </c>
      <c r="BC618" s="65">
        <f t="shared" si="150"/>
        <v>33181.349409275521</v>
      </c>
      <c r="BD618" s="66">
        <f t="shared" si="151"/>
        <v>15462.04516803994</v>
      </c>
    </row>
    <row r="619" spans="31:56" x14ac:dyDescent="0.25">
      <c r="AE619" s="71">
        <v>557</v>
      </c>
      <c r="AF619" s="17">
        <v>3.267256359733385</v>
      </c>
      <c r="AG619" s="18">
        <v>-26786.202893495145</v>
      </c>
      <c r="AH619" s="20">
        <v>6806.6553132619556</v>
      </c>
      <c r="AN619" s="23">
        <v>614</v>
      </c>
      <c r="AO619" s="58">
        <v>307</v>
      </c>
      <c r="AP619" s="45">
        <f t="shared" si="152"/>
        <v>8019.1360030981923</v>
      </c>
      <c r="AQ619" s="45">
        <f t="shared" si="153"/>
        <v>-7628.087754112833</v>
      </c>
      <c r="AR619" s="45">
        <f t="shared" si="154"/>
        <v>-687.07460530685091</v>
      </c>
      <c r="AS619" s="45">
        <f t="shared" si="155"/>
        <v>-814.29916145073867</v>
      </c>
      <c r="AT619" s="45">
        <f t="shared" si="141"/>
        <v>-688.64910962708996</v>
      </c>
      <c r="AU619" s="45">
        <f t="shared" si="142"/>
        <v>190.86537482969209</v>
      </c>
      <c r="AV619" s="64">
        <f t="shared" si="143"/>
        <v>610.9725976202626</v>
      </c>
      <c r="AW619" s="64">
        <f t="shared" si="144"/>
        <v>771.46748970255862</v>
      </c>
      <c r="AX619" s="64">
        <f t="shared" si="145"/>
        <v>-129.90947832696747</v>
      </c>
      <c r="AY619" s="64">
        <f t="shared" si="146"/>
        <v>81.731845114195565</v>
      </c>
      <c r="AZ619" s="64">
        <f t="shared" si="147"/>
        <v>-1169.7122289203851</v>
      </c>
      <c r="BA619" s="64">
        <f t="shared" si="148"/>
        <v>-662.33395998706214</v>
      </c>
      <c r="BB619" s="65">
        <f t="shared" si="149"/>
        <v>19297.671911616606</v>
      </c>
      <c r="BC619" s="65">
        <f t="shared" si="150"/>
        <v>33103.19410913116</v>
      </c>
      <c r="BD619" s="66">
        <f t="shared" si="151"/>
        <v>14961.383372811109</v>
      </c>
    </row>
    <row r="620" spans="31:56" x14ac:dyDescent="0.25">
      <c r="AE620" s="71">
        <v>558</v>
      </c>
      <c r="AF620" s="17">
        <v>3.330088212805181</v>
      </c>
      <c r="AG620" s="18">
        <v>-26572.300100328976</v>
      </c>
      <c r="AH620" s="20">
        <v>6386.8474442371353</v>
      </c>
      <c r="AN620" s="23">
        <v>615</v>
      </c>
      <c r="AO620" s="58">
        <v>307.5</v>
      </c>
      <c r="AP620" s="45">
        <f t="shared" si="152"/>
        <v>7503.4364230379942</v>
      </c>
      <c r="AQ620" s="45">
        <f t="shared" si="153"/>
        <v>-7987.5209911307793</v>
      </c>
      <c r="AR620" s="45">
        <f t="shared" si="154"/>
        <v>-1031.3991601203959</v>
      </c>
      <c r="AS620" s="45">
        <f t="shared" si="155"/>
        <v>-718.86647403589268</v>
      </c>
      <c r="AT620" s="45">
        <f t="shared" si="141"/>
        <v>-763.91868246724994</v>
      </c>
      <c r="AU620" s="45">
        <f t="shared" si="142"/>
        <v>131.61125291543965</v>
      </c>
      <c r="AV620" s="64">
        <f t="shared" si="143"/>
        <v>592.28497355992954</v>
      </c>
      <c r="AW620" s="64">
        <f t="shared" si="144"/>
        <v>734.04387568208324</v>
      </c>
      <c r="AX620" s="64">
        <f t="shared" si="145"/>
        <v>-130.21007895120331</v>
      </c>
      <c r="AY620" s="64">
        <f t="shared" si="146"/>
        <v>85.158686804303485</v>
      </c>
      <c r="AZ620" s="64">
        <f t="shared" si="147"/>
        <v>-1225.9935770759762</v>
      </c>
      <c r="BA620" s="64">
        <f t="shared" si="148"/>
        <v>-687.59130957094703</v>
      </c>
      <c r="BB620" s="65">
        <f t="shared" si="149"/>
        <v>19900.437374182759</v>
      </c>
      <c r="BC620" s="65">
        <f t="shared" si="150"/>
        <v>32863.200186264017</v>
      </c>
      <c r="BD620" s="66">
        <f t="shared" si="151"/>
        <v>14335.647325279197</v>
      </c>
    </row>
    <row r="621" spans="31:56" x14ac:dyDescent="0.25">
      <c r="AE621" s="71">
        <v>559</v>
      </c>
      <c r="AF621" s="17">
        <v>3.3929200658769769</v>
      </c>
      <c r="AG621" s="18">
        <v>-26332.459441265113</v>
      </c>
      <c r="AH621" s="20">
        <v>5981.2990376575244</v>
      </c>
      <c r="AN621" s="23">
        <v>616</v>
      </c>
      <c r="AO621" s="58">
        <v>308</v>
      </c>
      <c r="AP621" s="45">
        <f t="shared" si="152"/>
        <v>6796.7571723609835</v>
      </c>
      <c r="AQ621" s="45">
        <f t="shared" si="153"/>
        <v>-8314.0514149198661</v>
      </c>
      <c r="AR621" s="45">
        <f t="shared" si="154"/>
        <v>-1413.358501354021</v>
      </c>
      <c r="AS621" s="45">
        <f t="shared" si="155"/>
        <v>-653.0608475781728</v>
      </c>
      <c r="AT621" s="45">
        <f t="shared" si="141"/>
        <v>-847.2947497095231</v>
      </c>
      <c r="AU621" s="45">
        <f t="shared" si="142"/>
        <v>47.384229917593984</v>
      </c>
      <c r="AV621" s="64">
        <f t="shared" si="143"/>
        <v>575.66918220336322</v>
      </c>
      <c r="AW621" s="64">
        <f t="shared" si="144"/>
        <v>689.50197797556984</v>
      </c>
      <c r="AX621" s="64">
        <f t="shared" si="145"/>
        <v>-131.46931922977262</v>
      </c>
      <c r="AY621" s="64">
        <f t="shared" si="146"/>
        <v>89.851762896966605</v>
      </c>
      <c r="AZ621" s="64">
        <f t="shared" si="147"/>
        <v>-1291.4946126831137</v>
      </c>
      <c r="BA621" s="64">
        <f t="shared" si="148"/>
        <v>-731.96951095494251</v>
      </c>
      <c r="BB621" s="65">
        <f t="shared" si="149"/>
        <v>20601.209753782183</v>
      </c>
      <c r="BC621" s="65">
        <f t="shared" si="150"/>
        <v>32457.2129762062</v>
      </c>
      <c r="BD621" s="66">
        <f t="shared" si="151"/>
        <v>13559.697204067108</v>
      </c>
    </row>
    <row r="622" spans="31:56" x14ac:dyDescent="0.25">
      <c r="AE622" s="71">
        <v>560</v>
      </c>
      <c r="AF622" s="17">
        <v>3.4557519189487729</v>
      </c>
      <c r="AG622" s="18">
        <v>-26067.627457812105</v>
      </c>
      <c r="AH622" s="20">
        <v>5591.6106078064495</v>
      </c>
      <c r="AN622" s="23">
        <v>617</v>
      </c>
      <c r="AO622" s="58">
        <v>308.5</v>
      </c>
      <c r="AP622" s="45">
        <f t="shared" si="152"/>
        <v>5878.2542342565921</v>
      </c>
      <c r="AQ622" s="45">
        <f t="shared" si="153"/>
        <v>-8628.735781229554</v>
      </c>
      <c r="AR622" s="45">
        <f t="shared" si="154"/>
        <v>-1837.0058762087824</v>
      </c>
      <c r="AS622" s="45">
        <f t="shared" si="155"/>
        <v>-629.36873261937581</v>
      </c>
      <c r="AT622" s="45">
        <f t="shared" si="141"/>
        <v>-942.02100636320279</v>
      </c>
      <c r="AU622" s="45">
        <f t="shared" si="142"/>
        <v>-66.490310979720562</v>
      </c>
      <c r="AV622" s="64">
        <f t="shared" si="143"/>
        <v>558.62095975048453</v>
      </c>
      <c r="AW622" s="64">
        <f t="shared" si="144"/>
        <v>638.01246751861004</v>
      </c>
      <c r="AX622" s="64">
        <f t="shared" si="145"/>
        <v>-133.58780359335637</v>
      </c>
      <c r="AY622" s="64">
        <f t="shared" si="146"/>
        <v>96.164597279562685</v>
      </c>
      <c r="AZ622" s="64">
        <f t="shared" si="147"/>
        <v>-1367.0541625203309</v>
      </c>
      <c r="BA622" s="64">
        <f t="shared" si="148"/>
        <v>-800.66737577789331</v>
      </c>
      <c r="BB622" s="65">
        <f t="shared" si="149"/>
        <v>21437.346416312965</v>
      </c>
      <c r="BC622" s="65">
        <f t="shared" si="150"/>
        <v>31885.95049578547</v>
      </c>
      <c r="BD622" s="66">
        <f t="shared" si="151"/>
        <v>12606.721339448495</v>
      </c>
    </row>
    <row r="623" spans="31:56" x14ac:dyDescent="0.25">
      <c r="AE623" s="71">
        <v>561</v>
      </c>
      <c r="AF623" s="17">
        <v>3.5185837720205688</v>
      </c>
      <c r="AG623" s="18">
        <v>-25778.849320818419</v>
      </c>
      <c r="AH623" s="20">
        <v>5219.3200768848255</v>
      </c>
      <c r="AN623" s="23">
        <v>618</v>
      </c>
      <c r="AO623" s="58">
        <v>309</v>
      </c>
      <c r="AP623" s="45">
        <f t="shared" si="152"/>
        <v>4724.2460445613997</v>
      </c>
      <c r="AQ623" s="45">
        <f t="shared" si="153"/>
        <v>-8960.0427252841728</v>
      </c>
      <c r="AR623" s="45">
        <f t="shared" si="154"/>
        <v>-2308.0163793903839</v>
      </c>
      <c r="AS623" s="45">
        <f t="shared" si="155"/>
        <v>-662.61388810923609</v>
      </c>
      <c r="AT623" s="45">
        <f t="shared" si="141"/>
        <v>-1047.7391559473795</v>
      </c>
      <c r="AU623" s="45">
        <f t="shared" si="142"/>
        <v>-215.77217456757535</v>
      </c>
      <c r="AV623" s="64">
        <f t="shared" si="143"/>
        <v>538.44599467599858</v>
      </c>
      <c r="AW623" s="64">
        <f t="shared" si="144"/>
        <v>580.19028739787007</v>
      </c>
      <c r="AX623" s="64">
        <f t="shared" si="145"/>
        <v>-136.35198150831209</v>
      </c>
      <c r="AY623" s="64">
        <f t="shared" si="146"/>
        <v>104.56292136938312</v>
      </c>
      <c r="AZ623" s="64">
        <f t="shared" si="147"/>
        <v>-1449.8331691150659</v>
      </c>
      <c r="BA623" s="64">
        <f t="shared" si="148"/>
        <v>-900.52538333482858</v>
      </c>
      <c r="BB623" s="65">
        <f t="shared" si="149"/>
        <v>22456.216632043754</v>
      </c>
      <c r="BC623" s="65">
        <f t="shared" si="150"/>
        <v>31157.207233906753</v>
      </c>
      <c r="BD623" s="66">
        <f t="shared" si="151"/>
        <v>11447.359739938318</v>
      </c>
    </row>
    <row r="624" spans="31:56" x14ac:dyDescent="0.25">
      <c r="AE624" s="71">
        <v>562</v>
      </c>
      <c r="AF624" s="17">
        <v>3.5814156250923643</v>
      </c>
      <c r="AG624" s="18">
        <v>-25467.264705660586</v>
      </c>
      <c r="AH624" s="20">
        <v>4865.8967055348348</v>
      </c>
      <c r="AN624" s="23">
        <v>619</v>
      </c>
      <c r="AO624" s="58">
        <v>309.5</v>
      </c>
      <c r="AP624" s="45">
        <f t="shared" si="152"/>
        <v>3308.3030658793627</v>
      </c>
      <c r="AQ624" s="45">
        <f t="shared" si="153"/>
        <v>-9345.2927129806849</v>
      </c>
      <c r="AR624" s="45">
        <f t="shared" si="154"/>
        <v>-2831.8859573640739</v>
      </c>
      <c r="AS624" s="45">
        <f t="shared" si="155"/>
        <v>-770.49997539302376</v>
      </c>
      <c r="AT624" s="45">
        <f t="shared" si="141"/>
        <v>-1153.1670822656513</v>
      </c>
      <c r="AU624" s="45">
        <f t="shared" si="142"/>
        <v>-405.95241435960156</v>
      </c>
      <c r="AV624" s="64">
        <f t="shared" si="143"/>
        <v>512.67437202249675</v>
      </c>
      <c r="AW624" s="64">
        <f t="shared" si="144"/>
        <v>517.39196423515023</v>
      </c>
      <c r="AX624" s="64">
        <f t="shared" si="145"/>
        <v>-139.31212680491177</v>
      </c>
      <c r="AY624" s="64">
        <f t="shared" si="146"/>
        <v>115.62548607213351</v>
      </c>
      <c r="AZ624" s="64">
        <f t="shared" si="147"/>
        <v>-1526.5293274832363</v>
      </c>
      <c r="BA624" s="64">
        <f t="shared" si="148"/>
        <v>-1038.9698646668853</v>
      </c>
      <c r="BB624" s="65">
        <f t="shared" si="149"/>
        <v>23714.481506592812</v>
      </c>
      <c r="BC624" s="65">
        <f t="shared" si="150"/>
        <v>30290.548723352385</v>
      </c>
      <c r="BD624" s="66">
        <f t="shared" si="151"/>
        <v>10050.055439467475</v>
      </c>
    </row>
    <row r="625" spans="31:56" x14ac:dyDescent="0.25">
      <c r="AE625" s="71">
        <v>563</v>
      </c>
      <c r="AF625" s="17">
        <v>3.6442474781641603</v>
      </c>
      <c r="AG625" s="18">
        <v>-25134.103294465163</v>
      </c>
      <c r="AH625" s="20">
        <v>4532.7352943394135</v>
      </c>
      <c r="AN625" s="23">
        <v>620</v>
      </c>
      <c r="AO625" s="58">
        <v>310</v>
      </c>
      <c r="AP625" s="45">
        <f t="shared" si="152"/>
        <v>1604.0683166309129</v>
      </c>
      <c r="AQ625" s="45">
        <f t="shared" si="153"/>
        <v>-9832.0308042670968</v>
      </c>
      <c r="AR625" s="45">
        <f t="shared" si="154"/>
        <v>-3408.4694984968996</v>
      </c>
      <c r="AS625" s="45">
        <f t="shared" si="155"/>
        <v>-973.47618257282454</v>
      </c>
      <c r="AT625" s="45">
        <f t="shared" si="141"/>
        <v>-1217.5433051664531</v>
      </c>
      <c r="AU625" s="45">
        <f t="shared" si="142"/>
        <v>-635.48665360126631</v>
      </c>
      <c r="AV625" s="64">
        <f t="shared" si="143"/>
        <v>479.64687627581077</v>
      </c>
      <c r="AW625" s="64">
        <f t="shared" si="144"/>
        <v>451.90722480767153</v>
      </c>
      <c r="AX625" s="64">
        <f t="shared" si="145"/>
        <v>-141.56309776918113</v>
      </c>
      <c r="AY625" s="64">
        <f t="shared" si="146"/>
        <v>129.95162182229632</v>
      </c>
      <c r="AZ625" s="64">
        <f t="shared" si="147"/>
        <v>-1555.6270836730828</v>
      </c>
      <c r="BA625" s="64">
        <f t="shared" si="148"/>
        <v>-1217.3455002312342</v>
      </c>
      <c r="BB625" s="65">
        <f t="shared" si="149"/>
        <v>25274.682872377372</v>
      </c>
      <c r="BC625" s="65">
        <f t="shared" si="150"/>
        <v>29326.527473450631</v>
      </c>
      <c r="BD625" s="66">
        <f t="shared" si="151"/>
        <v>8385.7989445712592</v>
      </c>
    </row>
    <row r="626" spans="31:56" x14ac:dyDescent="0.25">
      <c r="AE626" s="71">
        <v>564</v>
      </c>
      <c r="AF626" s="17">
        <v>3.7070793312359562</v>
      </c>
      <c r="AG626" s="18">
        <v>-24780.679923115171</v>
      </c>
      <c r="AH626" s="20">
        <v>4221.15067918158</v>
      </c>
      <c r="AN626" s="23">
        <v>621</v>
      </c>
      <c r="AO626" s="58">
        <v>310.5</v>
      </c>
      <c r="AP626" s="45">
        <f t="shared" si="152"/>
        <v>-404.55225890915017</v>
      </c>
      <c r="AQ626" s="45">
        <f t="shared" si="153"/>
        <v>-10477.640558953824</v>
      </c>
      <c r="AR626" s="45">
        <f t="shared" si="154"/>
        <v>-4017.2411510801262</v>
      </c>
      <c r="AS626" s="45">
        <f t="shared" si="155"/>
        <v>-1291.2195093734576</v>
      </c>
      <c r="AT626" s="45">
        <f t="shared" si="141"/>
        <v>-1130.6985800748621</v>
      </c>
      <c r="AU626" s="45">
        <f t="shared" si="142"/>
        <v>-870.98670732718676</v>
      </c>
      <c r="AV626" s="64">
        <f t="shared" si="143"/>
        <v>439.20025485142565</v>
      </c>
      <c r="AW626" s="64">
        <f t="shared" si="144"/>
        <v>386.9619002138283</v>
      </c>
      <c r="AX626" s="64">
        <f t="shared" si="145"/>
        <v>-141.43193393288462</v>
      </c>
      <c r="AY626" s="64">
        <f t="shared" si="146"/>
        <v>147.79924117590431</v>
      </c>
      <c r="AZ626" s="64">
        <f t="shared" si="147"/>
        <v>-1428.466900993403</v>
      </c>
      <c r="BA626" s="64">
        <f t="shared" si="148"/>
        <v>-1405.7478487169194</v>
      </c>
      <c r="BB626" s="65">
        <f t="shared" si="149"/>
        <v>27194.508875019161</v>
      </c>
      <c r="BC626" s="65">
        <f t="shared" si="150"/>
        <v>28342.818050355072</v>
      </c>
      <c r="BD626" s="66">
        <f t="shared" si="151"/>
        <v>6447.4704229733752</v>
      </c>
    </row>
    <row r="627" spans="31:56" x14ac:dyDescent="0.25">
      <c r="AE627" s="71">
        <v>565</v>
      </c>
      <c r="AF627" s="17">
        <v>3.7699111843077522</v>
      </c>
      <c r="AG627" s="18">
        <v>-24408.389392193549</v>
      </c>
      <c r="AH627" s="20">
        <v>3932.3725421878953</v>
      </c>
      <c r="AN627" s="23">
        <v>622</v>
      </c>
      <c r="AO627" s="58">
        <v>311</v>
      </c>
      <c r="AP627" s="45">
        <f t="shared" si="152"/>
        <v>-2695.8474794679287</v>
      </c>
      <c r="AQ627" s="45">
        <f t="shared" si="153"/>
        <v>-11340.996990472351</v>
      </c>
      <c r="AR627" s="45">
        <f t="shared" si="154"/>
        <v>-4582.590441117557</v>
      </c>
      <c r="AS627" s="45">
        <f t="shared" si="155"/>
        <v>-1726.712863037051</v>
      </c>
      <c r="AT627" s="45">
        <f t="shared" si="141"/>
        <v>-675.97396646560753</v>
      </c>
      <c r="AU627" s="45">
        <f t="shared" si="142"/>
        <v>-986.82710472320503</v>
      </c>
      <c r="AV627" s="64">
        <f t="shared" si="143"/>
        <v>393.3059989697058</v>
      </c>
      <c r="AW627" s="64">
        <f t="shared" si="144"/>
        <v>326.50365445162356</v>
      </c>
      <c r="AX627" s="64">
        <f t="shared" si="145"/>
        <v>-136.35241927565062</v>
      </c>
      <c r="AY627" s="64">
        <f t="shared" si="146"/>
        <v>168.16174995872089</v>
      </c>
      <c r="AZ627" s="64">
        <f t="shared" si="147"/>
        <v>-932.92754615966271</v>
      </c>
      <c r="BA627" s="64">
        <f t="shared" si="148"/>
        <v>-1481.4925091335494</v>
      </c>
      <c r="BB627" s="65">
        <f t="shared" si="149"/>
        <v>29497.197500885723</v>
      </c>
      <c r="BC627" s="65">
        <f t="shared" si="150"/>
        <v>27474.931246523374</v>
      </c>
      <c r="BD627" s="66">
        <f t="shared" si="151"/>
        <v>4324.0515563076588</v>
      </c>
    </row>
    <row r="628" spans="31:56" x14ac:dyDescent="0.25">
      <c r="AE628" s="71">
        <v>566</v>
      </c>
      <c r="AF628" s="17">
        <v>3.8327430373795481</v>
      </c>
      <c r="AG628" s="18">
        <v>-24018.700962342471</v>
      </c>
      <c r="AH628" s="20">
        <v>3667.5405587348851</v>
      </c>
      <c r="AN628" s="23">
        <v>623</v>
      </c>
      <c r="AO628" s="58">
        <v>311.5</v>
      </c>
      <c r="AP628" s="45">
        <f t="shared" si="152"/>
        <v>-5156.1361916431088</v>
      </c>
      <c r="AQ628" s="45">
        <f t="shared" si="153"/>
        <v>-12451.060198171677</v>
      </c>
      <c r="AR628" s="45">
        <f t="shared" si="154"/>
        <v>-4920.5774243503611</v>
      </c>
      <c r="AS628" s="45">
        <f t="shared" si="155"/>
        <v>-2220.1264153986535</v>
      </c>
      <c r="AT628" s="45">
        <f t="shared" si="141"/>
        <v>296.76653777943227</v>
      </c>
      <c r="AU628" s="45">
        <f t="shared" si="142"/>
        <v>-751.79524445141533</v>
      </c>
      <c r="AV628" s="64">
        <f t="shared" si="143"/>
        <v>346.35390114060976</v>
      </c>
      <c r="AW628" s="64">
        <f t="shared" si="144"/>
        <v>274.68954210159893</v>
      </c>
      <c r="AX628" s="64">
        <f t="shared" si="145"/>
        <v>-123.94857573131083</v>
      </c>
      <c r="AY628" s="64">
        <f t="shared" si="146"/>
        <v>187.46985091945101</v>
      </c>
      <c r="AZ628" s="64">
        <f t="shared" si="147"/>
        <v>74.361212370133316</v>
      </c>
      <c r="BA628" s="64">
        <f t="shared" si="148"/>
        <v>-1213.9546374724653</v>
      </c>
      <c r="BB628" s="65">
        <f t="shared" si="149"/>
        <v>32107.257608266176</v>
      </c>
      <c r="BC628" s="65">
        <f t="shared" si="150"/>
        <v>26914.501607553055</v>
      </c>
      <c r="BD628" s="66">
        <f t="shared" si="151"/>
        <v>2553.7174126526652</v>
      </c>
    </row>
    <row r="629" spans="31:56" x14ac:dyDescent="0.25">
      <c r="AE629" s="71">
        <v>567</v>
      </c>
      <c r="AF629" s="17">
        <v>3.8955748904513436</v>
      </c>
      <c r="AG629" s="18">
        <v>-23613.152555762863</v>
      </c>
      <c r="AH629" s="20">
        <v>3427.6998996710236</v>
      </c>
      <c r="AN629" s="23">
        <v>624</v>
      </c>
      <c r="AO629" s="58">
        <v>312</v>
      </c>
      <c r="AP629" s="45">
        <f t="shared" si="152"/>
        <v>-7542.2332693734315</v>
      </c>
      <c r="AQ629" s="45">
        <f t="shared" si="153"/>
        <v>-13749.072216983857</v>
      </c>
      <c r="AR629" s="45">
        <f t="shared" si="154"/>
        <v>-4772.1941554606447</v>
      </c>
      <c r="AS629" s="45">
        <f t="shared" si="155"/>
        <v>-2596.024037624361</v>
      </c>
      <c r="AT629" s="45">
        <f t="shared" si="141"/>
        <v>1384.5662042609983</v>
      </c>
      <c r="AU629" s="45">
        <f t="shared" si="142"/>
        <v>-148.40224321744597</v>
      </c>
      <c r="AV629" s="64">
        <f t="shared" si="143"/>
        <v>304.11809152194201</v>
      </c>
      <c r="AW629" s="64">
        <f t="shared" si="144"/>
        <v>234.62974937573253</v>
      </c>
      <c r="AX629" s="64">
        <f t="shared" si="145"/>
        <v>-105.07739214600478</v>
      </c>
      <c r="AY629" s="64">
        <f t="shared" si="146"/>
        <v>200.31604607853239</v>
      </c>
      <c r="AZ629" s="64">
        <f t="shared" si="147"/>
        <v>1185.5255048850611</v>
      </c>
      <c r="BA629" s="64">
        <f t="shared" si="148"/>
        <v>-583.34803867171092</v>
      </c>
      <c r="BB629" s="65">
        <f t="shared" si="149"/>
        <v>34786.458335783136</v>
      </c>
      <c r="BC629" s="65">
        <f t="shared" si="150"/>
        <v>26818.172627571414</v>
      </c>
      <c r="BD629" s="66">
        <f t="shared" si="151"/>
        <v>2833.332016236503</v>
      </c>
    </row>
    <row r="630" spans="31:56" x14ac:dyDescent="0.25">
      <c r="AE630" s="71">
        <v>568</v>
      </c>
      <c r="AF630" s="17">
        <v>3.9584067435231396</v>
      </c>
      <c r="AG630" s="18">
        <v>-23193.344686738041</v>
      </c>
      <c r="AH630" s="20">
        <v>3213.7971065048514</v>
      </c>
      <c r="AN630" s="23">
        <v>625</v>
      </c>
      <c r="AO630" s="58">
        <v>312.5</v>
      </c>
      <c r="AP630" s="45">
        <f t="shared" si="152"/>
        <v>-9582.1887960385047</v>
      </c>
      <c r="AQ630" s="45">
        <f t="shared" si="153"/>
        <v>-15084.184796600399</v>
      </c>
      <c r="AR630" s="45">
        <f t="shared" si="154"/>
        <v>-4079.9110533301455</v>
      </c>
      <c r="AS630" s="45">
        <f t="shared" si="155"/>
        <v>-2670.225159233084</v>
      </c>
      <c r="AT630" s="45">
        <f t="shared" si="141"/>
        <v>1988.3403000772273</v>
      </c>
      <c r="AU630" s="45">
        <f t="shared" si="142"/>
        <v>443.86931248363709</v>
      </c>
      <c r="AV630" s="64">
        <f t="shared" si="143"/>
        <v>270.62809379451011</v>
      </c>
      <c r="AW630" s="64">
        <f t="shared" si="144"/>
        <v>206.60793302169034</v>
      </c>
      <c r="AX630" s="64">
        <f t="shared" si="145"/>
        <v>-84.784504166980653</v>
      </c>
      <c r="AY630" s="64">
        <f t="shared" si="146"/>
        <v>204.14558574491707</v>
      </c>
      <c r="AZ630" s="64">
        <f t="shared" si="147"/>
        <v>1802.4967104496977</v>
      </c>
      <c r="BA630" s="64">
        <f t="shared" si="148"/>
        <v>33.115793717029703</v>
      </c>
      <c r="BB630" s="65">
        <f t="shared" si="149"/>
        <v>37217.620784938183</v>
      </c>
      <c r="BC630" s="65">
        <f t="shared" si="150"/>
        <v>27161.500643215284</v>
      </c>
      <c r="BD630" s="66">
        <f t="shared" si="151"/>
        <v>4582.9620599039936</v>
      </c>
    </row>
    <row r="631" spans="31:56" x14ac:dyDescent="0.25">
      <c r="AE631" s="71">
        <v>569</v>
      </c>
      <c r="AF631" s="17">
        <v>4.0212385965949355</v>
      </c>
      <c r="AG631" s="18">
        <v>-22760.934145135085</v>
      </c>
      <c r="AH631" s="20">
        <v>3026.6763558381144</v>
      </c>
      <c r="AN631" s="23">
        <v>626</v>
      </c>
      <c r="AO631" s="58">
        <v>313</v>
      </c>
      <c r="AP631" s="45">
        <f t="shared" si="152"/>
        <v>-11125.05924768427</v>
      </c>
      <c r="AQ631" s="45">
        <f t="shared" si="153"/>
        <v>-16308.330048096033</v>
      </c>
      <c r="AR631" s="45">
        <f t="shared" si="154"/>
        <v>-3085.740903291532</v>
      </c>
      <c r="AS631" s="45">
        <f t="shared" si="155"/>
        <v>-2448.2905029912654</v>
      </c>
      <c r="AT631" s="45">
        <f t="shared" si="141"/>
        <v>2130.6537384559147</v>
      </c>
      <c r="AU631" s="45">
        <f t="shared" si="142"/>
        <v>806.7026039883367</v>
      </c>
      <c r="AV631" s="64">
        <f t="shared" si="143"/>
        <v>246.37169377016355</v>
      </c>
      <c r="AW631" s="64">
        <f t="shared" si="144"/>
        <v>188.45582117967891</v>
      </c>
      <c r="AX631" s="64">
        <f t="shared" si="145"/>
        <v>-67.892623863266962</v>
      </c>
      <c r="AY631" s="64">
        <f t="shared" si="146"/>
        <v>201.2567301883127</v>
      </c>
      <c r="AZ631" s="64">
        <f t="shared" si="147"/>
        <v>1952.174668549018</v>
      </c>
      <c r="BA631" s="64">
        <f t="shared" si="148"/>
        <v>416.99005262034501</v>
      </c>
      <c r="BB631" s="65">
        <f t="shared" si="149"/>
        <v>39186.807637914688</v>
      </c>
      <c r="BC631" s="65">
        <f t="shared" si="150"/>
        <v>27764.956388884661</v>
      </c>
      <c r="BD631" s="66">
        <f t="shared" si="151"/>
        <v>6263.2322567819219</v>
      </c>
    </row>
    <row r="632" spans="31:56" x14ac:dyDescent="0.25">
      <c r="AE632" s="71">
        <v>570</v>
      </c>
      <c r="AF632" s="17">
        <v>4.0840704496667311</v>
      </c>
      <c r="AG632" s="18">
        <v>-22317.627457812108</v>
      </c>
      <c r="AH632" s="20">
        <v>2867.0761277863485</v>
      </c>
      <c r="AN632" s="23">
        <v>627</v>
      </c>
      <c r="AO632" s="58">
        <v>313.5</v>
      </c>
      <c r="AP632" s="45">
        <f t="shared" si="152"/>
        <v>-12135.266264716058</v>
      </c>
      <c r="AQ632" s="45">
        <f t="shared" si="153"/>
        <v>-17330.799648594581</v>
      </c>
      <c r="AR632" s="45">
        <f t="shared" si="154"/>
        <v>-2020.4140340635747</v>
      </c>
      <c r="AS632" s="45">
        <f t="shared" si="155"/>
        <v>-2044.939200997097</v>
      </c>
      <c r="AT632" s="45">
        <f t="shared" si="141"/>
        <v>2084.8733547639608</v>
      </c>
      <c r="AU632" s="45">
        <f t="shared" si="142"/>
        <v>997.35475916336225</v>
      </c>
      <c r="AV632" s="64">
        <f t="shared" si="143"/>
        <v>229.98788243651941</v>
      </c>
      <c r="AW632" s="64">
        <f t="shared" si="144"/>
        <v>177.71077368218587</v>
      </c>
      <c r="AX632" s="64">
        <f t="shared" si="145"/>
        <v>-56.218268809954552</v>
      </c>
      <c r="AY632" s="64">
        <f t="shared" si="146"/>
        <v>195.3645594564085</v>
      </c>
      <c r="AZ632" s="64">
        <f t="shared" si="147"/>
        <v>1911.1037411373959</v>
      </c>
      <c r="BA632" s="64">
        <f t="shared" si="148"/>
        <v>624.27942602476787</v>
      </c>
      <c r="BB632" s="65">
        <f t="shared" si="149"/>
        <v>40610.884613522547</v>
      </c>
      <c r="BC632" s="65">
        <f t="shared" si="150"/>
        <v>28439.877745140377</v>
      </c>
      <c r="BD632" s="66">
        <f t="shared" si="151"/>
        <v>7506.3074590829056</v>
      </c>
    </row>
    <row r="633" spans="31:56" x14ac:dyDescent="0.25">
      <c r="AE633" s="71">
        <v>571</v>
      </c>
      <c r="AF633" s="17">
        <v>4.1469023027385274</v>
      </c>
      <c r="AG633" s="18">
        <v>-21865.174153736407</v>
      </c>
      <c r="AH633" s="20">
        <v>2735.6262915352663</v>
      </c>
      <c r="AN633" s="23">
        <v>628</v>
      </c>
      <c r="AO633" s="58">
        <v>314</v>
      </c>
      <c r="AP633" s="45">
        <f t="shared" si="152"/>
        <v>-12624.254943056854</v>
      </c>
      <c r="AQ633" s="45">
        <f t="shared" si="153"/>
        <v>-18103.930559302287</v>
      </c>
      <c r="AR633" s="45">
        <f t="shared" si="154"/>
        <v>-977.9773566815943</v>
      </c>
      <c r="AS633" s="45">
        <f t="shared" si="155"/>
        <v>-1546.2618214154159</v>
      </c>
      <c r="AT633" s="45">
        <f t="shared" si="141"/>
        <v>2007.5724469653524</v>
      </c>
      <c r="AU633" s="45">
        <f t="shared" si="142"/>
        <v>1109.6770897074034</v>
      </c>
      <c r="AV633" s="64">
        <f t="shared" si="143"/>
        <v>220.02233346646943</v>
      </c>
      <c r="AW633" s="64">
        <f t="shared" si="144"/>
        <v>172.67632800822173</v>
      </c>
      <c r="AX633" s="64">
        <f t="shared" si="145"/>
        <v>-49.619438366098159</v>
      </c>
      <c r="AY633" s="64">
        <f t="shared" si="146"/>
        <v>189.06581497413484</v>
      </c>
      <c r="AZ633" s="64">
        <f t="shared" si="147"/>
        <v>1837.169551864981</v>
      </c>
      <c r="BA633" s="64">
        <f t="shared" si="148"/>
        <v>747.93494672504676</v>
      </c>
      <c r="BB633" s="65">
        <f t="shared" si="149"/>
        <v>41471.716514694002</v>
      </c>
      <c r="BC633" s="65">
        <f t="shared" si="150"/>
        <v>29055.679789450911</v>
      </c>
      <c r="BD633" s="66">
        <f t="shared" si="151"/>
        <v>8231.867853269845</v>
      </c>
    </row>
    <row r="634" spans="31:56" x14ac:dyDescent="0.25">
      <c r="AE634" s="71">
        <v>572</v>
      </c>
      <c r="AF634" s="17">
        <v>4.209734155810323</v>
      </c>
      <c r="AG634" s="18">
        <v>-21405.359859392935</v>
      </c>
      <c r="AH634" s="20">
        <v>2632.8456195348344</v>
      </c>
      <c r="AN634" s="23">
        <v>629</v>
      </c>
      <c r="AO634" s="58">
        <v>314.5</v>
      </c>
      <c r="AP634" s="45">
        <f t="shared" si="152"/>
        <v>-12611.350509656313</v>
      </c>
      <c r="AQ634" s="45">
        <f t="shared" si="153"/>
        <v>-18599.642197583144</v>
      </c>
      <c r="AR634" s="45">
        <f t="shared" si="154"/>
        <v>25.808866801081876</v>
      </c>
      <c r="AS634" s="45">
        <f t="shared" si="155"/>
        <v>-991.42327656171415</v>
      </c>
      <c r="AT634" s="45">
        <f t="shared" si="141"/>
        <v>1952.0426308244896</v>
      </c>
      <c r="AU634" s="45">
        <f t="shared" si="142"/>
        <v>1199.7795120027904</v>
      </c>
      <c r="AV634" s="64">
        <f t="shared" si="143"/>
        <v>215.51712500798919</v>
      </c>
      <c r="AW634" s="64">
        <f t="shared" si="144"/>
        <v>172.48349921892259</v>
      </c>
      <c r="AX634" s="64">
        <f t="shared" si="145"/>
        <v>-47.434290140064114</v>
      </c>
      <c r="AY634" s="64">
        <f t="shared" si="146"/>
        <v>183.60645307036708</v>
      </c>
      <c r="AZ634" s="64">
        <f t="shared" si="147"/>
        <v>1783.9597959565644</v>
      </c>
      <c r="BA634" s="64">
        <f t="shared" si="148"/>
        <v>843.68955971350067</v>
      </c>
      <c r="BB634" s="65">
        <f t="shared" si="149"/>
        <v>41769.504484797566</v>
      </c>
      <c r="BC634" s="65">
        <f t="shared" si="150"/>
        <v>29538.647144392624</v>
      </c>
      <c r="BD634" s="66">
        <f t="shared" si="151"/>
        <v>8419.6247262848137</v>
      </c>
    </row>
    <row r="635" spans="31:56" x14ac:dyDescent="0.25">
      <c r="AE635" s="71">
        <v>573</v>
      </c>
      <c r="AF635" s="17">
        <v>4.2725660088821193</v>
      </c>
      <c r="AG635" s="18">
        <v>-20939.999251732279</v>
      </c>
      <c r="AH635" s="20">
        <v>2559.139740141416</v>
      </c>
      <c r="AN635" s="23">
        <v>630</v>
      </c>
      <c r="AO635" s="58">
        <v>315</v>
      </c>
      <c r="AP635" s="45">
        <f t="shared" si="152"/>
        <v>-12110.435418549649</v>
      </c>
      <c r="AQ635" s="45">
        <f t="shared" si="153"/>
        <v>-18795.408957863303</v>
      </c>
      <c r="AR635" s="45">
        <f t="shared" si="154"/>
        <v>1001.8301822133267</v>
      </c>
      <c r="AS635" s="45">
        <f t="shared" si="155"/>
        <v>-391.53352056031895</v>
      </c>
      <c r="AT635" s="45">
        <f t="shared" si="141"/>
        <v>1924.1257485745828</v>
      </c>
      <c r="AU635" s="45">
        <f t="shared" si="142"/>
        <v>1294.2197529545138</v>
      </c>
      <c r="AV635" s="64">
        <f t="shared" si="143"/>
        <v>216.08931382854624</v>
      </c>
      <c r="AW635" s="64">
        <f t="shared" si="144"/>
        <v>176.95670595806385</v>
      </c>
      <c r="AX635" s="64">
        <f t="shared" si="145"/>
        <v>-49.13177272527868</v>
      </c>
      <c r="AY635" s="64">
        <f t="shared" si="146"/>
        <v>179.32161830268134</v>
      </c>
      <c r="AZ635" s="64">
        <f t="shared" si="147"/>
        <v>1757.1682074713151</v>
      </c>
      <c r="BA635" s="64">
        <f t="shared" si="148"/>
        <v>937.94142869376856</v>
      </c>
      <c r="BB635" s="65">
        <f t="shared" si="149"/>
        <v>41503.356430897555</v>
      </c>
      <c r="BC635" s="65">
        <f t="shared" si="150"/>
        <v>29856.671052471171</v>
      </c>
      <c r="BD635" s="66">
        <f t="shared" si="151"/>
        <v>8059.9888956991945</v>
      </c>
    </row>
    <row r="636" spans="31:56" x14ac:dyDescent="0.25">
      <c r="AE636" s="71">
        <v>574</v>
      </c>
      <c r="AF636" s="17">
        <v>4.3353978619539149</v>
      </c>
      <c r="AG636" s="18">
        <v>-20470.92889646985</v>
      </c>
      <c r="AH636" s="20">
        <v>2514.799536787963</v>
      </c>
      <c r="AN636" s="23">
        <v>631</v>
      </c>
      <c r="AO636" s="58">
        <v>315.5</v>
      </c>
      <c r="AP636" s="45">
        <f t="shared" si="152"/>
        <v>-11128.488890299341</v>
      </c>
      <c r="AQ636" s="45">
        <f t="shared" si="153"/>
        <v>-18667.620779904835</v>
      </c>
      <c r="AR636" s="45">
        <f t="shared" si="154"/>
        <v>1963.8930565006181</v>
      </c>
      <c r="AS636" s="45">
        <f t="shared" si="155"/>
        <v>255.57635591693793</v>
      </c>
      <c r="AT636" s="45">
        <f t="shared" si="141"/>
        <v>1896.6717158083954</v>
      </c>
      <c r="AU636" s="45">
        <f t="shared" si="142"/>
        <v>1397.3667390486391</v>
      </c>
      <c r="AV636" s="64">
        <f t="shared" si="143"/>
        <v>221.92876940242957</v>
      </c>
      <c r="AW636" s="64">
        <f t="shared" si="144"/>
        <v>186.56054581831901</v>
      </c>
      <c r="AX636" s="64">
        <f t="shared" si="145"/>
        <v>-54.453156542124383</v>
      </c>
      <c r="AY636" s="64">
        <f t="shared" si="146"/>
        <v>175.96127905554619</v>
      </c>
      <c r="AZ636" s="64">
        <f t="shared" si="147"/>
        <v>1729.1961029480904</v>
      </c>
      <c r="BA636" s="64">
        <f t="shared" si="148"/>
        <v>1034.844914174774</v>
      </c>
      <c r="BB636" s="65">
        <f t="shared" si="149"/>
        <v>40666.044777853633</v>
      </c>
      <c r="BC636" s="65">
        <f t="shared" si="150"/>
        <v>30008.935178542637</v>
      </c>
      <c r="BD636" s="66">
        <f t="shared" si="151"/>
        <v>7142.1158114183645</v>
      </c>
    </row>
    <row r="637" spans="31:56" x14ac:dyDescent="0.25">
      <c r="AE637" s="71">
        <v>575</v>
      </c>
      <c r="AF637" s="17">
        <v>4.3982297150257104</v>
      </c>
      <c r="AG637" s="18">
        <v>-20000</v>
      </c>
      <c r="AH637" s="20">
        <v>2500</v>
      </c>
      <c r="AN637" s="23">
        <v>632</v>
      </c>
      <c r="AO637" s="58">
        <v>316</v>
      </c>
      <c r="AP637" s="45">
        <f t="shared" si="152"/>
        <v>-9672.374433096933</v>
      </c>
      <c r="AQ637" s="45">
        <f t="shared" si="153"/>
        <v>-18190.490917184208</v>
      </c>
      <c r="AR637" s="45">
        <f t="shared" si="154"/>
        <v>2912.2289144048159</v>
      </c>
      <c r="AS637" s="45">
        <f t="shared" si="155"/>
        <v>954.2597254412575</v>
      </c>
      <c r="AT637" s="45">
        <f t="shared" si="141"/>
        <v>1783.4883080117213</v>
      </c>
      <c r="AU637" s="45">
        <f t="shared" si="142"/>
        <v>1476.6587324720369</v>
      </c>
      <c r="AV637" s="64">
        <f t="shared" si="143"/>
        <v>233.8330951209559</v>
      </c>
      <c r="AW637" s="64">
        <f t="shared" si="144"/>
        <v>202.45386899814079</v>
      </c>
      <c r="AX637" s="64">
        <f t="shared" si="145"/>
        <v>-63.307988699428037</v>
      </c>
      <c r="AY637" s="64">
        <f t="shared" si="146"/>
        <v>172.80673750758351</v>
      </c>
      <c r="AZ637" s="64">
        <f t="shared" si="147"/>
        <v>1612.9632015901934</v>
      </c>
      <c r="BA637" s="64">
        <f t="shared" si="148"/>
        <v>1101.3981259663126</v>
      </c>
      <c r="BB637" s="65">
        <f t="shared" si="149"/>
        <v>39248.581223578374</v>
      </c>
      <c r="BC637" s="65">
        <f t="shared" si="150"/>
        <v>30022.718531172275</v>
      </c>
      <c r="BD637" s="66">
        <f t="shared" si="151"/>
        <v>5657.765913829664</v>
      </c>
    </row>
    <row r="638" spans="31:56" x14ac:dyDescent="0.25">
      <c r="AE638" s="71">
        <v>576</v>
      </c>
      <c r="AF638" s="17">
        <v>4.4610615680975068</v>
      </c>
      <c r="AG638" s="18">
        <v>-19529.071103530147</v>
      </c>
      <c r="AH638" s="20">
        <v>2514.799536787963</v>
      </c>
      <c r="AN638" s="23">
        <v>633</v>
      </c>
      <c r="AO638" s="58">
        <v>316.5</v>
      </c>
      <c r="AP638" s="45">
        <f t="shared" si="152"/>
        <v>-7770.3878988915949</v>
      </c>
      <c r="AQ638" s="45">
        <f t="shared" si="153"/>
        <v>-17344.196371345573</v>
      </c>
      <c r="AR638" s="45">
        <f t="shared" si="154"/>
        <v>3803.9730684106767</v>
      </c>
      <c r="AS638" s="45">
        <f t="shared" si="155"/>
        <v>1692.589091677276</v>
      </c>
      <c r="AT638" s="45">
        <f t="shared" si="141"/>
        <v>1382.6310064956406</v>
      </c>
      <c r="AU638" s="45">
        <f t="shared" si="142"/>
        <v>1414.7569245138691</v>
      </c>
      <c r="AV638" s="64">
        <f t="shared" si="143"/>
        <v>253.21450866753668</v>
      </c>
      <c r="AW638" s="64">
        <f t="shared" si="144"/>
        <v>226.5330610546192</v>
      </c>
      <c r="AX638" s="64">
        <f t="shared" si="145"/>
        <v>-75.454276377850931</v>
      </c>
      <c r="AY638" s="64">
        <f t="shared" si="146"/>
        <v>168.70825773343543</v>
      </c>
      <c r="AZ638" s="64">
        <f t="shared" si="147"/>
        <v>1204.8707742059548</v>
      </c>
      <c r="BA638" s="64">
        <f t="shared" si="148"/>
        <v>1019.5156057258145</v>
      </c>
      <c r="BB638" s="65">
        <f t="shared" si="149"/>
        <v>37261.622849694635</v>
      </c>
      <c r="BC638" s="65">
        <f t="shared" si="150"/>
        <v>29954.440194039438</v>
      </c>
      <c r="BD638" s="66">
        <f t="shared" si="151"/>
        <v>3629.0915857490754</v>
      </c>
    </row>
    <row r="639" spans="31:56" x14ac:dyDescent="0.25">
      <c r="AE639" s="71">
        <v>577</v>
      </c>
      <c r="AF639" s="17">
        <v>4.5238934211693023</v>
      </c>
      <c r="AG639" s="18">
        <v>-19060.000748267717</v>
      </c>
      <c r="AH639" s="20">
        <v>2559.139740141416</v>
      </c>
      <c r="AN639" s="23">
        <v>634</v>
      </c>
      <c r="AO639" s="58">
        <v>317</v>
      </c>
      <c r="AP639" s="45">
        <f t="shared" si="152"/>
        <v>-5522.7436130623464</v>
      </c>
      <c r="AQ639" s="45">
        <f t="shared" si="153"/>
        <v>-16144.212594378469</v>
      </c>
      <c r="AR639" s="45">
        <f t="shared" si="154"/>
        <v>4495.2885716584969</v>
      </c>
      <c r="AS639" s="45">
        <f t="shared" si="155"/>
        <v>2399.9675539342106</v>
      </c>
      <c r="AT639" s="45">
        <f t="shared" si="141"/>
        <v>459.12580149720503</v>
      </c>
      <c r="AU639" s="45">
        <f t="shared" si="142"/>
        <v>1008.5054742018556</v>
      </c>
      <c r="AV639" s="64">
        <f t="shared" si="143"/>
        <v>281.70250485133516</v>
      </c>
      <c r="AW639" s="64">
        <f t="shared" si="144"/>
        <v>260.96857038774777</v>
      </c>
      <c r="AX639" s="64">
        <f t="shared" si="145"/>
        <v>-89.913733472173377</v>
      </c>
      <c r="AY639" s="64">
        <f t="shared" si="146"/>
        <v>162.37356721621396</v>
      </c>
      <c r="AZ639" s="64">
        <f t="shared" si="147"/>
        <v>267.33703011804323</v>
      </c>
      <c r="BA639" s="64">
        <f t="shared" si="148"/>
        <v>585.16333659789382</v>
      </c>
      <c r="BB639" s="65">
        <f t="shared" si="149"/>
        <v>34791.654613517305</v>
      </c>
      <c r="BC639" s="65">
        <f t="shared" si="150"/>
        <v>29884.959505965286</v>
      </c>
      <c r="BD639" s="66">
        <f t="shared" si="151"/>
        <v>1257.9679432051446</v>
      </c>
    </row>
    <row r="640" spans="31:56" x14ac:dyDescent="0.25">
      <c r="AE640" s="71">
        <v>578</v>
      </c>
      <c r="AF640" s="17">
        <v>4.5867252742410987</v>
      </c>
      <c r="AG640" s="18">
        <v>-18594.640140607062</v>
      </c>
      <c r="AH640" s="20">
        <v>2632.8456195348354</v>
      </c>
      <c r="AN640" s="23">
        <v>635</v>
      </c>
      <c r="AO640" s="58">
        <v>317.5</v>
      </c>
      <c r="AP640" s="45">
        <f t="shared" si="152"/>
        <v>-3160.3178768587968</v>
      </c>
      <c r="AQ640" s="45">
        <f t="shared" si="153"/>
        <v>-14692.1024488609</v>
      </c>
      <c r="AR640" s="45">
        <f t="shared" si="154"/>
        <v>4724.8514724070992</v>
      </c>
      <c r="AS640" s="45">
        <f t="shared" si="155"/>
        <v>2904.2202910351384</v>
      </c>
      <c r="AT640" s="45">
        <f t="shared" si="141"/>
        <v>-699.92701591002151</v>
      </c>
      <c r="AU640" s="45">
        <f t="shared" si="142"/>
        <v>306.51342131029435</v>
      </c>
      <c r="AV640" s="64">
        <f t="shared" si="143"/>
        <v>319.71709036715151</v>
      </c>
      <c r="AW640" s="64">
        <f t="shared" si="144"/>
        <v>306.35134033151093</v>
      </c>
      <c r="AX640" s="64">
        <f t="shared" si="145"/>
        <v>-104.55871919982025</v>
      </c>
      <c r="AY640" s="64">
        <f t="shared" si="146"/>
        <v>153.31492527734525</v>
      </c>
      <c r="AZ640" s="64">
        <f t="shared" si="147"/>
        <v>-915.08538707735283</v>
      </c>
      <c r="BA640" s="64">
        <f t="shared" si="148"/>
        <v>-153.1528442985618</v>
      </c>
      <c r="BB640" s="65">
        <f t="shared" si="149"/>
        <v>32076.311122974897</v>
      </c>
      <c r="BC640" s="65">
        <f t="shared" si="150"/>
        <v>29887.703447295578</v>
      </c>
      <c r="BD640" s="66">
        <f t="shared" si="151"/>
        <v>1865.2697435499188</v>
      </c>
    </row>
    <row r="641" spans="31:56" x14ac:dyDescent="0.25">
      <c r="AE641" s="71">
        <v>579</v>
      </c>
      <c r="AF641" s="17">
        <v>4.6495571273128942</v>
      </c>
      <c r="AG641" s="18">
        <v>-18134.825846263589</v>
      </c>
      <c r="AH641" s="20">
        <v>2735.6262915352672</v>
      </c>
      <c r="AN641" s="23">
        <v>636</v>
      </c>
      <c r="AO641" s="58">
        <v>318</v>
      </c>
      <c r="AP641" s="45">
        <f t="shared" si="152"/>
        <v>-972.87389463275258</v>
      </c>
      <c r="AQ641" s="45">
        <f t="shared" si="153"/>
        <v>-13163.363948015758</v>
      </c>
      <c r="AR641" s="45">
        <f t="shared" si="154"/>
        <v>4374.8879644520885</v>
      </c>
      <c r="AS641" s="45">
        <f t="shared" si="155"/>
        <v>3057.4770016902858</v>
      </c>
      <c r="AT641" s="45">
        <f t="shared" si="141"/>
        <v>-1364.1714672902883</v>
      </c>
      <c r="AU641" s="45">
        <f t="shared" si="142"/>
        <v>-232.80730316370142</v>
      </c>
      <c r="AV641" s="64">
        <f t="shared" si="143"/>
        <v>365.28119540657576</v>
      </c>
      <c r="AW641" s="64">
        <f t="shared" si="144"/>
        <v>359.89051009284702</v>
      </c>
      <c r="AX641" s="64">
        <f t="shared" si="145"/>
        <v>-117.15125679388431</v>
      </c>
      <c r="AY641" s="64">
        <f t="shared" si="146"/>
        <v>142.61834304649551</v>
      </c>
      <c r="AZ641" s="64">
        <f t="shared" si="147"/>
        <v>-1612.3014059029797</v>
      </c>
      <c r="BA641" s="64">
        <f t="shared" si="148"/>
        <v>-735.31615630304395</v>
      </c>
      <c r="BB641" s="65">
        <f t="shared" si="149"/>
        <v>29442.079563922201</v>
      </c>
      <c r="BC641" s="65">
        <f t="shared" si="150"/>
        <v>29976.206518133411</v>
      </c>
      <c r="BD641" s="66">
        <f t="shared" si="151"/>
        <v>4426.169524089496</v>
      </c>
    </row>
    <row r="642" spans="31:56" x14ac:dyDescent="0.25">
      <c r="AE642" s="71">
        <v>580</v>
      </c>
      <c r="AF642" s="17">
        <v>4.7123889803846897</v>
      </c>
      <c r="AG642" s="18">
        <v>-17682.372542187895</v>
      </c>
      <c r="AH642" s="20">
        <v>2867.0761277863476</v>
      </c>
      <c r="AN642" s="23">
        <v>637</v>
      </c>
      <c r="AO642" s="58">
        <v>318.5</v>
      </c>
      <c r="AP642" s="45">
        <f t="shared" si="152"/>
        <v>873.52722077071962</v>
      </c>
      <c r="AQ642" s="45">
        <f t="shared" si="153"/>
        <v>-11692.827272961542</v>
      </c>
      <c r="AR642" s="45">
        <f t="shared" si="154"/>
        <v>3692.8022308069444</v>
      </c>
      <c r="AS642" s="45">
        <f t="shared" si="155"/>
        <v>2941.0733501084351</v>
      </c>
      <c r="AT642" s="45">
        <f t="shared" si="141"/>
        <v>-1464.746865857257</v>
      </c>
      <c r="AU642" s="45">
        <f t="shared" si="142"/>
        <v>-438.24652064915438</v>
      </c>
      <c r="AV642" s="64">
        <f t="shared" si="143"/>
        <v>415.66045722290511</v>
      </c>
      <c r="AW642" s="64">
        <f t="shared" si="144"/>
        <v>417.1024867869499</v>
      </c>
      <c r="AX642" s="64">
        <f t="shared" si="145"/>
        <v>-126.96691974666047</v>
      </c>
      <c r="AY642" s="64">
        <f t="shared" si="146"/>
        <v>131.95045716583871</v>
      </c>
      <c r="AZ642" s="64">
        <f t="shared" si="147"/>
        <v>-1753.4404033335015</v>
      </c>
      <c r="BA642" s="64">
        <f t="shared" si="148"/>
        <v>-987.29946460194299</v>
      </c>
      <c r="BB642" s="65">
        <f t="shared" si="149"/>
        <v>27095.877540768724</v>
      </c>
      <c r="BC642" s="65">
        <f t="shared" si="150"/>
        <v>30104.532777155011</v>
      </c>
      <c r="BD642" s="66">
        <f t="shared" si="151"/>
        <v>6740.6018618222515</v>
      </c>
    </row>
    <row r="643" spans="31:56" x14ac:dyDescent="0.25">
      <c r="AE643" s="71">
        <v>581</v>
      </c>
      <c r="AF643" s="17">
        <v>4.7752208334564861</v>
      </c>
      <c r="AG643" s="18">
        <v>-17239.065854864912</v>
      </c>
      <c r="AH643" s="20">
        <v>3026.6763558381153</v>
      </c>
      <c r="AN643" s="23">
        <v>638</v>
      </c>
      <c r="AO643" s="58">
        <v>319</v>
      </c>
      <c r="AP643" s="45">
        <f t="shared" si="152"/>
        <v>2353.7416197098773</v>
      </c>
      <c r="AQ643" s="45">
        <f t="shared" si="153"/>
        <v>-10331.852228069612</v>
      </c>
      <c r="AR643" s="45">
        <f t="shared" si="154"/>
        <v>2960.4287978783159</v>
      </c>
      <c r="AS643" s="45">
        <f t="shared" si="155"/>
        <v>2721.9500897838579</v>
      </c>
      <c r="AT643" s="45">
        <f t="shared" si="141"/>
        <v>-1316.3748890598167</v>
      </c>
      <c r="AU643" s="45">
        <f t="shared" si="142"/>
        <v>-451.63023511416293</v>
      </c>
      <c r="AV643" s="64">
        <f t="shared" si="143"/>
        <v>469.06554216244263</v>
      </c>
      <c r="AW643" s="64">
        <f t="shared" si="144"/>
        <v>473.99892106660383</v>
      </c>
      <c r="AX643" s="64">
        <f t="shared" si="145"/>
        <v>-134.53344582841794</v>
      </c>
      <c r="AY643" s="64">
        <f t="shared" si="146"/>
        <v>122.36493500061768</v>
      </c>
      <c r="AZ643" s="64">
        <f t="shared" si="147"/>
        <v>-1650.9069853938415</v>
      </c>
      <c r="BA643" s="64">
        <f t="shared" si="148"/>
        <v>-1047.9940911813844</v>
      </c>
      <c r="BB643" s="65">
        <f t="shared" si="149"/>
        <v>25087.155851305073</v>
      </c>
      <c r="BC643" s="65">
        <f t="shared" si="150"/>
        <v>30217.114015484814</v>
      </c>
      <c r="BD643" s="66">
        <f t="shared" si="151"/>
        <v>8710.2881370269206</v>
      </c>
    </row>
    <row r="644" spans="31:56" x14ac:dyDescent="0.25">
      <c r="AE644" s="71">
        <v>582</v>
      </c>
      <c r="AF644" s="17">
        <v>4.8380526865282816</v>
      </c>
      <c r="AG644" s="18">
        <v>-16806.655313261956</v>
      </c>
      <c r="AH644" s="20">
        <v>3213.7971065048532</v>
      </c>
      <c r="AN644" s="23">
        <v>639</v>
      </c>
      <c r="AO644" s="58">
        <v>319.5</v>
      </c>
      <c r="AP644" s="45">
        <f t="shared" si="152"/>
        <v>3504.8622963840812</v>
      </c>
      <c r="AQ644" s="45">
        <f t="shared" si="153"/>
        <v>-9083.784741956224</v>
      </c>
      <c r="AR644" s="45">
        <f t="shared" si="154"/>
        <v>2302.2413533484078</v>
      </c>
      <c r="AS644" s="45">
        <f t="shared" si="155"/>
        <v>2496.1349722267764</v>
      </c>
      <c r="AT644" s="45">
        <f t="shared" si="141"/>
        <v>-1107.6259388811168</v>
      </c>
      <c r="AU644" s="45">
        <f t="shared" si="142"/>
        <v>-395.91219931224305</v>
      </c>
      <c r="AV644" s="64">
        <f t="shared" si="143"/>
        <v>524.66960660815562</v>
      </c>
      <c r="AW644" s="64">
        <f t="shared" si="144"/>
        <v>527.48925004300804</v>
      </c>
      <c r="AX644" s="64">
        <f t="shared" si="145"/>
        <v>-140.67202995743204</v>
      </c>
      <c r="AY644" s="64">
        <f t="shared" si="146"/>
        <v>114.21274054154465</v>
      </c>
      <c r="AZ644" s="64">
        <f t="shared" si="147"/>
        <v>-1491.6235155318402</v>
      </c>
      <c r="BA644" s="64">
        <f t="shared" si="148"/>
        <v>-1037.6141898967958</v>
      </c>
      <c r="BB644" s="65">
        <f t="shared" si="149"/>
        <v>23390.414366333735</v>
      </c>
      <c r="BC644" s="65">
        <f t="shared" si="150"/>
        <v>30276.548542548557</v>
      </c>
      <c r="BD644" s="66">
        <f t="shared" si="151"/>
        <v>10360.226139422126</v>
      </c>
    </row>
    <row r="645" spans="31:56" x14ac:dyDescent="0.25">
      <c r="AE645" s="71">
        <v>583</v>
      </c>
      <c r="AF645" s="17">
        <v>4.900884539600078</v>
      </c>
      <c r="AG645" s="18">
        <v>-16386.847444237133</v>
      </c>
      <c r="AH645" s="20">
        <v>3427.6998996710245</v>
      </c>
      <c r="AN645" s="23">
        <v>640</v>
      </c>
      <c r="AO645" s="58">
        <v>320</v>
      </c>
      <c r="AP645" s="45">
        <f t="shared" si="152"/>
        <v>4379.0764883380061</v>
      </c>
      <c r="AQ645" s="45">
        <f t="shared" si="153"/>
        <v>-7934.6953056708962</v>
      </c>
      <c r="AR645" s="45">
        <f t="shared" si="154"/>
        <v>1748.4283839078494</v>
      </c>
      <c r="AS645" s="45">
        <f t="shared" si="155"/>
        <v>2298.1788725706547</v>
      </c>
      <c r="AT645" s="45">
        <f t="shared" si="141"/>
        <v>-902.35211368346097</v>
      </c>
      <c r="AU645" s="45">
        <f t="shared" si="142"/>
        <v>-325.59416797630786</v>
      </c>
      <c r="AV645" s="64">
        <f t="shared" si="143"/>
        <v>582.16867751509028</v>
      </c>
      <c r="AW645" s="64">
        <f t="shared" si="144"/>
        <v>575.22822816733526</v>
      </c>
      <c r="AX645" s="64">
        <f t="shared" si="145"/>
        <v>-146.05753713599458</v>
      </c>
      <c r="AY645" s="64">
        <f t="shared" si="146"/>
        <v>107.44859129031568</v>
      </c>
      <c r="AZ645" s="64">
        <f t="shared" si="147"/>
        <v>-1338.4632540625566</v>
      </c>
      <c r="BA645" s="64">
        <f t="shared" si="148"/>
        <v>-1008.2709874339588</v>
      </c>
      <c r="BB645" s="65">
        <f t="shared" si="149"/>
        <v>21960.033482125968</v>
      </c>
      <c r="BC645" s="65">
        <f t="shared" si="150"/>
        <v>30265.370741682458</v>
      </c>
      <c r="BD645" s="66">
        <f t="shared" si="151"/>
        <v>11742.470191480312</v>
      </c>
    </row>
    <row r="646" spans="31:56" x14ac:dyDescent="0.25">
      <c r="AE646" s="71">
        <v>584</v>
      </c>
      <c r="AF646" s="17">
        <v>4.9637163926718735</v>
      </c>
      <c r="AG646" s="18">
        <v>-15981.299037657525</v>
      </c>
      <c r="AH646" s="20">
        <v>3667.5405587348878</v>
      </c>
      <c r="AN646" s="23">
        <v>641</v>
      </c>
      <c r="AO646" s="58">
        <v>320.5</v>
      </c>
      <c r="AP646" s="45">
        <f t="shared" si="152"/>
        <v>5027.7026518710654</v>
      </c>
      <c r="AQ646" s="45">
        <f t="shared" si="153"/>
        <v>-6867.0044113796457</v>
      </c>
      <c r="AR646" s="45">
        <f t="shared" si="154"/>
        <v>1297.2523270661188</v>
      </c>
      <c r="AS646" s="45">
        <f t="shared" si="155"/>
        <v>2135.3817885825006</v>
      </c>
      <c r="AT646" s="45">
        <f t="shared" ref="AT646:AT709" si="156">AV646+AX646+AZ646</f>
        <v>-715.18903781906852</v>
      </c>
      <c r="AU646" s="45">
        <f t="shared" ref="AU646:AU709" si="157">AW646+AY646+BA646</f>
        <v>-260.343825687758</v>
      </c>
      <c r="AV646" s="64">
        <f t="shared" ref="AV646:AV709" si="158">$K$22*(($K$18-AP646)/((BB646^2+$K$23^2)^(3/2)))</f>
        <v>641.44604897702868</v>
      </c>
      <c r="AW646" s="64">
        <f t="shared" ref="AW646:AW709" si="159">$K$22*(($L$18-AQ646)/((BB646^2+$K$23^2)^(3/2)))</f>
        <v>615.5139723074418</v>
      </c>
      <c r="AX646" s="64">
        <f t="shared" ref="AX646:AX709" si="160">$K$30*(($K$26-AP646)/((BC646^2+$K$31^2)^(3/2)))</f>
        <v>-151.1426857714176</v>
      </c>
      <c r="AY646" s="64">
        <f t="shared" ref="AY646:AY709" si="161">$K$30*(($L$26-AQ646)/((BC646^2+$K$31^2)^(3/2)))</f>
        <v>101.86010210824051</v>
      </c>
      <c r="AZ646" s="64">
        <f t="shared" ref="AZ646:AZ709" si="162">$K$38*(($K$34-AP646)/((BD646^2+$K$39^2)^(3/2)))</f>
        <v>-1205.4924010246796</v>
      </c>
      <c r="BA646" s="64">
        <f t="shared" ref="BA646:BA709" si="163">$K$38*(($L$34-AQ646)/((BD646^2+$K$39^2)^(3/2)))</f>
        <v>-977.71790010344034</v>
      </c>
      <c r="BB646" s="65">
        <f t="shared" ref="BB646:BB709" si="164">SQRT(($K$18-AP646)^2+($L$18-AQ646)^2)</f>
        <v>20750.433818052839</v>
      </c>
      <c r="BC646" s="65">
        <f t="shared" ref="BC646:BC709" si="165">SQRT(($K$26-AP646)^2+($L$26-AQ646)^2)</f>
        <v>30180.817381972516</v>
      </c>
      <c r="BD646" s="66">
        <f t="shared" ref="BD646:BD709" si="166">SQRT(($K$34-AP646)^2+($L$34-AQ646)^2)</f>
        <v>12911.25236833593</v>
      </c>
    </row>
    <row r="647" spans="31:56" x14ac:dyDescent="0.25">
      <c r="AE647" s="71">
        <v>585</v>
      </c>
      <c r="AF647" s="17">
        <v>5.026548245743669</v>
      </c>
      <c r="AG647" s="18">
        <v>-15591.610607806448</v>
      </c>
      <c r="AH647" s="20">
        <v>3932.3725421878971</v>
      </c>
      <c r="AN647" s="23">
        <v>642</v>
      </c>
      <c r="AO647" s="58">
        <v>321</v>
      </c>
      <c r="AP647" s="45">
        <f t="shared" ref="AP647:AP710" si="167">AP646+AR646*$K$5+AT646*$K$5^2</f>
        <v>5497.5315559493574</v>
      </c>
      <c r="AQ647" s="45">
        <f t="shared" ref="AQ647:AQ710" si="168">AQ646+AS646*$K$5+AU646*$K$5^2</f>
        <v>-5864.3994735103352</v>
      </c>
      <c r="AR647" s="45">
        <f t="shared" ref="AR647:AR710" si="169">AR646+AT646*$K$5</f>
        <v>939.65780815658457</v>
      </c>
      <c r="AS647" s="45">
        <f t="shared" ref="AS647:AS710" si="170">AS646+AU646*$K$5</f>
        <v>2005.2098757386216</v>
      </c>
      <c r="AT647" s="45">
        <f t="shared" si="156"/>
        <v>-546.06659920345555</v>
      </c>
      <c r="AU647" s="45">
        <f t="shared" si="157"/>
        <v>-206.10655828271172</v>
      </c>
      <c r="AV647" s="64">
        <f t="shared" si="158"/>
        <v>702.38005280731193</v>
      </c>
      <c r="AW647" s="64">
        <f t="shared" si="159"/>
        <v>647.26137099736218</v>
      </c>
      <c r="AX647" s="64">
        <f t="shared" si="160"/>
        <v>-156.19059137003308</v>
      </c>
      <c r="AY647" s="64">
        <f t="shared" si="161"/>
        <v>97.180777286649047</v>
      </c>
      <c r="AZ647" s="64">
        <f t="shared" si="162"/>
        <v>-1092.2560606407344</v>
      </c>
      <c r="BA647" s="64">
        <f t="shared" si="163"/>
        <v>-950.5487065667229</v>
      </c>
      <c r="BB647" s="65">
        <f t="shared" si="164"/>
        <v>19721.276942892109</v>
      </c>
      <c r="BC647" s="65">
        <f t="shared" si="165"/>
        <v>30030.039728607557</v>
      </c>
      <c r="BD647" s="66">
        <f t="shared" si="166"/>
        <v>13916.082988677193</v>
      </c>
    </row>
    <row r="648" spans="31:56" x14ac:dyDescent="0.25">
      <c r="AE648" s="71">
        <v>586</v>
      </c>
      <c r="AF648" s="17">
        <v>5.0893800988154654</v>
      </c>
      <c r="AG648" s="18">
        <v>-15219.320076884826</v>
      </c>
      <c r="AH648" s="20">
        <v>4221.1506791815818</v>
      </c>
      <c r="AN648" s="23">
        <v>643</v>
      </c>
      <c r="AO648" s="58">
        <v>321.5</v>
      </c>
      <c r="AP648" s="45">
        <f t="shared" si="167"/>
        <v>5830.8438102267855</v>
      </c>
      <c r="AQ648" s="45">
        <f t="shared" si="168"/>
        <v>-4913.3211752117022</v>
      </c>
      <c r="AR648" s="45">
        <f t="shared" si="169"/>
        <v>666.62450855485679</v>
      </c>
      <c r="AS648" s="45">
        <f t="shared" si="170"/>
        <v>1902.1565965972657</v>
      </c>
      <c r="AT648" s="45">
        <f t="shared" si="156"/>
        <v>-391.66734094973322</v>
      </c>
      <c r="AU648" s="45">
        <f t="shared" si="157"/>
        <v>-163.61050517816022</v>
      </c>
      <c r="AV648" s="64">
        <f t="shared" si="158"/>
        <v>764.77272659803805</v>
      </c>
      <c r="AW648" s="64">
        <f t="shared" si="159"/>
        <v>670.00245844955725</v>
      </c>
      <c r="AX648" s="64">
        <f t="shared" si="160"/>
        <v>-161.3180630627576</v>
      </c>
      <c r="AY648" s="64">
        <f t="shared" si="161"/>
        <v>93.13625615534383</v>
      </c>
      <c r="AZ648" s="64">
        <f t="shared" si="162"/>
        <v>-995.12200448501369</v>
      </c>
      <c r="BA648" s="64">
        <f t="shared" si="163"/>
        <v>-926.74921978306133</v>
      </c>
      <c r="BB648" s="65">
        <f t="shared" si="164"/>
        <v>18837.609448365463</v>
      </c>
      <c r="BC648" s="65">
        <f t="shared" si="165"/>
        <v>29826.827528641883</v>
      </c>
      <c r="BD648" s="66">
        <f t="shared" si="166"/>
        <v>14800.279299930815</v>
      </c>
    </row>
    <row r="649" spans="31:56" x14ac:dyDescent="0.25">
      <c r="AE649" s="71">
        <v>587</v>
      </c>
      <c r="AF649" s="17">
        <v>5.1522119518872609</v>
      </c>
      <c r="AG649" s="18">
        <v>-14865.896705534837</v>
      </c>
      <c r="AH649" s="20">
        <v>4532.7352943394135</v>
      </c>
      <c r="AN649" s="23">
        <v>644</v>
      </c>
      <c r="AO649" s="58">
        <v>322</v>
      </c>
      <c r="AP649" s="45">
        <f t="shared" si="167"/>
        <v>6066.2392292667801</v>
      </c>
      <c r="AQ649" s="45">
        <f t="shared" si="168"/>
        <v>-4003.1455032076092</v>
      </c>
      <c r="AR649" s="45">
        <f t="shared" si="169"/>
        <v>470.79083807999018</v>
      </c>
      <c r="AS649" s="45">
        <f t="shared" si="170"/>
        <v>1820.3513440081856</v>
      </c>
      <c r="AT649" s="45">
        <f t="shared" si="156"/>
        <v>-248.71248255659486</v>
      </c>
      <c r="AU649" s="45">
        <f t="shared" si="157"/>
        <v>-131.5193127652127</v>
      </c>
      <c r="AV649" s="64">
        <f t="shared" si="158"/>
        <v>828.38288618061267</v>
      </c>
      <c r="AW649" s="64">
        <f t="shared" si="159"/>
        <v>683.8791787008139</v>
      </c>
      <c r="AX649" s="64">
        <f t="shared" si="160"/>
        <v>-166.52703018417319</v>
      </c>
      <c r="AY649" s="64">
        <f t="shared" si="161"/>
        <v>89.460631945240422</v>
      </c>
      <c r="AZ649" s="64">
        <f t="shared" si="162"/>
        <v>-910.56833855303432</v>
      </c>
      <c r="BA649" s="64">
        <f t="shared" si="163"/>
        <v>-904.85912341126698</v>
      </c>
      <c r="BB649" s="65">
        <f t="shared" si="164"/>
        <v>18068.537452820841</v>
      </c>
      <c r="BC649" s="65">
        <f t="shared" si="165"/>
        <v>29589.472985191369</v>
      </c>
      <c r="BD649" s="66">
        <f t="shared" si="166"/>
        <v>15601.040333996514</v>
      </c>
    </row>
    <row r="650" spans="31:56" x14ac:dyDescent="0.25">
      <c r="AE650" s="71">
        <v>588</v>
      </c>
      <c r="AF650" s="17">
        <v>5.2150438049590573</v>
      </c>
      <c r="AG650" s="18">
        <v>-14532.735294339411</v>
      </c>
      <c r="AH650" s="20">
        <v>4865.8967055348376</v>
      </c>
      <c r="AN650" s="23">
        <v>645</v>
      </c>
      <c r="AO650" s="58">
        <v>322.5</v>
      </c>
      <c r="AP650" s="45">
        <f t="shared" si="167"/>
        <v>6239.4565276676267</v>
      </c>
      <c r="AQ650" s="45">
        <f t="shared" si="168"/>
        <v>-3125.8496593948194</v>
      </c>
      <c r="AR650" s="45">
        <f t="shared" si="169"/>
        <v>346.43459680169275</v>
      </c>
      <c r="AS650" s="45">
        <f t="shared" si="170"/>
        <v>1754.5916876255792</v>
      </c>
      <c r="AT650" s="45">
        <f t="shared" si="156"/>
        <v>-114.62278445782704</v>
      </c>
      <c r="AU650" s="45">
        <f t="shared" si="157"/>
        <v>-107.64025430793129</v>
      </c>
      <c r="AV650" s="64">
        <f t="shared" si="158"/>
        <v>893.04209551388749</v>
      </c>
      <c r="AW650" s="64">
        <f t="shared" si="159"/>
        <v>689.60437976313881</v>
      </c>
      <c r="AX650" s="64">
        <f t="shared" si="160"/>
        <v>-171.72393100571196</v>
      </c>
      <c r="AY650" s="64">
        <f t="shared" si="161"/>
        <v>85.902026931257453</v>
      </c>
      <c r="AZ650" s="64">
        <f t="shared" si="162"/>
        <v>-835.94094896600257</v>
      </c>
      <c r="BA650" s="64">
        <f t="shared" si="163"/>
        <v>-883.14666100232751</v>
      </c>
      <c r="BB650" s="65">
        <f t="shared" si="164"/>
        <v>17385.66184066658</v>
      </c>
      <c r="BC650" s="65">
        <f t="shared" si="165"/>
        <v>29339.342326446145</v>
      </c>
      <c r="BD650" s="66">
        <f t="shared" si="166"/>
        <v>16349.948909664046</v>
      </c>
    </row>
    <row r="651" spans="31:56" x14ac:dyDescent="0.25">
      <c r="AE651" s="71">
        <v>589</v>
      </c>
      <c r="AF651" s="17">
        <v>5.2778756580308528</v>
      </c>
      <c r="AG651" s="18">
        <v>-14221.150679181581</v>
      </c>
      <c r="AH651" s="20">
        <v>5219.3200768848274</v>
      </c>
      <c r="AN651" s="23">
        <v>646</v>
      </c>
      <c r="AO651" s="58">
        <v>323</v>
      </c>
      <c r="AP651" s="45">
        <f t="shared" si="167"/>
        <v>6384.0181299540163</v>
      </c>
      <c r="AQ651" s="45">
        <f t="shared" si="168"/>
        <v>-2275.4638791590123</v>
      </c>
      <c r="AR651" s="45">
        <f t="shared" si="169"/>
        <v>289.12320457277923</v>
      </c>
      <c r="AS651" s="45">
        <f t="shared" si="170"/>
        <v>1700.7715604716136</v>
      </c>
      <c r="AT651" s="45">
        <f t="shared" si="156"/>
        <v>12.639458591287053</v>
      </c>
      <c r="AU651" s="45">
        <f t="shared" si="157"/>
        <v>-89.453152059776357</v>
      </c>
      <c r="AV651" s="64">
        <f t="shared" si="158"/>
        <v>958.82126510105491</v>
      </c>
      <c r="AW651" s="64">
        <f t="shared" si="159"/>
        <v>688.37655139542676</v>
      </c>
      <c r="AX651" s="64">
        <f t="shared" si="160"/>
        <v>-176.73175916208237</v>
      </c>
      <c r="AY651" s="64">
        <f t="shared" si="161"/>
        <v>82.226456759115067</v>
      </c>
      <c r="AZ651" s="64">
        <f t="shared" si="162"/>
        <v>-769.45004734768543</v>
      </c>
      <c r="BA651" s="64">
        <f t="shared" si="163"/>
        <v>-860.0561602143182</v>
      </c>
      <c r="BB651" s="65">
        <f t="shared" si="164"/>
        <v>16761.702071632328</v>
      </c>
      <c r="BC651" s="65">
        <f t="shared" si="165"/>
        <v>29099.887046692806</v>
      </c>
      <c r="BD651" s="66">
        <f t="shared" si="166"/>
        <v>17073.654801292803</v>
      </c>
    </row>
    <row r="652" spans="31:56" x14ac:dyDescent="0.25">
      <c r="AE652" s="71">
        <v>590</v>
      </c>
      <c r="AF652" s="17">
        <v>5.3407075111026492</v>
      </c>
      <c r="AG652" s="18">
        <v>-13932.372542187892</v>
      </c>
      <c r="AH652" s="20">
        <v>5591.6106078064558</v>
      </c>
      <c r="AN652" s="23">
        <v>647</v>
      </c>
      <c r="AO652" s="58">
        <v>323.5</v>
      </c>
      <c r="AP652" s="45">
        <f t="shared" si="167"/>
        <v>6531.7395968882274</v>
      </c>
      <c r="AQ652" s="45">
        <f t="shared" si="168"/>
        <v>-1447.4413869381497</v>
      </c>
      <c r="AR652" s="45">
        <f t="shared" si="169"/>
        <v>295.44293386842276</v>
      </c>
      <c r="AS652" s="45">
        <f t="shared" si="170"/>
        <v>1656.0449844417253</v>
      </c>
      <c r="AT652" s="45">
        <f t="shared" si="156"/>
        <v>134.95407868528844</v>
      </c>
      <c r="AU652" s="45">
        <f t="shared" si="157"/>
        <v>-74.397574026696248</v>
      </c>
      <c r="AV652" s="64">
        <f t="shared" si="158"/>
        <v>1026.2104657809398</v>
      </c>
      <c r="AW652" s="64">
        <f t="shared" si="159"/>
        <v>681.74788119748644</v>
      </c>
      <c r="AX652" s="64">
        <f t="shared" si="160"/>
        <v>-181.29963584731092</v>
      </c>
      <c r="AY652" s="64">
        <f t="shared" si="161"/>
        <v>78.223930521266595</v>
      </c>
      <c r="AZ652" s="64">
        <f t="shared" si="162"/>
        <v>-709.95675124834042</v>
      </c>
      <c r="BA652" s="64">
        <f t="shared" si="163"/>
        <v>-834.36938574544934</v>
      </c>
      <c r="BB652" s="65">
        <f t="shared" si="164"/>
        <v>16169.438631527137</v>
      </c>
      <c r="BC652" s="65">
        <f t="shared" si="165"/>
        <v>28895.970659323266</v>
      </c>
      <c r="BD652" s="66">
        <f t="shared" si="166"/>
        <v>17794.742568829613</v>
      </c>
    </row>
    <row r="653" spans="31:56" x14ac:dyDescent="0.25">
      <c r="AE653" s="71">
        <v>591</v>
      </c>
      <c r="AF653" s="17">
        <v>5.4035393641744447</v>
      </c>
      <c r="AG653" s="18">
        <v>-13667.540558734885</v>
      </c>
      <c r="AH653" s="20">
        <v>5981.2990376575272</v>
      </c>
      <c r="AN653" s="23">
        <v>648</v>
      </c>
      <c r="AO653" s="58">
        <v>324</v>
      </c>
      <c r="AP653" s="45">
        <f t="shared" si="167"/>
        <v>6713.1995834937607</v>
      </c>
      <c r="AQ653" s="45">
        <f t="shared" si="168"/>
        <v>-638.01828822396101</v>
      </c>
      <c r="AR653" s="45">
        <f t="shared" si="169"/>
        <v>362.91997321106697</v>
      </c>
      <c r="AS653" s="45">
        <f t="shared" si="170"/>
        <v>1618.8461974283773</v>
      </c>
      <c r="AT653" s="45">
        <f t="shared" si="156"/>
        <v>254.44030307078208</v>
      </c>
      <c r="AU653" s="45">
        <f t="shared" si="157"/>
        <v>-60.058218481357926</v>
      </c>
      <c r="AV653" s="64">
        <f t="shared" si="158"/>
        <v>1096.2804154058972</v>
      </c>
      <c r="AW653" s="64">
        <f t="shared" si="159"/>
        <v>671.45962834751992</v>
      </c>
      <c r="AX653" s="64">
        <f t="shared" si="160"/>
        <v>-185.11395511760932</v>
      </c>
      <c r="AY653" s="64">
        <f t="shared" si="161"/>
        <v>73.718074609205757</v>
      </c>
      <c r="AZ653" s="64">
        <f t="shared" si="162"/>
        <v>-656.72615721750583</v>
      </c>
      <c r="BA653" s="64">
        <f t="shared" si="163"/>
        <v>-805.23592143808355</v>
      </c>
      <c r="BB653" s="65">
        <f t="shared" si="164"/>
        <v>15580.962966631363</v>
      </c>
      <c r="BC653" s="65">
        <f t="shared" si="165"/>
        <v>28753.477443400803</v>
      </c>
      <c r="BD653" s="66">
        <f t="shared" si="166"/>
        <v>18532.823939490383</v>
      </c>
    </row>
    <row r="654" spans="31:56" x14ac:dyDescent="0.25">
      <c r="AE654" s="71">
        <v>592</v>
      </c>
      <c r="AF654" s="17">
        <v>5.4663712172462402</v>
      </c>
      <c r="AG654" s="18">
        <v>-13427.699899671024</v>
      </c>
      <c r="AH654" s="20">
        <v>6386.8474442371353</v>
      </c>
      <c r="AN654" s="23">
        <v>649</v>
      </c>
      <c r="AO654" s="58">
        <v>324.5</v>
      </c>
      <c r="AP654" s="45">
        <f t="shared" si="167"/>
        <v>6958.2696458669898</v>
      </c>
      <c r="AQ654" s="45">
        <f t="shared" si="168"/>
        <v>156.39025586988816</v>
      </c>
      <c r="AR654" s="45">
        <f t="shared" si="169"/>
        <v>490.14012474645801</v>
      </c>
      <c r="AS654" s="45">
        <f t="shared" si="170"/>
        <v>1588.8170881876983</v>
      </c>
      <c r="AT654" s="45">
        <f t="shared" si="156"/>
        <v>373.78475890434788</v>
      </c>
      <c r="AU654" s="45">
        <f t="shared" si="157"/>
        <v>-44.291631097679783</v>
      </c>
      <c r="AV654" s="64">
        <f t="shared" si="158"/>
        <v>1170.8074900105307</v>
      </c>
      <c r="AW654" s="64">
        <f t="shared" si="159"/>
        <v>659.26476461899119</v>
      </c>
      <c r="AX654" s="64">
        <f t="shared" si="160"/>
        <v>-187.8141814680572</v>
      </c>
      <c r="AY654" s="64">
        <f t="shared" si="161"/>
        <v>68.578938154074976</v>
      </c>
      <c r="AZ654" s="64">
        <f t="shared" si="162"/>
        <v>-609.20854963812565</v>
      </c>
      <c r="BA654" s="64">
        <f t="shared" si="163"/>
        <v>-772.13533387074597</v>
      </c>
      <c r="BB654" s="65">
        <f t="shared" si="164"/>
        <v>14967.14183483263</v>
      </c>
      <c r="BC654" s="65">
        <f t="shared" si="165"/>
        <v>28699.215234810981</v>
      </c>
      <c r="BD654" s="66">
        <f t="shared" si="166"/>
        <v>19305.863837484492</v>
      </c>
    </row>
    <row r="655" spans="31:56" x14ac:dyDescent="0.25">
      <c r="AE655" s="71">
        <v>593</v>
      </c>
      <c r="AF655" s="17">
        <v>5.5292030703180366</v>
      </c>
      <c r="AG655" s="18">
        <v>-13213.797106504851</v>
      </c>
      <c r="AH655" s="20">
        <v>6806.6553132619583</v>
      </c>
      <c r="AN655" s="23">
        <v>650</v>
      </c>
      <c r="AO655" s="58">
        <v>325</v>
      </c>
      <c r="AP655" s="45">
        <f t="shared" si="167"/>
        <v>7296.785897966306</v>
      </c>
      <c r="AQ655" s="45">
        <f t="shared" si="168"/>
        <v>939.72589218931739</v>
      </c>
      <c r="AR655" s="45">
        <f t="shared" si="169"/>
        <v>677.03250419863195</v>
      </c>
      <c r="AS655" s="45">
        <f t="shared" si="170"/>
        <v>1566.6712726388585</v>
      </c>
      <c r="AT655" s="45">
        <f t="shared" si="156"/>
        <v>496.46497721164485</v>
      </c>
      <c r="AU655" s="45">
        <f t="shared" si="157"/>
        <v>-25.323032222458551</v>
      </c>
      <c r="AV655" s="64">
        <f t="shared" si="158"/>
        <v>1252.3517859354376</v>
      </c>
      <c r="AW655" s="64">
        <f t="shared" si="159"/>
        <v>646.74742385294701</v>
      </c>
      <c r="AX655" s="64">
        <f t="shared" si="160"/>
        <v>-189.01535536604669</v>
      </c>
      <c r="AY655" s="64">
        <f t="shared" si="161"/>
        <v>62.737456952000223</v>
      </c>
      <c r="AZ655" s="64">
        <f t="shared" si="162"/>
        <v>-566.87145335774619</v>
      </c>
      <c r="BA655" s="64">
        <f t="shared" si="163"/>
        <v>-734.80791302740579</v>
      </c>
      <c r="BB655" s="65">
        <f t="shared" si="164"/>
        <v>14297.162127209684</v>
      </c>
      <c r="BC655" s="65">
        <f t="shared" si="165"/>
        <v>28761.138490471425</v>
      </c>
      <c r="BD655" s="66">
        <f t="shared" si="166"/>
        <v>20131.71142597056</v>
      </c>
    </row>
    <row r="656" spans="31:56" x14ac:dyDescent="0.25">
      <c r="AE656" s="71">
        <v>594</v>
      </c>
      <c r="AF656" s="17">
        <v>5.5920349233898321</v>
      </c>
      <c r="AG656" s="18">
        <v>-13026.676355838114</v>
      </c>
      <c r="AH656" s="20">
        <v>7239.0658548649162</v>
      </c>
      <c r="AN656" s="23">
        <v>651</v>
      </c>
      <c r="AO656" s="58">
        <v>325.5</v>
      </c>
      <c r="AP656" s="45">
        <f t="shared" si="167"/>
        <v>7759.4183943685339</v>
      </c>
      <c r="AQ656" s="45">
        <f t="shared" si="168"/>
        <v>1716.7307704531318</v>
      </c>
      <c r="AR656" s="45">
        <f t="shared" si="169"/>
        <v>925.26499280445432</v>
      </c>
      <c r="AS656" s="45">
        <f t="shared" si="170"/>
        <v>1554.0097565276292</v>
      </c>
      <c r="AT656" s="45">
        <f t="shared" si="156"/>
        <v>626.82763132605544</v>
      </c>
      <c r="AU656" s="45">
        <f t="shared" si="157"/>
        <v>-1.869203110357148</v>
      </c>
      <c r="AV656" s="64">
        <f t="shared" si="158"/>
        <v>1344.2539157726944</v>
      </c>
      <c r="AW656" s="64">
        <f t="shared" si="159"/>
        <v>635.11543472815708</v>
      </c>
      <c r="AX656" s="64">
        <f t="shared" si="160"/>
        <v>-188.33824634059434</v>
      </c>
      <c r="AY656" s="64">
        <f t="shared" si="161"/>
        <v>56.199174582719159</v>
      </c>
      <c r="AZ656" s="64">
        <f t="shared" si="162"/>
        <v>-529.08803810604456</v>
      </c>
      <c r="BA656" s="64">
        <f t="shared" si="163"/>
        <v>-693.18381242123337</v>
      </c>
      <c r="BB656" s="65">
        <f t="shared" si="164"/>
        <v>13538.022049972698</v>
      </c>
      <c r="BC656" s="65">
        <f t="shared" si="165"/>
        <v>28968.911935431126</v>
      </c>
      <c r="BD656" s="66">
        <f t="shared" si="166"/>
        <v>21029.784721065611</v>
      </c>
    </row>
    <row r="657" spans="31:56" x14ac:dyDescent="0.25">
      <c r="AE657" s="71">
        <v>595</v>
      </c>
      <c r="AF657" s="17">
        <v>5.6548667764616285</v>
      </c>
      <c r="AG657" s="18">
        <v>-12867.076127786346</v>
      </c>
      <c r="AH657" s="20">
        <v>7682.3725421878989</v>
      </c>
      <c r="AN657" s="23">
        <v>652</v>
      </c>
      <c r="AO657" s="58">
        <v>326</v>
      </c>
      <c r="AP657" s="45">
        <f t="shared" si="167"/>
        <v>8378.7577986022752</v>
      </c>
      <c r="AQ657" s="45">
        <f t="shared" si="168"/>
        <v>2493.2683479393572</v>
      </c>
      <c r="AR657" s="45">
        <f t="shared" si="169"/>
        <v>1238.678808467482</v>
      </c>
      <c r="AS657" s="45">
        <f t="shared" si="170"/>
        <v>1553.0751549724505</v>
      </c>
      <c r="AT657" s="45">
        <f t="shared" si="156"/>
        <v>769.8781796121167</v>
      </c>
      <c r="AU657" s="45">
        <f t="shared" si="157"/>
        <v>26.590146507411305</v>
      </c>
      <c r="AV657" s="64">
        <f t="shared" si="158"/>
        <v>1450.4039495848017</v>
      </c>
      <c r="AW657" s="64">
        <f t="shared" si="159"/>
        <v>624.87152722680514</v>
      </c>
      <c r="AX657" s="64">
        <f t="shared" si="160"/>
        <v>-185.44691102419478</v>
      </c>
      <c r="AY657" s="64">
        <f t="shared" si="161"/>
        <v>49.054303456184435</v>
      </c>
      <c r="AZ657" s="64">
        <f t="shared" si="162"/>
        <v>-495.07885894849016</v>
      </c>
      <c r="BA657" s="64">
        <f t="shared" si="163"/>
        <v>-647.33568417557831</v>
      </c>
      <c r="BB657" s="65">
        <f t="shared" si="164"/>
        <v>12653.878146216413</v>
      </c>
      <c r="BC657" s="65">
        <f t="shared" si="165"/>
        <v>29354.810752034809</v>
      </c>
      <c r="BD657" s="66">
        <f t="shared" si="166"/>
        <v>22022.842635015993</v>
      </c>
    </row>
    <row r="658" spans="31:56" x14ac:dyDescent="0.25">
      <c r="AE658" s="71">
        <v>596</v>
      </c>
      <c r="AF658" s="17">
        <v>5.717698629533424</v>
      </c>
      <c r="AG658" s="18">
        <v>-12735.626291535267</v>
      </c>
      <c r="AH658" s="20">
        <v>8134.8258462635913</v>
      </c>
      <c r="AN658" s="23">
        <v>653</v>
      </c>
      <c r="AO658" s="58">
        <v>326.5</v>
      </c>
      <c r="AP658" s="45">
        <f t="shared" si="167"/>
        <v>9190.5667477390452</v>
      </c>
      <c r="AQ658" s="45">
        <f t="shared" si="168"/>
        <v>3276.453462052435</v>
      </c>
      <c r="AR658" s="45">
        <f t="shared" si="169"/>
        <v>1623.6178982735403</v>
      </c>
      <c r="AS658" s="45">
        <f t="shared" si="170"/>
        <v>1566.3702282261561</v>
      </c>
      <c r="AT658" s="45">
        <f t="shared" si="156"/>
        <v>930.28297171854092</v>
      </c>
      <c r="AU658" s="45">
        <f t="shared" si="157"/>
        <v>59.121639860286791</v>
      </c>
      <c r="AV658" s="64">
        <f t="shared" si="158"/>
        <v>1574.2776897500087</v>
      </c>
      <c r="AW658" s="64">
        <f t="shared" si="159"/>
        <v>615.11412588823691</v>
      </c>
      <c r="AX658" s="64">
        <f t="shared" si="160"/>
        <v>-180.09235153458272</v>
      </c>
      <c r="AY658" s="64">
        <f t="shared" si="161"/>
        <v>41.481185245057517</v>
      </c>
      <c r="AZ658" s="64">
        <f t="shared" si="162"/>
        <v>-463.90236649688495</v>
      </c>
      <c r="BA658" s="64">
        <f t="shared" si="163"/>
        <v>-597.47367127300765</v>
      </c>
      <c r="BB658" s="65">
        <f t="shared" si="164"/>
        <v>11605.26572695747</v>
      </c>
      <c r="BC658" s="65">
        <f t="shared" si="165"/>
        <v>29954.887165572083</v>
      </c>
      <c r="BD658" s="66">
        <f t="shared" si="166"/>
        <v>23138.732371774509</v>
      </c>
    </row>
    <row r="659" spans="31:56" x14ac:dyDescent="0.25">
      <c r="AE659" s="71">
        <v>597</v>
      </c>
      <c r="AF659" s="17">
        <v>5.7805304826052195</v>
      </c>
      <c r="AG659" s="18">
        <v>-12632.845619534834</v>
      </c>
      <c r="AH659" s="20">
        <v>8594.6401406070654</v>
      </c>
      <c r="AN659" s="23">
        <v>654</v>
      </c>
      <c r="AO659" s="58">
        <v>327</v>
      </c>
      <c r="AP659" s="45">
        <f t="shared" si="167"/>
        <v>10234.94643980545</v>
      </c>
      <c r="AQ659" s="45">
        <f t="shared" si="168"/>
        <v>4074.4189861305845</v>
      </c>
      <c r="AR659" s="45">
        <f t="shared" si="169"/>
        <v>2088.7593841328107</v>
      </c>
      <c r="AS659" s="45">
        <f t="shared" si="170"/>
        <v>1595.9310481562995</v>
      </c>
      <c r="AT659" s="45">
        <f t="shared" si="156"/>
        <v>1109.0069519994533</v>
      </c>
      <c r="AU659" s="45">
        <f t="shared" si="157"/>
        <v>91.600040766716006</v>
      </c>
      <c r="AV659" s="64">
        <f t="shared" si="158"/>
        <v>1715.6622804179674</v>
      </c>
      <c r="AW659" s="64">
        <f t="shared" si="159"/>
        <v>601.85436749356688</v>
      </c>
      <c r="AX659" s="64">
        <f t="shared" si="160"/>
        <v>-172.16049691033757</v>
      </c>
      <c r="AY659" s="64">
        <f t="shared" si="161"/>
        <v>33.74078977984076</v>
      </c>
      <c r="AZ659" s="64">
        <f t="shared" si="162"/>
        <v>-434.4948315081765</v>
      </c>
      <c r="BA659" s="64">
        <f t="shared" si="163"/>
        <v>-543.9951165066916</v>
      </c>
      <c r="BB659" s="65">
        <f t="shared" si="164"/>
        <v>10348.472173033606</v>
      </c>
      <c r="BC659" s="65">
        <f t="shared" si="165"/>
        <v>30810.136263409055</v>
      </c>
      <c r="BD659" s="66">
        <f t="shared" si="166"/>
        <v>24411.821986123847</v>
      </c>
    </row>
    <row r="660" spans="31:56" x14ac:dyDescent="0.25">
      <c r="AE660" s="71">
        <v>598</v>
      </c>
      <c r="AF660" s="17">
        <v>5.8433623356770159</v>
      </c>
      <c r="AG660" s="18">
        <v>-12559.139740141416</v>
      </c>
      <c r="AH660" s="20">
        <v>9060.0007482677211</v>
      </c>
      <c r="AN660" s="23">
        <v>655</v>
      </c>
      <c r="AO660" s="58">
        <v>327.5</v>
      </c>
      <c r="AP660" s="45">
        <f t="shared" si="167"/>
        <v>11556.577869871717</v>
      </c>
      <c r="AQ660" s="45">
        <f t="shared" si="168"/>
        <v>4895.2845204004134</v>
      </c>
      <c r="AR660" s="45">
        <f t="shared" si="169"/>
        <v>2643.2628601325373</v>
      </c>
      <c r="AS660" s="45">
        <f t="shared" si="170"/>
        <v>1641.7310685396576</v>
      </c>
      <c r="AT660" s="45">
        <f t="shared" si="156"/>
        <v>1292.9173995637452</v>
      </c>
      <c r="AU660" s="45">
        <f t="shared" si="157"/>
        <v>112.48352183315018</v>
      </c>
      <c r="AV660" s="64">
        <f t="shared" si="158"/>
        <v>1860.412846148706</v>
      </c>
      <c r="AW660" s="64">
        <f t="shared" si="159"/>
        <v>573.9196813953248</v>
      </c>
      <c r="AX660" s="64">
        <f t="shared" si="160"/>
        <v>-161.72383472596221</v>
      </c>
      <c r="AY660" s="64">
        <f t="shared" si="161"/>
        <v>26.161080138350897</v>
      </c>
      <c r="AZ660" s="64">
        <f t="shared" si="162"/>
        <v>-405.77161185899848</v>
      </c>
      <c r="BA660" s="64">
        <f t="shared" si="163"/>
        <v>-487.59723970052556</v>
      </c>
      <c r="BB660" s="65">
        <f t="shared" si="164"/>
        <v>8836.057944423279</v>
      </c>
      <c r="BC660" s="65">
        <f t="shared" si="165"/>
        <v>31966.791002303329</v>
      </c>
      <c r="BD660" s="66">
        <f t="shared" si="166"/>
        <v>25883.249736244677</v>
      </c>
    </row>
    <row r="661" spans="31:56" x14ac:dyDescent="0.25">
      <c r="AE661" s="71">
        <v>599</v>
      </c>
      <c r="AF661" s="17">
        <v>5.9061941887488114</v>
      </c>
      <c r="AG661" s="18">
        <v>-12514.799536787963</v>
      </c>
      <c r="AH661" s="20">
        <v>9529.0711035301501</v>
      </c>
      <c r="AN661" s="23">
        <v>656</v>
      </c>
      <c r="AO661" s="58">
        <v>328</v>
      </c>
      <c r="AP661" s="45">
        <f t="shared" si="167"/>
        <v>13201.438649828922</v>
      </c>
      <c r="AQ661" s="45">
        <f t="shared" si="168"/>
        <v>5744.2709351285293</v>
      </c>
      <c r="AR661" s="45">
        <f t="shared" si="169"/>
        <v>3289.7215599144101</v>
      </c>
      <c r="AS661" s="45">
        <f t="shared" si="170"/>
        <v>1697.9728294562326</v>
      </c>
      <c r="AT661" s="45">
        <f t="shared" si="156"/>
        <v>1425.3297615730698</v>
      </c>
      <c r="AU661" s="45">
        <f t="shared" si="157"/>
        <v>93.559295623402022</v>
      </c>
      <c r="AV661" s="64">
        <f t="shared" si="158"/>
        <v>1951.2492554810822</v>
      </c>
      <c r="AW661" s="64">
        <f t="shared" si="159"/>
        <v>503.91029133990924</v>
      </c>
      <c r="AX661" s="64">
        <f t="shared" si="160"/>
        <v>-149.10045313191358</v>
      </c>
      <c r="AY661" s="64">
        <f t="shared" si="161"/>
        <v>19.111555335637863</v>
      </c>
      <c r="AZ661" s="64">
        <f t="shared" si="162"/>
        <v>-376.81904077609886</v>
      </c>
      <c r="BA661" s="64">
        <f t="shared" si="163"/>
        <v>-429.46255105214505</v>
      </c>
      <c r="BB661" s="65">
        <f t="shared" si="164"/>
        <v>7021.610996151413</v>
      </c>
      <c r="BC661" s="65">
        <f t="shared" si="165"/>
        <v>33473.07512452278</v>
      </c>
      <c r="BD661" s="66">
        <f t="shared" si="166"/>
        <v>27597.411935786742</v>
      </c>
    </row>
    <row r="662" spans="31:56" x14ac:dyDescent="0.25">
      <c r="AE662" s="71">
        <v>600</v>
      </c>
      <c r="AF662" s="17">
        <v>5.9690260418206078</v>
      </c>
      <c r="AG662" s="18">
        <v>-12500</v>
      </c>
      <c r="AH662" s="20">
        <v>10000.000000000005</v>
      </c>
      <c r="AN662" s="23">
        <v>657</v>
      </c>
      <c r="AO662" s="58">
        <v>328.5</v>
      </c>
      <c r="AP662" s="45">
        <f t="shared" si="167"/>
        <v>15202.631870179395</v>
      </c>
      <c r="AQ662" s="45">
        <f t="shared" si="168"/>
        <v>6616.6471737624961</v>
      </c>
      <c r="AR662" s="45">
        <f t="shared" si="169"/>
        <v>4002.3864407009451</v>
      </c>
      <c r="AS662" s="45">
        <f t="shared" si="170"/>
        <v>1744.7524772679335</v>
      </c>
      <c r="AT662" s="45">
        <f t="shared" si="156"/>
        <v>1341.5109606368817</v>
      </c>
      <c r="AU662" s="45">
        <f t="shared" si="157"/>
        <v>-22.765164508542796</v>
      </c>
      <c r="AV662" s="64">
        <f t="shared" si="158"/>
        <v>1823.6720070928061</v>
      </c>
      <c r="AW662" s="64">
        <f t="shared" si="159"/>
        <v>335.79783289549061</v>
      </c>
      <c r="AX662" s="64">
        <f t="shared" si="160"/>
        <v>-134.93264961929731</v>
      </c>
      <c r="AY662" s="64">
        <f t="shared" si="161"/>
        <v>12.968483808958968</v>
      </c>
      <c r="AZ662" s="64">
        <f t="shared" si="162"/>
        <v>-347.2283968366271</v>
      </c>
      <c r="BA662" s="64">
        <f t="shared" si="163"/>
        <v>-371.53148121299239</v>
      </c>
      <c r="BB662" s="65">
        <f t="shared" si="164"/>
        <v>4878.0173419782168</v>
      </c>
      <c r="BC662" s="65">
        <f t="shared" si="165"/>
        <v>35364.84648537555</v>
      </c>
      <c r="BD662" s="66">
        <f t="shared" si="166"/>
        <v>29587.594858604549</v>
      </c>
    </row>
    <row r="663" spans="31:56" x14ac:dyDescent="0.25">
      <c r="AE663" s="71">
        <v>601</v>
      </c>
      <c r="AF663" s="17">
        <v>6.0318578948924033</v>
      </c>
      <c r="AG663" s="18" cm="1">
        <f t="array" ref="AG663:AG762">COS(AF63:AF162)*$AL$36+$K$26</f>
        <v>-12514.799536787963</v>
      </c>
      <c r="AH663" s="20" cm="1">
        <f t="array" ref="AH663:AH762">SIN(AF63:AF162)*$AL$36+$L$26</f>
        <v>10470.92889646985</v>
      </c>
      <c r="AN663" s="23">
        <v>658</v>
      </c>
      <c r="AO663" s="58">
        <v>329</v>
      </c>
      <c r="AP663" s="45">
        <f t="shared" si="167"/>
        <v>17539.202830689086</v>
      </c>
      <c r="AQ663" s="45">
        <f t="shared" si="168"/>
        <v>7483.3321212693272</v>
      </c>
      <c r="AR663" s="45">
        <f t="shared" si="169"/>
        <v>4673.1419210193862</v>
      </c>
      <c r="AS663" s="45">
        <f t="shared" si="170"/>
        <v>1733.369895013662</v>
      </c>
      <c r="AT663" s="45">
        <f t="shared" si="156"/>
        <v>741.80369628005542</v>
      </c>
      <c r="AU663" s="45">
        <f t="shared" si="157"/>
        <v>-300.76653381502911</v>
      </c>
      <c r="AV663" s="64">
        <f t="shared" si="158"/>
        <v>1179.7033188039206</v>
      </c>
      <c r="AW663" s="64">
        <f t="shared" si="159"/>
        <v>7.9905617989239444</v>
      </c>
      <c r="AX663" s="64">
        <f t="shared" si="160"/>
        <v>-120.29080763660932</v>
      </c>
      <c r="AY663" s="64">
        <f t="shared" si="161"/>
        <v>8.064423026003503</v>
      </c>
      <c r="AZ663" s="64">
        <f t="shared" si="162"/>
        <v>-317.6088148872559</v>
      </c>
      <c r="BA663" s="64">
        <f t="shared" si="163"/>
        <v>-316.82151863995654</v>
      </c>
      <c r="BB663" s="65">
        <f t="shared" si="164"/>
        <v>2460.8536174811347</v>
      </c>
      <c r="BC663" s="65">
        <f t="shared" si="165"/>
        <v>37623.468292748476</v>
      </c>
      <c r="BD663" s="66">
        <f t="shared" si="166"/>
        <v>31835.764283557637</v>
      </c>
    </row>
    <row r="664" spans="31:56" x14ac:dyDescent="0.25">
      <c r="AE664" s="71">
        <v>602</v>
      </c>
      <c r="AF664" s="17">
        <v>6.0946897479641988</v>
      </c>
      <c r="AG664" s="18">
        <v>-12559.139740141416</v>
      </c>
      <c r="AH664" s="20">
        <v>10939.999251732283</v>
      </c>
      <c r="AN664" s="23">
        <v>659</v>
      </c>
      <c r="AO664" s="58">
        <v>329.5</v>
      </c>
      <c r="AP664" s="45">
        <f t="shared" si="167"/>
        <v>20061.224715268792</v>
      </c>
      <c r="AQ664" s="45">
        <f t="shared" si="168"/>
        <v>8274.8254353224002</v>
      </c>
      <c r="AR664" s="45">
        <f t="shared" si="169"/>
        <v>5044.0437691594143</v>
      </c>
      <c r="AS664" s="45">
        <f t="shared" si="170"/>
        <v>1582.9866281061475</v>
      </c>
      <c r="AT664" s="45">
        <f t="shared" si="156"/>
        <v>-428.4543839621042</v>
      </c>
      <c r="AU664" s="45">
        <f t="shared" si="157"/>
        <v>-666.78890185659532</v>
      </c>
      <c r="AV664" s="64">
        <f t="shared" si="158"/>
        <v>-31.768876555568813</v>
      </c>
      <c r="AW664" s="64">
        <f t="shared" si="159"/>
        <v>-402.04896827701867</v>
      </c>
      <c r="AX664" s="64">
        <f t="shared" si="160"/>
        <v>-106.67955261827331</v>
      </c>
      <c r="AY664" s="64">
        <f t="shared" si="161"/>
        <v>4.5939896260357234</v>
      </c>
      <c r="AZ664" s="64">
        <f t="shared" si="162"/>
        <v>-290.00595478826204</v>
      </c>
      <c r="BA664" s="64">
        <f t="shared" si="163"/>
        <v>-269.33392320561239</v>
      </c>
      <c r="BB664" s="65">
        <f t="shared" si="164"/>
        <v>777.24058114736374</v>
      </c>
      <c r="BC664" s="65">
        <f t="shared" si="165"/>
        <v>40098.353494450042</v>
      </c>
      <c r="BD664" s="66">
        <f t="shared" si="166"/>
        <v>34202.083025364554</v>
      </c>
    </row>
    <row r="665" spans="31:56" x14ac:dyDescent="0.25">
      <c r="AE665" s="71">
        <v>603</v>
      </c>
      <c r="AF665" s="17">
        <v>6.1575216010359952</v>
      </c>
      <c r="AG665" s="18">
        <v>-12632.845619534834</v>
      </c>
      <c r="AH665" s="20">
        <v>11405.359859392935</v>
      </c>
      <c r="AN665" s="23">
        <v>660</v>
      </c>
      <c r="AO665" s="58">
        <v>330</v>
      </c>
      <c r="AP665" s="45">
        <f t="shared" si="167"/>
        <v>22476.133003857973</v>
      </c>
      <c r="AQ665" s="45">
        <f t="shared" si="168"/>
        <v>8899.6215239113244</v>
      </c>
      <c r="AR665" s="45">
        <f t="shared" si="169"/>
        <v>4829.8165771783624</v>
      </c>
      <c r="AS665" s="45">
        <f t="shared" si="170"/>
        <v>1249.5921771778499</v>
      </c>
      <c r="AT665" s="45">
        <f t="shared" si="156"/>
        <v>-1516.3525562970638</v>
      </c>
      <c r="AU665" s="45">
        <f t="shared" si="157"/>
        <v>-882.00339402617556</v>
      </c>
      <c r="AV665" s="64">
        <f t="shared" si="158"/>
        <v>-1153.7009780086023</v>
      </c>
      <c r="AW665" s="64">
        <f t="shared" si="159"/>
        <v>-652.12358078605234</v>
      </c>
      <c r="AX665" s="64">
        <f t="shared" si="160"/>
        <v>-95.52589084398781</v>
      </c>
      <c r="AY665" s="64">
        <f t="shared" si="161"/>
        <v>2.4746752296018384</v>
      </c>
      <c r="AZ665" s="64">
        <f t="shared" si="162"/>
        <v>-267.12568744447367</v>
      </c>
      <c r="BA665" s="64">
        <f t="shared" si="163"/>
        <v>-232.35448846972514</v>
      </c>
      <c r="BB665" s="65">
        <f t="shared" si="164"/>
        <v>2844.323304933981</v>
      </c>
      <c r="BC665" s="65">
        <f t="shared" si="165"/>
        <v>42490.383709164969</v>
      </c>
      <c r="BD665" s="66">
        <f t="shared" si="166"/>
        <v>36416.065051456324</v>
      </c>
    </row>
    <row r="666" spans="31:56" x14ac:dyDescent="0.25">
      <c r="AE666" s="71">
        <v>604</v>
      </c>
      <c r="AF666" s="17">
        <v>6.2203534541077907</v>
      </c>
      <c r="AG666" s="18">
        <v>-12735.626291535267</v>
      </c>
      <c r="AH666" s="20">
        <v>11865.174153736411</v>
      </c>
      <c r="AN666" s="23">
        <v>661</v>
      </c>
      <c r="AO666" s="58">
        <v>330.5</v>
      </c>
      <c r="AP666" s="45">
        <f t="shared" si="167"/>
        <v>24511.953153372888</v>
      </c>
      <c r="AQ666" s="45">
        <f t="shared" si="168"/>
        <v>9303.9167639937041</v>
      </c>
      <c r="AR666" s="45">
        <f t="shared" si="169"/>
        <v>4071.6402990298307</v>
      </c>
      <c r="AS666" s="45">
        <f t="shared" si="170"/>
        <v>808.59048016476208</v>
      </c>
      <c r="AT666" s="45">
        <f t="shared" si="156"/>
        <v>-2056.7360714849719</v>
      </c>
      <c r="AU666" s="45">
        <f t="shared" si="157"/>
        <v>-892.10814476358632</v>
      </c>
      <c r="AV666" s="64">
        <f t="shared" si="158"/>
        <v>-1718.9890632607749</v>
      </c>
      <c r="AW666" s="64">
        <f t="shared" si="159"/>
        <v>-687.26626428288012</v>
      </c>
      <c r="AX666" s="64">
        <f t="shared" si="160"/>
        <v>-87.351253378466396</v>
      </c>
      <c r="AY666" s="64">
        <f t="shared" si="161"/>
        <v>1.3660093258855659</v>
      </c>
      <c r="AZ666" s="64">
        <f t="shared" si="162"/>
        <v>-250.39575484573083</v>
      </c>
      <c r="BA666" s="64">
        <f t="shared" si="163"/>
        <v>-206.20788980659179</v>
      </c>
      <c r="BB666" s="65">
        <f t="shared" si="164"/>
        <v>4859.2012666331357</v>
      </c>
      <c r="BC666" s="65">
        <f t="shared" si="165"/>
        <v>44517.39553702026</v>
      </c>
      <c r="BD666" s="66">
        <f t="shared" si="166"/>
        <v>38231.34511102127</v>
      </c>
    </row>
    <row r="667" spans="31:56" x14ac:dyDescent="0.25">
      <c r="AE667" s="71">
        <v>605</v>
      </c>
      <c r="AF667" s="17">
        <v>6.2831853071795871</v>
      </c>
      <c r="AG667" s="18">
        <v>-12867.076127786349</v>
      </c>
      <c r="AH667" s="20">
        <v>12317.627457812105</v>
      </c>
      <c r="AN667" s="23">
        <v>662</v>
      </c>
      <c r="AO667" s="58">
        <v>331</v>
      </c>
      <c r="AP667" s="45">
        <f t="shared" si="167"/>
        <v>26033.589285016558</v>
      </c>
      <c r="AQ667" s="45">
        <f t="shared" si="168"/>
        <v>9485.1849678851886</v>
      </c>
      <c r="AR667" s="45">
        <f t="shared" si="169"/>
        <v>3043.2722632873447</v>
      </c>
      <c r="AS667" s="45">
        <f t="shared" si="170"/>
        <v>362.53640778296892</v>
      </c>
      <c r="AT667" s="45">
        <f t="shared" si="156"/>
        <v>-2221.6742487853476</v>
      </c>
      <c r="AU667" s="45">
        <f t="shared" si="157"/>
        <v>-813.37315546130935</v>
      </c>
      <c r="AV667" s="64">
        <f t="shared" si="158"/>
        <v>-1900.1076685943233</v>
      </c>
      <c r="AW667" s="64">
        <f t="shared" si="159"/>
        <v>-625.17765178749153</v>
      </c>
      <c r="AX667" s="64">
        <f t="shared" si="160"/>
        <v>-81.878822531666273</v>
      </c>
      <c r="AY667" s="64">
        <f t="shared" si="161"/>
        <v>0.91568894161557135</v>
      </c>
      <c r="AZ667" s="64">
        <f t="shared" si="162"/>
        <v>-239.68775765935791</v>
      </c>
      <c r="BA667" s="64">
        <f t="shared" si="163"/>
        <v>-189.11119261543348</v>
      </c>
      <c r="BB667" s="65">
        <f t="shared" si="164"/>
        <v>6351.783923984186</v>
      </c>
      <c r="BC667" s="65">
        <f t="shared" si="165"/>
        <v>46036.467902944969</v>
      </c>
      <c r="BD667" s="66">
        <f t="shared" si="166"/>
        <v>39529.836159825471</v>
      </c>
    </row>
    <row r="668" spans="31:56" x14ac:dyDescent="0.25">
      <c r="AE668" s="71">
        <v>606</v>
      </c>
      <c r="AF668" s="17" cm="1">
        <f t="array" ref="AF668:AF768">$AL$35*AE62:AE162</f>
        <v>0</v>
      </c>
      <c r="AG668" s="18">
        <v>-13026.676355838115</v>
      </c>
      <c r="AH668" s="20">
        <v>12760.934145135085</v>
      </c>
      <c r="AN668" s="23">
        <v>663</v>
      </c>
      <c r="AO668" s="58">
        <v>331.5</v>
      </c>
      <c r="AP668" s="45">
        <f t="shared" si="167"/>
        <v>26999.806854463892</v>
      </c>
      <c r="AQ668" s="45">
        <f t="shared" si="168"/>
        <v>9463.1098829113453</v>
      </c>
      <c r="AR668" s="45">
        <f t="shared" si="169"/>
        <v>1932.4351388946709</v>
      </c>
      <c r="AS668" s="45">
        <f t="shared" si="170"/>
        <v>-44.150169947685754</v>
      </c>
      <c r="AT668" s="45">
        <f t="shared" si="156"/>
        <v>-2252.5060517806637</v>
      </c>
      <c r="AU668" s="45">
        <f t="shared" si="157"/>
        <v>-722.21147180508353</v>
      </c>
      <c r="AV668" s="64">
        <f t="shared" si="158"/>
        <v>-1939.4645307606395</v>
      </c>
      <c r="AW668" s="64">
        <f t="shared" si="159"/>
        <v>-543.92672070147137</v>
      </c>
      <c r="AX668" s="64">
        <f t="shared" si="160"/>
        <v>-78.654756387822346</v>
      </c>
      <c r="AY668" s="64">
        <f t="shared" si="161"/>
        <v>0.89849223205109352</v>
      </c>
      <c r="AZ668" s="64">
        <f t="shared" si="162"/>
        <v>-234.38676463220176</v>
      </c>
      <c r="BA668" s="64">
        <f t="shared" si="163"/>
        <v>-179.18324333566329</v>
      </c>
      <c r="BB668" s="65">
        <f t="shared" si="164"/>
        <v>7269.8759557631984</v>
      </c>
      <c r="BC668" s="65">
        <f t="shared" si="165"/>
        <v>47002.87326701144</v>
      </c>
      <c r="BD668" s="66">
        <f t="shared" si="166"/>
        <v>40279.416379416289</v>
      </c>
    </row>
    <row r="669" spans="31:56" x14ac:dyDescent="0.25">
      <c r="AE669" s="71">
        <v>607</v>
      </c>
      <c r="AF669" s="17">
        <v>6.2831853071795868E-2</v>
      </c>
      <c r="AG669" s="18">
        <v>-13213.797106504855</v>
      </c>
      <c r="AH669" s="20">
        <v>13193.344686738044</v>
      </c>
      <c r="AN669" s="23">
        <v>664</v>
      </c>
      <c r="AO669" s="58">
        <v>332</v>
      </c>
      <c r="AP669" s="45">
        <f t="shared" si="167"/>
        <v>27402.897910966061</v>
      </c>
      <c r="AQ669" s="45">
        <f t="shared" si="168"/>
        <v>9260.4819299862302</v>
      </c>
      <c r="AR669" s="45">
        <f t="shared" si="169"/>
        <v>806.18211300433904</v>
      </c>
      <c r="AS669" s="45">
        <f t="shared" si="170"/>
        <v>-405.25590585022752</v>
      </c>
      <c r="AT669" s="45">
        <f t="shared" si="156"/>
        <v>-2264.9263723851673</v>
      </c>
      <c r="AU669" s="45">
        <f t="shared" si="157"/>
        <v>-638.59808187991666</v>
      </c>
      <c r="AV669" s="64">
        <f t="shared" si="158"/>
        <v>-1953.5212310890959</v>
      </c>
      <c r="AW669" s="64">
        <f t="shared" si="159"/>
        <v>-464.56656143837159</v>
      </c>
      <c r="AX669" s="64">
        <f t="shared" si="160"/>
        <v>-77.35258085859715</v>
      </c>
      <c r="AY669" s="64">
        <f t="shared" si="161"/>
        <v>1.2067538869580483</v>
      </c>
      <c r="AZ669" s="64">
        <f t="shared" si="162"/>
        <v>-234.0525604374742</v>
      </c>
      <c r="BA669" s="64">
        <f t="shared" si="163"/>
        <v>-175.23827432850317</v>
      </c>
      <c r="BB669" s="65">
        <f t="shared" si="164"/>
        <v>7609.3491249905019</v>
      </c>
      <c r="BC669" s="65">
        <f t="shared" si="165"/>
        <v>47408.666057307993</v>
      </c>
      <c r="BD669" s="66">
        <f t="shared" si="166"/>
        <v>40478.621227799704</v>
      </c>
    </row>
    <row r="670" spans="31:56" x14ac:dyDescent="0.25">
      <c r="AE670" s="71">
        <v>608</v>
      </c>
      <c r="AF670" s="17">
        <v>0.12566370614359174</v>
      </c>
      <c r="AG670" s="18">
        <v>-13427.699899671024</v>
      </c>
      <c r="AH670" s="20">
        <v>13613.152555762865</v>
      </c>
      <c r="AN670" s="23">
        <v>665</v>
      </c>
      <c r="AO670" s="58">
        <v>332.5</v>
      </c>
      <c r="AP670" s="45">
        <f t="shared" si="167"/>
        <v>27239.75737437194</v>
      </c>
      <c r="AQ670" s="45">
        <f t="shared" si="168"/>
        <v>8898.2044565911383</v>
      </c>
      <c r="AR670" s="45">
        <f t="shared" si="169"/>
        <v>-326.28107318824459</v>
      </c>
      <c r="AS670" s="45">
        <f t="shared" si="170"/>
        <v>-724.5549467901858</v>
      </c>
      <c r="AT670" s="45">
        <f t="shared" si="156"/>
        <v>-2292.8837594221422</v>
      </c>
      <c r="AU670" s="45">
        <f t="shared" si="157"/>
        <v>-556.76668631091172</v>
      </c>
      <c r="AV670" s="64">
        <f t="shared" si="158"/>
        <v>-1976.4336258796327</v>
      </c>
      <c r="AW670" s="64">
        <f t="shared" si="159"/>
        <v>-381.7059275555099</v>
      </c>
      <c r="AX670" s="64">
        <f t="shared" si="160"/>
        <v>-77.836190655291077</v>
      </c>
      <c r="AY670" s="64">
        <f t="shared" si="161"/>
        <v>1.8154108476951589</v>
      </c>
      <c r="AZ670" s="64">
        <f t="shared" si="162"/>
        <v>-238.61394288721846</v>
      </c>
      <c r="BA670" s="64">
        <f t="shared" si="163"/>
        <v>-176.87616960309697</v>
      </c>
      <c r="BB670" s="65">
        <f t="shared" si="164"/>
        <v>7373.537993541785</v>
      </c>
      <c r="BC670" s="65">
        <f t="shared" si="165"/>
        <v>47252.604480695067</v>
      </c>
      <c r="BD670" s="66">
        <f t="shared" si="166"/>
        <v>40131.360951348288</v>
      </c>
    </row>
    <row r="671" spans="31:56" x14ac:dyDescent="0.25">
      <c r="AE671" s="71">
        <v>609</v>
      </c>
      <c r="AF671" s="17">
        <v>0.1884955592153876</v>
      </c>
      <c r="AG671" s="18">
        <v>-13667.540558734887</v>
      </c>
      <c r="AH671" s="20">
        <v>14018.700962342475</v>
      </c>
      <c r="AN671" s="23">
        <v>666</v>
      </c>
      <c r="AO671" s="58">
        <v>333</v>
      </c>
      <c r="AP671" s="45">
        <f t="shared" si="167"/>
        <v>26503.395897922284</v>
      </c>
      <c r="AQ671" s="45">
        <f t="shared" si="168"/>
        <v>8396.7353116183167</v>
      </c>
      <c r="AR671" s="45">
        <f t="shared" si="169"/>
        <v>-1472.7229528993157</v>
      </c>
      <c r="AS671" s="45">
        <f t="shared" si="170"/>
        <v>-1002.9382899456416</v>
      </c>
      <c r="AT671" s="45">
        <f t="shared" si="156"/>
        <v>-2317.7963913440653</v>
      </c>
      <c r="AU671" s="45">
        <f t="shared" si="157"/>
        <v>-456.00283159347435</v>
      </c>
      <c r="AV671" s="64">
        <f t="shared" si="158"/>
        <v>-1989.2397912287684</v>
      </c>
      <c r="AW671" s="64">
        <f t="shared" si="159"/>
        <v>-274.29078470234037</v>
      </c>
      <c r="AX671" s="64">
        <f t="shared" si="160"/>
        <v>-80.162432293415762</v>
      </c>
      <c r="AY671" s="64">
        <f t="shared" si="161"/>
        <v>2.763703479052015</v>
      </c>
      <c r="AZ671" s="64">
        <f t="shared" si="162"/>
        <v>-248.39416782188118</v>
      </c>
      <c r="BA671" s="64">
        <f t="shared" si="163"/>
        <v>-184.47575037018601</v>
      </c>
      <c r="BB671" s="65">
        <f t="shared" si="164"/>
        <v>6564.9289732803354</v>
      </c>
      <c r="BC671" s="65">
        <f t="shared" si="165"/>
        <v>46531.025001604103</v>
      </c>
      <c r="BD671" s="66">
        <f t="shared" si="166"/>
        <v>39241.192340997412</v>
      </c>
    </row>
    <row r="672" spans="31:56" x14ac:dyDescent="0.25">
      <c r="AE672" s="71">
        <v>610</v>
      </c>
      <c r="AF672" s="17">
        <v>0.25132741228718347</v>
      </c>
      <c r="AG672" s="18">
        <v>-13932.372542187895</v>
      </c>
      <c r="AH672" s="20">
        <v>14408.389392193549</v>
      </c>
      <c r="AN672" s="23">
        <v>667</v>
      </c>
      <c r="AO672" s="58">
        <v>333.5</v>
      </c>
      <c r="AP672" s="45">
        <f t="shared" si="167"/>
        <v>25187.585323636613</v>
      </c>
      <c r="AQ672" s="45">
        <f t="shared" si="168"/>
        <v>7781.265458747127</v>
      </c>
      <c r="AR672" s="45">
        <f t="shared" si="169"/>
        <v>-2631.6211485713484</v>
      </c>
      <c r="AS672" s="45">
        <f t="shared" si="170"/>
        <v>-1230.9397057423787</v>
      </c>
      <c r="AT672" s="45">
        <f t="shared" si="156"/>
        <v>-2246.6779100836093</v>
      </c>
      <c r="AU672" s="45">
        <f t="shared" si="157"/>
        <v>-298.01828083066766</v>
      </c>
      <c r="AV672" s="64">
        <f t="shared" si="158"/>
        <v>-1898.0550836501063</v>
      </c>
      <c r="AW672" s="64">
        <f t="shared" si="159"/>
        <v>-102.91056445813172</v>
      </c>
      <c r="AX672" s="64">
        <f t="shared" si="160"/>
        <v>-84.581325668850539</v>
      </c>
      <c r="AY672" s="64">
        <f t="shared" si="161"/>
        <v>4.1529882037815904</v>
      </c>
      <c r="AZ672" s="64">
        <f t="shared" si="162"/>
        <v>-264.0415007646526</v>
      </c>
      <c r="BA672" s="64">
        <f t="shared" si="163"/>
        <v>-199.26070457631752</v>
      </c>
      <c r="BB672" s="65">
        <f t="shared" si="164"/>
        <v>5195.2046878149295</v>
      </c>
      <c r="BC672" s="65">
        <f t="shared" si="165"/>
        <v>45242.023057611907</v>
      </c>
      <c r="BD672" s="66">
        <f t="shared" si="166"/>
        <v>37818.994745679658</v>
      </c>
    </row>
    <row r="673" spans="31:56" x14ac:dyDescent="0.25">
      <c r="AE673" s="71">
        <v>611</v>
      </c>
      <c r="AF673" s="17">
        <v>0.31415926535897931</v>
      </c>
      <c r="AG673" s="18">
        <v>-14221.150679181581</v>
      </c>
      <c r="AH673" s="20">
        <v>14780.679923115173</v>
      </c>
      <c r="AN673" s="23">
        <v>668</v>
      </c>
      <c r="AO673" s="58">
        <v>334</v>
      </c>
      <c r="AP673" s="45">
        <f t="shared" si="167"/>
        <v>23310.105271830034</v>
      </c>
      <c r="AQ673" s="45">
        <f t="shared" si="168"/>
        <v>7091.2910356682705</v>
      </c>
      <c r="AR673" s="45">
        <f t="shared" si="169"/>
        <v>-3754.960103613153</v>
      </c>
      <c r="AS673" s="45">
        <f t="shared" si="170"/>
        <v>-1379.9488461577125</v>
      </c>
      <c r="AT673" s="45">
        <f t="shared" si="156"/>
        <v>-1857.2500526588024</v>
      </c>
      <c r="AU673" s="45">
        <f t="shared" si="157"/>
        <v>-34.495020445498085</v>
      </c>
      <c r="AV673" s="64">
        <f t="shared" si="158"/>
        <v>-1479.5497329714547</v>
      </c>
      <c r="AW673" s="64">
        <f t="shared" si="159"/>
        <v>182.68459441041617</v>
      </c>
      <c r="AX673" s="64">
        <f t="shared" si="160"/>
        <v>-91.507798226271703</v>
      </c>
      <c r="AY673" s="64">
        <f t="shared" si="161"/>
        <v>6.1456685763389007</v>
      </c>
      <c r="AZ673" s="64">
        <f t="shared" si="162"/>
        <v>-286.19252146107601</v>
      </c>
      <c r="BA673" s="64">
        <f t="shared" si="163"/>
        <v>-223.32528343225314</v>
      </c>
      <c r="BB673" s="65">
        <f t="shared" si="164"/>
        <v>3335.2421093710873</v>
      </c>
      <c r="BC673" s="65">
        <f t="shared" si="165"/>
        <v>43407.669904017923</v>
      </c>
      <c r="BD673" s="66">
        <f t="shared" si="166"/>
        <v>35909.430517966946</v>
      </c>
    </row>
    <row r="674" spans="31:56" x14ac:dyDescent="0.25">
      <c r="AE674" s="71">
        <v>612</v>
      </c>
      <c r="AF674" s="17">
        <v>0.37699111843077521</v>
      </c>
      <c r="AG674" s="18">
        <v>-14532.735294339414</v>
      </c>
      <c r="AH674" s="20">
        <v>15134.103294465165</v>
      </c>
      <c r="AN674" s="23">
        <v>669</v>
      </c>
      <c r="AO674" s="58">
        <v>334.5</v>
      </c>
      <c r="AP674" s="45">
        <f t="shared" si="167"/>
        <v>20968.31270685876</v>
      </c>
      <c r="AQ674" s="45">
        <f t="shared" si="168"/>
        <v>6392.6928574780395</v>
      </c>
      <c r="AR674" s="45">
        <f t="shared" si="169"/>
        <v>-4683.585129942554</v>
      </c>
      <c r="AS674" s="45">
        <f t="shared" si="170"/>
        <v>-1397.1963563804616</v>
      </c>
      <c r="AT674" s="45">
        <f t="shared" si="156"/>
        <v>-906.75275803094928</v>
      </c>
      <c r="AU674" s="45">
        <f t="shared" si="157"/>
        <v>311.35748023700944</v>
      </c>
      <c r="AV674" s="64">
        <f t="shared" si="158"/>
        <v>-490.98583169751907</v>
      </c>
      <c r="AW674" s="64">
        <f t="shared" si="159"/>
        <v>561.46337279765658</v>
      </c>
      <c r="AX674" s="64">
        <f t="shared" si="160"/>
        <v>-101.33546793382466</v>
      </c>
      <c r="AY674" s="64">
        <f t="shared" si="161"/>
        <v>8.9227047226500016</v>
      </c>
      <c r="AZ674" s="64">
        <f t="shared" si="162"/>
        <v>-314.43145839960556</v>
      </c>
      <c r="BA674" s="64">
        <f t="shared" si="163"/>
        <v>-259.02859728329713</v>
      </c>
      <c r="BB674" s="65">
        <f t="shared" si="164"/>
        <v>1470.9719936641516</v>
      </c>
      <c r="BC674" s="65">
        <f t="shared" si="165"/>
        <v>41126.819848700376</v>
      </c>
      <c r="BD674" s="66">
        <f t="shared" si="166"/>
        <v>33645.216190947474</v>
      </c>
    </row>
    <row r="675" spans="31:56" x14ac:dyDescent="0.25">
      <c r="AE675" s="71">
        <v>613</v>
      </c>
      <c r="AF675" s="17">
        <v>0.4398229715025711</v>
      </c>
      <c r="AG675" s="18">
        <v>-14865.896705534837</v>
      </c>
      <c r="AH675" s="20">
        <v>15467.264705660586</v>
      </c>
      <c r="AN675" s="23">
        <v>670</v>
      </c>
      <c r="AO675" s="58">
        <v>335</v>
      </c>
      <c r="AP675" s="45">
        <f t="shared" si="167"/>
        <v>18399.831952379744</v>
      </c>
      <c r="AQ675" s="45">
        <f t="shared" si="168"/>
        <v>5771.9340493470609</v>
      </c>
      <c r="AR675" s="45">
        <f t="shared" si="169"/>
        <v>-5136.9615089580284</v>
      </c>
      <c r="AS675" s="45">
        <f t="shared" si="170"/>
        <v>-1241.5176162619568</v>
      </c>
      <c r="AT675" s="45">
        <f t="shared" si="156"/>
        <v>313.04688503915537</v>
      </c>
      <c r="AU675" s="45">
        <f t="shared" si="157"/>
        <v>540.12928732825662</v>
      </c>
      <c r="AV675" s="64">
        <f t="shared" si="158"/>
        <v>772.67510645298046</v>
      </c>
      <c r="AW675" s="64">
        <f t="shared" si="159"/>
        <v>834.43332365264257</v>
      </c>
      <c r="AX675" s="64">
        <f t="shared" si="160"/>
        <v>-113.95648505066666</v>
      </c>
      <c r="AY675" s="64">
        <f t="shared" si="161"/>
        <v>12.547334449179926</v>
      </c>
      <c r="AZ675" s="64">
        <f t="shared" si="162"/>
        <v>-345.67173636315846</v>
      </c>
      <c r="BA675" s="64">
        <f t="shared" si="163"/>
        <v>-306.85137077356592</v>
      </c>
      <c r="BB675" s="65">
        <f t="shared" si="164"/>
        <v>2355.1538613073394</v>
      </c>
      <c r="BC675" s="65">
        <f t="shared" si="165"/>
        <v>38631.899198124789</v>
      </c>
      <c r="BD675" s="66">
        <f t="shared" si="166"/>
        <v>31289.381258664027</v>
      </c>
    </row>
    <row r="676" spans="31:56" x14ac:dyDescent="0.25">
      <c r="AE676" s="71">
        <v>614</v>
      </c>
      <c r="AF676" s="17">
        <v>0.50265482457436694</v>
      </c>
      <c r="AG676" s="18">
        <v>-15219.320076884827</v>
      </c>
      <c r="AH676" s="20">
        <v>15778.849320818419</v>
      </c>
      <c r="AN676" s="23">
        <v>671</v>
      </c>
      <c r="AO676" s="58">
        <v>335.5</v>
      </c>
      <c r="AP676" s="45">
        <f t="shared" si="167"/>
        <v>15909.612919160518</v>
      </c>
      <c r="AQ676" s="45">
        <f t="shared" si="168"/>
        <v>5286.2075630481468</v>
      </c>
      <c r="AR676" s="45">
        <f t="shared" si="169"/>
        <v>-4980.4380664384507</v>
      </c>
      <c r="AS676" s="45">
        <f t="shared" si="170"/>
        <v>-971.45297259782853</v>
      </c>
      <c r="AT676" s="45">
        <f t="shared" si="156"/>
        <v>1093.4478646188813</v>
      </c>
      <c r="AU676" s="45">
        <f t="shared" si="157"/>
        <v>517.48665312058313</v>
      </c>
      <c r="AV676" s="64">
        <f t="shared" si="158"/>
        <v>1596.5792854881188</v>
      </c>
      <c r="AW676" s="64">
        <f t="shared" si="159"/>
        <v>864.09796367785214</v>
      </c>
      <c r="AX676" s="64">
        <f t="shared" si="160"/>
        <v>-128.48435459037663</v>
      </c>
      <c r="AY676" s="64">
        <f t="shared" si="161"/>
        <v>16.86591777801085</v>
      </c>
      <c r="AZ676" s="64">
        <f t="shared" si="162"/>
        <v>-374.64706627886073</v>
      </c>
      <c r="BA676" s="64">
        <f t="shared" si="163"/>
        <v>-363.47722833527985</v>
      </c>
      <c r="BB676" s="65">
        <f t="shared" si="164"/>
        <v>4651.0368118306442</v>
      </c>
      <c r="BC676" s="65">
        <f t="shared" si="165"/>
        <v>36217.677163818829</v>
      </c>
      <c r="BD676" s="66">
        <f t="shared" si="166"/>
        <v>29133.179190060881</v>
      </c>
    </row>
    <row r="677" spans="31:56" x14ac:dyDescent="0.25">
      <c r="AE677" s="71">
        <v>615</v>
      </c>
      <c r="AF677" s="17">
        <v>0.56548667764616278</v>
      </c>
      <c r="AG677" s="18">
        <v>-15591.610607806451</v>
      </c>
      <c r="AH677" s="20">
        <v>16067.627457812105</v>
      </c>
      <c r="AN677" s="23">
        <v>672</v>
      </c>
      <c r="AO677" s="58">
        <v>336</v>
      </c>
      <c r="AP677" s="45">
        <f t="shared" si="167"/>
        <v>13692.755852096012</v>
      </c>
      <c r="AQ677" s="45">
        <f t="shared" si="168"/>
        <v>4929.8527400293788</v>
      </c>
      <c r="AR677" s="45">
        <f t="shared" si="169"/>
        <v>-4433.7141341290098</v>
      </c>
      <c r="AS677" s="45">
        <f t="shared" si="170"/>
        <v>-712.70964603753691</v>
      </c>
      <c r="AT677" s="45">
        <f t="shared" si="156"/>
        <v>1323.4943319085712</v>
      </c>
      <c r="AU677" s="45">
        <f t="shared" si="157"/>
        <v>357.82773158353439</v>
      </c>
      <c r="AV677" s="64">
        <f t="shared" si="158"/>
        <v>1864.5952030731792</v>
      </c>
      <c r="AW677" s="64">
        <f t="shared" si="159"/>
        <v>759.80636546715232</v>
      </c>
      <c r="AX677" s="64">
        <f t="shared" si="160"/>
        <v>-143.7807194605227</v>
      </c>
      <c r="AY677" s="64">
        <f t="shared" si="161"/>
        <v>21.636384509758752</v>
      </c>
      <c r="AZ677" s="64">
        <f t="shared" si="162"/>
        <v>-397.32015170408522</v>
      </c>
      <c r="BA677" s="64">
        <f t="shared" si="163"/>
        <v>-423.61501839337666</v>
      </c>
      <c r="BB677" s="65">
        <f t="shared" si="164"/>
        <v>6810.7991953370347</v>
      </c>
      <c r="BC677" s="65">
        <f t="shared" si="165"/>
        <v>34072.102813691112</v>
      </c>
      <c r="BD677" s="66">
        <f t="shared" si="166"/>
        <v>27324.314293049079</v>
      </c>
    </row>
    <row r="678" spans="31:56" x14ac:dyDescent="0.25">
      <c r="AE678" s="71">
        <v>616</v>
      </c>
      <c r="AF678" s="17">
        <v>0.62831853071795862</v>
      </c>
      <c r="AG678" s="18">
        <v>-15981.299037657525</v>
      </c>
      <c r="AH678" s="20">
        <v>16332.459441265113</v>
      </c>
      <c r="AN678" s="23">
        <v>673</v>
      </c>
      <c r="AO678" s="58">
        <v>336.5</v>
      </c>
      <c r="AP678" s="45">
        <f t="shared" si="167"/>
        <v>11806.772368008649</v>
      </c>
      <c r="AQ678" s="45">
        <f t="shared" si="168"/>
        <v>4662.954849906494</v>
      </c>
      <c r="AR678" s="45">
        <f t="shared" si="169"/>
        <v>-3771.9669681747241</v>
      </c>
      <c r="AS678" s="45">
        <f t="shared" si="170"/>
        <v>-533.79578024576972</v>
      </c>
      <c r="AT678" s="45">
        <f t="shared" si="156"/>
        <v>1278.7688726230629</v>
      </c>
      <c r="AU678" s="45">
        <f t="shared" si="157"/>
        <v>184.65757930981204</v>
      </c>
      <c r="AV678" s="64">
        <f t="shared" si="158"/>
        <v>1850.2696529120983</v>
      </c>
      <c r="AW678" s="64">
        <f t="shared" si="159"/>
        <v>640.68750203680474</v>
      </c>
      <c r="AX678" s="64">
        <f t="shared" si="160"/>
        <v>-158.91976597004435</v>
      </c>
      <c r="AY678" s="64">
        <f t="shared" si="161"/>
        <v>26.666080934307697</v>
      </c>
      <c r="AZ678" s="64">
        <f t="shared" si="162"/>
        <v>-412.58101431899109</v>
      </c>
      <c r="BA678" s="64">
        <f t="shared" si="163"/>
        <v>-482.69600366130044</v>
      </c>
      <c r="BB678" s="65">
        <f t="shared" si="164"/>
        <v>8670.5134919043685</v>
      </c>
      <c r="BC678" s="65">
        <f t="shared" si="165"/>
        <v>32251.431276835687</v>
      </c>
      <c r="BD678" s="66">
        <f t="shared" si="166"/>
        <v>25866.955577715758</v>
      </c>
    </row>
    <row r="679" spans="31:56" x14ac:dyDescent="0.25">
      <c r="AE679" s="71">
        <v>617</v>
      </c>
      <c r="AF679" s="17">
        <v>0.69115038378975457</v>
      </c>
      <c r="AG679" s="18">
        <v>-16386.847444237137</v>
      </c>
      <c r="AH679" s="20">
        <v>16572.300100328976</v>
      </c>
      <c r="AN679" s="23">
        <v>674</v>
      </c>
      <c r="AO679" s="58">
        <v>337</v>
      </c>
      <c r="AP679" s="45">
        <f t="shared" si="167"/>
        <v>10240.481102077052</v>
      </c>
      <c r="AQ679" s="45">
        <f t="shared" si="168"/>
        <v>4442.2213546110625</v>
      </c>
      <c r="AR679" s="45">
        <f t="shared" si="169"/>
        <v>-3132.5825318631928</v>
      </c>
      <c r="AS679" s="45">
        <f t="shared" si="170"/>
        <v>-441.4669905908637</v>
      </c>
      <c r="AT679" s="45">
        <f t="shared" si="156"/>
        <v>1151.3569229417835</v>
      </c>
      <c r="AU679" s="45">
        <f t="shared" si="157"/>
        <v>41.130425719151276</v>
      </c>
      <c r="AV679" s="64">
        <f t="shared" si="158"/>
        <v>1746.1206849908535</v>
      </c>
      <c r="AW679" s="64">
        <f t="shared" si="159"/>
        <v>547.08132631140779</v>
      </c>
      <c r="AX679" s="64">
        <f t="shared" si="160"/>
        <v>-173.20313536689855</v>
      </c>
      <c r="AY679" s="64">
        <f t="shared" si="161"/>
        <v>31.832320517891528</v>
      </c>
      <c r="AZ679" s="64">
        <f t="shared" si="162"/>
        <v>-421.56062668217146</v>
      </c>
      <c r="BA679" s="64">
        <f t="shared" si="163"/>
        <v>-537.78322111014802</v>
      </c>
      <c r="BB679" s="65">
        <f t="shared" si="164"/>
        <v>10227.327087910691</v>
      </c>
      <c r="BC679" s="65">
        <f t="shared" si="165"/>
        <v>30746.960837718914</v>
      </c>
      <c r="BD679" s="66">
        <f t="shared" si="166"/>
        <v>24703.688700768194</v>
      </c>
    </row>
    <row r="680" spans="31:56" x14ac:dyDescent="0.25">
      <c r="AE680" s="71">
        <v>618</v>
      </c>
      <c r="AF680" s="17">
        <v>0.75398223686155041</v>
      </c>
      <c r="AG680" s="18">
        <v>-16806.655313261956</v>
      </c>
      <c r="AH680" s="20">
        <v>16786.202893495145</v>
      </c>
      <c r="AN680" s="23">
        <v>675</v>
      </c>
      <c r="AO680" s="58">
        <v>337.5</v>
      </c>
      <c r="AP680" s="45">
        <f t="shared" si="167"/>
        <v>8962.0290668809012</v>
      </c>
      <c r="AQ680" s="45">
        <f t="shared" si="168"/>
        <v>4231.7704657454187</v>
      </c>
      <c r="AR680" s="45">
        <f t="shared" si="169"/>
        <v>-2556.904070392301</v>
      </c>
      <c r="AS680" s="45">
        <f t="shared" si="170"/>
        <v>-420.90177773128806</v>
      </c>
      <c r="AT680" s="45">
        <f t="shared" si="156"/>
        <v>1017.4917104588772</v>
      </c>
      <c r="AU680" s="45">
        <f t="shared" si="157"/>
        <v>-67.763090094918311</v>
      </c>
      <c r="AV680" s="64">
        <f t="shared" si="158"/>
        <v>1630.0564537539744</v>
      </c>
      <c r="AW680" s="64">
        <f t="shared" si="159"/>
        <v>482.64293110940588</v>
      </c>
      <c r="AX680" s="64">
        <f t="shared" si="160"/>
        <v>-186.07226330789709</v>
      </c>
      <c r="AY680" s="64">
        <f t="shared" si="161"/>
        <v>37.059127391926133</v>
      </c>
      <c r="AZ680" s="64">
        <f t="shared" si="162"/>
        <v>-426.49247998720017</v>
      </c>
      <c r="BA680" s="64">
        <f t="shared" si="163"/>
        <v>-587.46514859625029</v>
      </c>
      <c r="BB680" s="65">
        <f t="shared" si="164"/>
        <v>11511.651775872828</v>
      </c>
      <c r="BC680" s="65">
        <f t="shared" si="165"/>
        <v>29530.85843030475</v>
      </c>
      <c r="BD680" s="66">
        <f t="shared" si="166"/>
        <v>23765.50548403179</v>
      </c>
    </row>
    <row r="681" spans="31:56" x14ac:dyDescent="0.25">
      <c r="AE681" s="71">
        <v>619</v>
      </c>
      <c r="AF681" s="17">
        <v>0.81681408993334625</v>
      </c>
      <c r="AG681" s="18">
        <v>-17239.065854864915</v>
      </c>
      <c r="AH681" s="20">
        <v>16973.323644161886</v>
      </c>
      <c r="AN681" s="23">
        <v>676</v>
      </c>
      <c r="AO681" s="58">
        <v>338</v>
      </c>
      <c r="AP681" s="45">
        <f t="shared" si="167"/>
        <v>7937.9499592994698</v>
      </c>
      <c r="AQ681" s="45">
        <f t="shared" si="168"/>
        <v>4004.3788043560448</v>
      </c>
      <c r="AR681" s="45">
        <f t="shared" si="169"/>
        <v>-2048.1582151628627</v>
      </c>
      <c r="AS681" s="45">
        <f t="shared" si="170"/>
        <v>-454.78332277874722</v>
      </c>
      <c r="AT681" s="45">
        <f t="shared" si="156"/>
        <v>899.62746705252562</v>
      </c>
      <c r="AU681" s="45">
        <f t="shared" si="157"/>
        <v>-146.74917074827766</v>
      </c>
      <c r="AV681" s="64">
        <f t="shared" si="158"/>
        <v>1526.5700150618911</v>
      </c>
      <c r="AW681" s="64">
        <f t="shared" si="159"/>
        <v>442.40493807261146</v>
      </c>
      <c r="AX681" s="64">
        <f t="shared" si="160"/>
        <v>-197.06266020979049</v>
      </c>
      <c r="AY681" s="64">
        <f t="shared" si="161"/>
        <v>42.290614169796022</v>
      </c>
      <c r="AZ681" s="64">
        <f t="shared" si="162"/>
        <v>-429.8798877995751</v>
      </c>
      <c r="BA681" s="64">
        <f t="shared" si="163"/>
        <v>-631.44472299068514</v>
      </c>
      <c r="BB681" s="65">
        <f t="shared" si="164"/>
        <v>12558.360511141531</v>
      </c>
      <c r="BC681" s="65">
        <f t="shared" si="165"/>
        <v>28574.05329052874</v>
      </c>
      <c r="BD681" s="66">
        <f t="shared" si="166"/>
        <v>22990.366741067755</v>
      </c>
    </row>
    <row r="682" spans="31:56" x14ac:dyDescent="0.25">
      <c r="AE682" s="71">
        <v>620</v>
      </c>
      <c r="AF682" s="17">
        <v>0.87964594300514221</v>
      </c>
      <c r="AG682" s="18">
        <v>-17682.372542187895</v>
      </c>
      <c r="AH682" s="20">
        <v>17132.923872213651</v>
      </c>
      <c r="AN682" s="23">
        <v>677</v>
      </c>
      <c r="AO682" s="58">
        <v>338.5</v>
      </c>
      <c r="AP682" s="45">
        <f t="shared" si="167"/>
        <v>7138.7777184811703</v>
      </c>
      <c r="AQ682" s="45">
        <f t="shared" si="168"/>
        <v>3740.2998502796022</v>
      </c>
      <c r="AR682" s="45">
        <f t="shared" si="169"/>
        <v>-1598.3444816366</v>
      </c>
      <c r="AS682" s="45">
        <f t="shared" si="170"/>
        <v>-528.15790815288608</v>
      </c>
      <c r="AT682" s="45">
        <f t="shared" si="156"/>
        <v>800.95528155371971</v>
      </c>
      <c r="AU682" s="45">
        <f t="shared" si="157"/>
        <v>-201.42718663716278</v>
      </c>
      <c r="AV682" s="64">
        <f t="shared" si="158"/>
        <v>1440.7878870844063</v>
      </c>
      <c r="AW682" s="64">
        <f t="shared" si="159"/>
        <v>421.18317499033787</v>
      </c>
      <c r="AX682" s="64">
        <f t="shared" si="160"/>
        <v>-205.79808232811715</v>
      </c>
      <c r="AY682" s="64">
        <f t="shared" si="161"/>
        <v>47.468397439440103</v>
      </c>
      <c r="AZ682" s="64">
        <f t="shared" si="162"/>
        <v>-434.03452320256957</v>
      </c>
      <c r="BA682" s="64">
        <f t="shared" si="163"/>
        <v>-670.07875906694073</v>
      </c>
      <c r="BB682" s="65">
        <f t="shared" si="164"/>
        <v>13399.491922847074</v>
      </c>
      <c r="BC682" s="65">
        <f t="shared" si="165"/>
        <v>27851.339321790965</v>
      </c>
      <c r="BD682" s="66">
        <f t="shared" si="166"/>
        <v>22328.20554762708</v>
      </c>
    </row>
    <row r="683" spans="31:56" x14ac:dyDescent="0.25">
      <c r="AE683" s="71">
        <v>621</v>
      </c>
      <c r="AF683" s="17">
        <v>0.94247779607693805</v>
      </c>
      <c r="AG683" s="18">
        <v>-18134.825846263589</v>
      </c>
      <c r="AH683" s="20">
        <v>17264.373708464733</v>
      </c>
      <c r="AN683" s="23">
        <v>678</v>
      </c>
      <c r="AO683" s="58">
        <v>339</v>
      </c>
      <c r="AP683" s="45">
        <f t="shared" si="167"/>
        <v>6539.8442980513</v>
      </c>
      <c r="AQ683" s="45">
        <f t="shared" si="168"/>
        <v>3425.8640995438682</v>
      </c>
      <c r="AR683" s="45">
        <f t="shared" si="169"/>
        <v>-1197.86684085974</v>
      </c>
      <c r="AS683" s="45">
        <f t="shared" si="170"/>
        <v>-628.87150147146747</v>
      </c>
      <c r="AT683" s="45">
        <f t="shared" si="156"/>
        <v>718.67503544490501</v>
      </c>
      <c r="AU683" s="45">
        <f t="shared" si="157"/>
        <v>-236.31269767411561</v>
      </c>
      <c r="AV683" s="64">
        <f t="shared" si="158"/>
        <v>1371.5691987732923</v>
      </c>
      <c r="AW683" s="64">
        <f t="shared" si="159"/>
        <v>415.14819266712669</v>
      </c>
      <c r="AX683" s="64">
        <f t="shared" si="160"/>
        <v>-212.00440798455224</v>
      </c>
      <c r="AY683" s="64">
        <f t="shared" si="161"/>
        <v>52.515221036490033</v>
      </c>
      <c r="AZ683" s="64">
        <f t="shared" si="162"/>
        <v>-440.88975534383508</v>
      </c>
      <c r="BA683" s="64">
        <f t="shared" si="163"/>
        <v>-703.97611137773231</v>
      </c>
      <c r="BB683" s="65">
        <f t="shared" si="164"/>
        <v>14063.22775382976</v>
      </c>
      <c r="BC683" s="65">
        <f t="shared" si="165"/>
        <v>27341.956736899287</v>
      </c>
      <c r="BD683" s="66">
        <f t="shared" si="166"/>
        <v>21741.216024825444</v>
      </c>
    </row>
    <row r="684" spans="31:56" x14ac:dyDescent="0.25">
      <c r="AE684" s="71">
        <v>622</v>
      </c>
      <c r="AF684" s="17">
        <v>1.0053096491487339</v>
      </c>
      <c r="AG684" s="18">
        <v>-18594.640140607065</v>
      </c>
      <c r="AH684" s="20">
        <v>17367.154380465166</v>
      </c>
      <c r="AN684" s="23">
        <v>679</v>
      </c>
      <c r="AO684" s="58">
        <v>339.5</v>
      </c>
      <c r="AP684" s="45">
        <f t="shared" si="167"/>
        <v>6120.5796364826565</v>
      </c>
      <c r="AQ684" s="45">
        <f t="shared" si="168"/>
        <v>3052.3501743896059</v>
      </c>
      <c r="AR684" s="45">
        <f t="shared" si="169"/>
        <v>-838.52932313728752</v>
      </c>
      <c r="AS684" s="45">
        <f t="shared" si="170"/>
        <v>-747.02785030852533</v>
      </c>
      <c r="AT684" s="45">
        <f t="shared" si="156"/>
        <v>648.51910235609239</v>
      </c>
      <c r="AU684" s="45">
        <f t="shared" si="157"/>
        <v>-254.65154363606234</v>
      </c>
      <c r="AV684" s="64">
        <f t="shared" si="158"/>
        <v>1316.0182775261912</v>
      </c>
      <c r="AW684" s="64">
        <f t="shared" si="159"/>
        <v>421.71706809347853</v>
      </c>
      <c r="AX684" s="64">
        <f t="shared" si="160"/>
        <v>-215.52904894412555</v>
      </c>
      <c r="AY684" s="64">
        <f t="shared" si="161"/>
        <v>57.327225511457577</v>
      </c>
      <c r="AZ684" s="64">
        <f t="shared" si="162"/>
        <v>-451.97012622597327</v>
      </c>
      <c r="BA684" s="64">
        <f t="shared" si="163"/>
        <v>-733.69583724099846</v>
      </c>
      <c r="BB684" s="65">
        <f t="shared" si="164"/>
        <v>14574.632022746649</v>
      </c>
      <c r="BC684" s="65">
        <f t="shared" si="165"/>
        <v>27028.77205211396</v>
      </c>
      <c r="BD684" s="66">
        <f t="shared" si="166"/>
        <v>21202.703560398546</v>
      </c>
    </row>
    <row r="685" spans="31:56" x14ac:dyDescent="0.25">
      <c r="AE685" s="71">
        <v>623</v>
      </c>
      <c r="AF685" s="17">
        <v>1.0681415022205298</v>
      </c>
      <c r="AG685" s="18">
        <v>-19060.000748267717</v>
      </c>
      <c r="AH685" s="20">
        <v>17440.860259858586</v>
      </c>
      <c r="AN685" s="23">
        <v>680</v>
      </c>
      <c r="AO685" s="58">
        <v>340</v>
      </c>
      <c r="AP685" s="45">
        <f t="shared" si="167"/>
        <v>5863.4447505030357</v>
      </c>
      <c r="AQ685" s="45">
        <f t="shared" si="168"/>
        <v>2615.1733633263275</v>
      </c>
      <c r="AR685" s="45">
        <f t="shared" si="169"/>
        <v>-514.26977195924133</v>
      </c>
      <c r="AS685" s="45">
        <f t="shared" si="170"/>
        <v>-874.3536221265565</v>
      </c>
      <c r="AT685" s="45">
        <f t="shared" si="156"/>
        <v>586.15138817204479</v>
      </c>
      <c r="AU685" s="45">
        <f t="shared" si="157"/>
        <v>-258.60536965950246</v>
      </c>
      <c r="AV685" s="64">
        <f t="shared" si="158"/>
        <v>1270.9271882174348</v>
      </c>
      <c r="AW685" s="64">
        <f t="shared" si="159"/>
        <v>439.1634929943923</v>
      </c>
      <c r="AX685" s="64">
        <f t="shared" si="160"/>
        <v>-216.35684712714144</v>
      </c>
      <c r="AY685" s="64">
        <f t="shared" si="161"/>
        <v>61.776682228695464</v>
      </c>
      <c r="AZ685" s="64">
        <f t="shared" si="162"/>
        <v>-468.41895291824864</v>
      </c>
      <c r="BA685" s="64">
        <f t="shared" si="163"/>
        <v>-759.54554488259021</v>
      </c>
      <c r="BB685" s="65">
        <f t="shared" si="164"/>
        <v>14956.728438814311</v>
      </c>
      <c r="BC685" s="65">
        <f t="shared" si="165"/>
        <v>26897.089783395677</v>
      </c>
      <c r="BD685" s="66">
        <f t="shared" si="166"/>
        <v>20695.62186713106</v>
      </c>
    </row>
    <row r="686" spans="31:56" x14ac:dyDescent="0.25">
      <c r="AE686" s="71">
        <v>624</v>
      </c>
      <c r="AF686" s="17">
        <v>1.1309733552923256</v>
      </c>
      <c r="AG686" s="18">
        <v>-19529.07110353015</v>
      </c>
      <c r="AH686" s="20">
        <v>17485.200463212037</v>
      </c>
      <c r="AN686" s="23">
        <v>681</v>
      </c>
      <c r="AO686" s="58">
        <v>340.5</v>
      </c>
      <c r="AP686" s="45">
        <f t="shared" si="167"/>
        <v>5752.8477115664264</v>
      </c>
      <c r="AQ686" s="45">
        <f t="shared" si="168"/>
        <v>2113.3452098481735</v>
      </c>
      <c r="AR686" s="45">
        <f t="shared" si="169"/>
        <v>-221.19407787321893</v>
      </c>
      <c r="AS686" s="45">
        <f t="shared" si="170"/>
        <v>-1003.6563069563077</v>
      </c>
      <c r="AT686" s="45">
        <f t="shared" si="156"/>
        <v>527.53974779837199</v>
      </c>
      <c r="AU686" s="45">
        <f t="shared" si="157"/>
        <v>-249.49329820360356</v>
      </c>
      <c r="AV686" s="64">
        <f t="shared" si="158"/>
        <v>1233.1748773707791</v>
      </c>
      <c r="AW686" s="64">
        <f t="shared" si="159"/>
        <v>466.24667342659097</v>
      </c>
      <c r="AX686" s="64">
        <f t="shared" si="160"/>
        <v>-214.6163697406248</v>
      </c>
      <c r="AY686" s="64">
        <f t="shared" si="161"/>
        <v>65.724972997828544</v>
      </c>
      <c r="AZ686" s="64">
        <f t="shared" si="162"/>
        <v>-491.01875983178229</v>
      </c>
      <c r="BA686" s="64">
        <f t="shared" si="163"/>
        <v>-781.46494462802309</v>
      </c>
      <c r="BB686" s="65">
        <f t="shared" si="164"/>
        <v>15231.460801843125</v>
      </c>
      <c r="BC686" s="65">
        <f t="shared" si="165"/>
        <v>26933.40841843373</v>
      </c>
      <c r="BD686" s="66">
        <f t="shared" si="166"/>
        <v>20211.143415936978</v>
      </c>
    </row>
    <row r="687" spans="31:56" x14ac:dyDescent="0.25">
      <c r="AE687" s="71">
        <v>625</v>
      </c>
      <c r="AF687" s="17">
        <v>1.1938052083641215</v>
      </c>
      <c r="AG687" s="18">
        <v>-20000</v>
      </c>
      <c r="AH687" s="20">
        <v>17500</v>
      </c>
      <c r="AN687" s="23">
        <v>682</v>
      </c>
      <c r="AO687" s="58">
        <v>341</v>
      </c>
      <c r="AP687" s="45">
        <f t="shared" si="167"/>
        <v>5774.1356095794099</v>
      </c>
      <c r="AQ687" s="45">
        <f t="shared" si="168"/>
        <v>1549.1437318191188</v>
      </c>
      <c r="AR687" s="45">
        <f t="shared" si="169"/>
        <v>42.575796025967065</v>
      </c>
      <c r="AS687" s="45">
        <f t="shared" si="170"/>
        <v>-1128.4029560581096</v>
      </c>
      <c r="AT687" s="45">
        <f t="shared" si="156"/>
        <v>469.06359739531149</v>
      </c>
      <c r="AU687" s="45">
        <f t="shared" si="157"/>
        <v>-228.04764691059108</v>
      </c>
      <c r="AV687" s="64">
        <f t="shared" si="158"/>
        <v>1199.8063014894383</v>
      </c>
      <c r="AW687" s="64">
        <f t="shared" si="159"/>
        <v>501.89392038835905</v>
      </c>
      <c r="AX687" s="64">
        <f t="shared" si="160"/>
        <v>-210.57278796396989</v>
      </c>
      <c r="AY687" s="64">
        <f t="shared" si="161"/>
        <v>69.042872747679979</v>
      </c>
      <c r="AZ687" s="64">
        <f t="shared" si="162"/>
        <v>-520.16991613015693</v>
      </c>
      <c r="BA687" s="64">
        <f t="shared" si="163"/>
        <v>-798.98444004663008</v>
      </c>
      <c r="BB687" s="65">
        <f t="shared" si="164"/>
        <v>15420.373146561151</v>
      </c>
      <c r="BC687" s="65">
        <f t="shared" si="165"/>
        <v>27124.214976408839</v>
      </c>
      <c r="BD687" s="66">
        <f t="shared" si="166"/>
        <v>19747.307573186154</v>
      </c>
    </row>
    <row r="688" spans="31:56" x14ac:dyDescent="0.25">
      <c r="AE688" s="71">
        <v>626</v>
      </c>
      <c r="AF688" s="17">
        <v>1.2566370614359172</v>
      </c>
      <c r="AG688" s="18">
        <v>-20470.92889646985</v>
      </c>
      <c r="AH688" s="20">
        <v>17485.200463212037</v>
      </c>
      <c r="AN688" s="23">
        <v>683</v>
      </c>
      <c r="AO688" s="58">
        <v>341.5</v>
      </c>
      <c r="AP688" s="45">
        <f t="shared" si="167"/>
        <v>5912.689406941221</v>
      </c>
      <c r="AQ688" s="45">
        <f t="shared" si="168"/>
        <v>927.93034206241623</v>
      </c>
      <c r="AR688" s="45">
        <f t="shared" si="169"/>
        <v>277.10759472362281</v>
      </c>
      <c r="AS688" s="45">
        <f t="shared" si="170"/>
        <v>-1242.4267795134051</v>
      </c>
      <c r="AT688" s="45">
        <f t="shared" si="156"/>
        <v>407.63448200065625</v>
      </c>
      <c r="AU688" s="45">
        <f t="shared" si="157"/>
        <v>-194.70139710493629</v>
      </c>
      <c r="AV688" s="64">
        <f t="shared" si="158"/>
        <v>1168.0601716267956</v>
      </c>
      <c r="AW688" s="64">
        <f t="shared" si="159"/>
        <v>544.92820058757673</v>
      </c>
      <c r="AX688" s="64">
        <f t="shared" si="160"/>
        <v>-204.60610844305293</v>
      </c>
      <c r="AY688" s="64">
        <f t="shared" si="161"/>
        <v>71.632891479712157</v>
      </c>
      <c r="AZ688" s="64">
        <f t="shared" si="162"/>
        <v>-555.81958118308648</v>
      </c>
      <c r="BA688" s="64">
        <f t="shared" si="163"/>
        <v>-811.26248917222517</v>
      </c>
      <c r="BB688" s="65">
        <f t="shared" si="164"/>
        <v>15544.916189355603</v>
      </c>
      <c r="BC688" s="65">
        <f t="shared" si="165"/>
        <v>27454.870609403271</v>
      </c>
      <c r="BD688" s="66">
        <f t="shared" si="166"/>
        <v>19307.660528245251</v>
      </c>
    </row>
    <row r="689" spans="31:56" x14ac:dyDescent="0.25">
      <c r="AE689" s="71">
        <v>627</v>
      </c>
      <c r="AF689" s="17">
        <v>1.3194689145077132</v>
      </c>
      <c r="AG689" s="18">
        <v>-20939.999251732283</v>
      </c>
      <c r="AH689" s="20">
        <v>17440.860259858582</v>
      </c>
      <c r="AN689" s="23">
        <v>684</v>
      </c>
      <c r="AO689" s="58">
        <v>342</v>
      </c>
      <c r="AP689" s="45">
        <f t="shared" si="167"/>
        <v>6153.1518248031962</v>
      </c>
      <c r="AQ689" s="45">
        <f t="shared" si="168"/>
        <v>258.04160302947957</v>
      </c>
      <c r="AR689" s="45">
        <f t="shared" si="169"/>
        <v>480.92483572395093</v>
      </c>
      <c r="AS689" s="45">
        <f t="shared" si="170"/>
        <v>-1339.7774780658733</v>
      </c>
      <c r="AT689" s="45">
        <f t="shared" si="156"/>
        <v>340.91589393478864</v>
      </c>
      <c r="AU689" s="45">
        <f t="shared" si="157"/>
        <v>-149.92279488366216</v>
      </c>
      <c r="AV689" s="64">
        <f t="shared" si="158"/>
        <v>1135.4523166828103</v>
      </c>
      <c r="AW689" s="64">
        <f t="shared" si="159"/>
        <v>593.84621937936697</v>
      </c>
      <c r="AX689" s="64">
        <f t="shared" si="160"/>
        <v>-197.17660282305064</v>
      </c>
      <c r="AY689" s="64">
        <f t="shared" si="161"/>
        <v>73.447601054967464</v>
      </c>
      <c r="AZ689" s="64">
        <f t="shared" si="162"/>
        <v>-597.35981992497102</v>
      </c>
      <c r="BA689" s="64">
        <f t="shared" si="163"/>
        <v>-817.21661531799657</v>
      </c>
      <c r="BB689" s="65">
        <f t="shared" si="164"/>
        <v>15626.297252081276</v>
      </c>
      <c r="BC689" s="65">
        <f t="shared" si="165"/>
        <v>27908.656430926789</v>
      </c>
      <c r="BD689" s="66">
        <f t="shared" si="166"/>
        <v>18899.752093265386</v>
      </c>
    </row>
    <row r="690" spans="31:56" x14ac:dyDescent="0.25">
      <c r="AE690" s="71">
        <v>628</v>
      </c>
      <c r="AF690" s="17">
        <v>1.3823007675795091</v>
      </c>
      <c r="AG690" s="18">
        <v>-21405.359859392935</v>
      </c>
      <c r="AH690" s="20">
        <v>17367.154380465166</v>
      </c>
      <c r="AN690" s="23">
        <v>685</v>
      </c>
      <c r="AO690" s="58">
        <v>342.5</v>
      </c>
      <c r="AP690" s="45">
        <f t="shared" si="167"/>
        <v>6478.8432161488681</v>
      </c>
      <c r="AQ690" s="45">
        <f t="shared" si="168"/>
        <v>-449.32783472437262</v>
      </c>
      <c r="AR690" s="45">
        <f t="shared" si="169"/>
        <v>651.38278269134526</v>
      </c>
      <c r="AS690" s="45">
        <f t="shared" si="170"/>
        <v>-1414.7388755077045</v>
      </c>
      <c r="AT690" s="45">
        <f t="shared" si="156"/>
        <v>267.62548361835354</v>
      </c>
      <c r="AU690" s="45">
        <f t="shared" si="157"/>
        <v>-94.580056145044523</v>
      </c>
      <c r="AV690" s="64">
        <f t="shared" si="158"/>
        <v>1099.9499325736347</v>
      </c>
      <c r="AW690" s="64">
        <f t="shared" si="159"/>
        <v>646.68007002580885</v>
      </c>
      <c r="AX690" s="64">
        <f t="shared" si="160"/>
        <v>-188.78226725155886</v>
      </c>
      <c r="AY690" s="64">
        <f t="shared" si="161"/>
        <v>74.499017339662885</v>
      </c>
      <c r="AZ690" s="64">
        <f t="shared" si="162"/>
        <v>-643.54218170372224</v>
      </c>
      <c r="BA690" s="64">
        <f t="shared" si="163"/>
        <v>-815.75914351051631</v>
      </c>
      <c r="BB690" s="65">
        <f t="shared" si="164"/>
        <v>15684.8173020092</v>
      </c>
      <c r="BC690" s="65">
        <f t="shared" si="165"/>
        <v>28466.077886897914</v>
      </c>
      <c r="BD690" s="66">
        <f t="shared" si="166"/>
        <v>18533.372656973523</v>
      </c>
    </row>
    <row r="691" spans="31:56" x14ac:dyDescent="0.25">
      <c r="AE691" s="71">
        <v>629</v>
      </c>
      <c r="AF691" s="17">
        <v>1.4451326206513049</v>
      </c>
      <c r="AG691" s="18">
        <v>-21865.174153736411</v>
      </c>
      <c r="AH691" s="20">
        <v>17264.373708464733</v>
      </c>
      <c r="AN691" s="23">
        <v>686</v>
      </c>
      <c r="AO691" s="58">
        <v>343</v>
      </c>
      <c r="AP691" s="45">
        <f t="shared" si="167"/>
        <v>6871.4409783991296</v>
      </c>
      <c r="AQ691" s="45">
        <f t="shared" si="168"/>
        <v>-1180.342286514486</v>
      </c>
      <c r="AR691" s="45">
        <f t="shared" si="169"/>
        <v>785.19552450052197</v>
      </c>
      <c r="AS691" s="45">
        <f t="shared" si="170"/>
        <v>-1462.0289035802268</v>
      </c>
      <c r="AT691" s="45">
        <f t="shared" si="156"/>
        <v>187.82380479606979</v>
      </c>
      <c r="AU691" s="45">
        <f t="shared" si="157"/>
        <v>-30.269088822340564</v>
      </c>
      <c r="AV691" s="64">
        <f t="shared" si="158"/>
        <v>1060.2170279586956</v>
      </c>
      <c r="AW691" s="64">
        <f t="shared" si="159"/>
        <v>700.99442638986386</v>
      </c>
      <c r="AX691" s="64">
        <f t="shared" si="160"/>
        <v>-179.91509300721142</v>
      </c>
      <c r="AY691" s="64">
        <f t="shared" si="161"/>
        <v>74.856883333784992</v>
      </c>
      <c r="AZ691" s="64">
        <f t="shared" si="162"/>
        <v>-692.47813015541431</v>
      </c>
      <c r="BA691" s="64">
        <f t="shared" si="163"/>
        <v>-806.12039854598947</v>
      </c>
      <c r="BB691" s="65">
        <f t="shared" si="164"/>
        <v>15738.723080183765</v>
      </c>
      <c r="BC691" s="65">
        <f t="shared" si="165"/>
        <v>29104.54249596121</v>
      </c>
      <c r="BD691" s="66">
        <f t="shared" si="166"/>
        <v>18218.508452162427</v>
      </c>
    </row>
    <row r="692" spans="31:56" x14ac:dyDescent="0.25">
      <c r="AE692" s="71">
        <v>630</v>
      </c>
      <c r="AF692" s="17">
        <v>1.5079644737231008</v>
      </c>
      <c r="AG692" s="18">
        <v>-22317.627457812108</v>
      </c>
      <c r="AH692" s="20">
        <v>17132.923872213651</v>
      </c>
      <c r="AN692" s="23">
        <v>687</v>
      </c>
      <c r="AO692" s="58">
        <v>343.5</v>
      </c>
      <c r="AP692" s="45">
        <f t="shared" si="167"/>
        <v>7310.9946918484075</v>
      </c>
      <c r="AQ692" s="45">
        <f t="shared" si="168"/>
        <v>-1918.9240105101844</v>
      </c>
      <c r="AR692" s="45">
        <f t="shared" si="169"/>
        <v>879.10742689855692</v>
      </c>
      <c r="AS692" s="45">
        <f t="shared" si="170"/>
        <v>-1477.1634479913971</v>
      </c>
      <c r="AT692" s="45">
        <f t="shared" si="156"/>
        <v>103.04241165132953</v>
      </c>
      <c r="AU692" s="45">
        <f t="shared" si="157"/>
        <v>40.505522107498109</v>
      </c>
      <c r="AV692" s="64">
        <f t="shared" si="158"/>
        <v>1015.856783932172</v>
      </c>
      <c r="AW692" s="64">
        <f t="shared" si="159"/>
        <v>754.06051310196858</v>
      </c>
      <c r="AX692" s="64">
        <f t="shared" si="160"/>
        <v>-171.0231164367087</v>
      </c>
      <c r="AY692" s="64">
        <f t="shared" si="161"/>
        <v>74.637029952562557</v>
      </c>
      <c r="AZ692" s="64">
        <f t="shared" si="162"/>
        <v>-741.79125584413373</v>
      </c>
      <c r="BA692" s="64">
        <f t="shared" si="163"/>
        <v>-788.19202094703303</v>
      </c>
      <c r="BB692" s="65">
        <f t="shared" si="164"/>
        <v>15802.752457279857</v>
      </c>
      <c r="BC692" s="65">
        <f t="shared" si="165"/>
        <v>29798.509704790406</v>
      </c>
      <c r="BD692" s="66">
        <f t="shared" si="166"/>
        <v>17963.160616815923</v>
      </c>
    </row>
    <row r="693" spans="31:56" x14ac:dyDescent="0.25">
      <c r="AE693" s="71">
        <v>631</v>
      </c>
      <c r="AF693" s="17">
        <v>1.5707963267948968</v>
      </c>
      <c r="AG693" s="18">
        <v>-22760.934145135085</v>
      </c>
      <c r="AH693" s="20">
        <v>16973.323644161886</v>
      </c>
      <c r="AN693" s="23">
        <v>688</v>
      </c>
      <c r="AO693" s="58">
        <v>344</v>
      </c>
      <c r="AP693" s="45">
        <f t="shared" si="167"/>
        <v>7776.3090082105191</v>
      </c>
      <c r="AQ693" s="45">
        <f t="shared" si="168"/>
        <v>-2647.3793539790086</v>
      </c>
      <c r="AR693" s="45">
        <f t="shared" si="169"/>
        <v>930.62863272422169</v>
      </c>
      <c r="AS693" s="45">
        <f t="shared" si="170"/>
        <v>-1456.9106869376481</v>
      </c>
      <c r="AT693" s="45">
        <f t="shared" si="156"/>
        <v>16.117689067294805</v>
      </c>
      <c r="AU693" s="45">
        <f t="shared" si="157"/>
        <v>114.40153428055066</v>
      </c>
      <c r="AV693" s="64">
        <f t="shared" si="158"/>
        <v>967.54116062138417</v>
      </c>
      <c r="AW693" s="64">
        <f t="shared" si="159"/>
        <v>803.19497637898155</v>
      </c>
      <c r="AX693" s="64">
        <f t="shared" si="160"/>
        <v>-162.48357638451131</v>
      </c>
      <c r="AY693" s="64">
        <f t="shared" si="161"/>
        <v>73.98360339088596</v>
      </c>
      <c r="AZ693" s="64">
        <f t="shared" si="162"/>
        <v>-788.93989516957799</v>
      </c>
      <c r="BA693" s="64">
        <f t="shared" si="163"/>
        <v>-762.77704548931683</v>
      </c>
      <c r="BB693" s="65">
        <f t="shared" si="164"/>
        <v>15886.721789479248</v>
      </c>
      <c r="BC693" s="65">
        <f t="shared" si="165"/>
        <v>30520.149846340064</v>
      </c>
      <c r="BD693" s="66">
        <f t="shared" si="166"/>
        <v>17771.362038340936</v>
      </c>
    </row>
    <row r="694" spans="31:56" x14ac:dyDescent="0.25">
      <c r="AE694" s="71">
        <v>632</v>
      </c>
      <c r="AF694" s="17">
        <v>1.6336281798666925</v>
      </c>
      <c r="AG694" s="18">
        <v>-23193.344686738044</v>
      </c>
      <c r="AH694" s="20">
        <v>16786.202893495145</v>
      </c>
      <c r="AN694" s="23">
        <v>689</v>
      </c>
      <c r="AO694" s="58">
        <v>344.5</v>
      </c>
      <c r="AP694" s="45">
        <f t="shared" si="167"/>
        <v>8245.6527468394543</v>
      </c>
      <c r="AQ694" s="45">
        <f t="shared" si="168"/>
        <v>-3347.2343138776951</v>
      </c>
      <c r="AR694" s="45">
        <f t="shared" si="169"/>
        <v>938.68747725786909</v>
      </c>
      <c r="AS694" s="45">
        <f t="shared" si="170"/>
        <v>-1399.7099197973728</v>
      </c>
      <c r="AT694" s="45">
        <f t="shared" si="156"/>
        <v>-69.299944770160096</v>
      </c>
      <c r="AU694" s="45">
        <f t="shared" si="157"/>
        <v>187.58893694322421</v>
      </c>
      <c r="AV694" s="64">
        <f t="shared" si="158"/>
        <v>916.93484354589282</v>
      </c>
      <c r="AW694" s="64">
        <f t="shared" si="159"/>
        <v>846.1726444083672</v>
      </c>
      <c r="AX694" s="64">
        <f t="shared" si="160"/>
        <v>-154.5896617037171</v>
      </c>
      <c r="AY694" s="64">
        <f t="shared" si="161"/>
        <v>73.049982443527526</v>
      </c>
      <c r="AZ694" s="64">
        <f t="shared" si="162"/>
        <v>-831.64512661233584</v>
      </c>
      <c r="BA694" s="64">
        <f t="shared" si="163"/>
        <v>-731.63368990867048</v>
      </c>
      <c r="BB694" s="65">
        <f t="shared" si="164"/>
        <v>15994.598200894219</v>
      </c>
      <c r="BC694" s="65">
        <f t="shared" si="165"/>
        <v>31240.447546803705</v>
      </c>
      <c r="BD694" s="66">
        <f t="shared" si="166"/>
        <v>17641.83280800283</v>
      </c>
    </row>
    <row r="695" spans="31:56" x14ac:dyDescent="0.25">
      <c r="AE695" s="71">
        <v>633</v>
      </c>
      <c r="AF695" s="17">
        <v>1.6964600329384885</v>
      </c>
      <c r="AG695" s="18">
        <v>-23613.152555762867</v>
      </c>
      <c r="AH695" s="20">
        <v>16572.300100328976</v>
      </c>
      <c r="AN695" s="23">
        <v>690</v>
      </c>
      <c r="AO695" s="58">
        <v>345</v>
      </c>
      <c r="AP695" s="45">
        <f t="shared" si="167"/>
        <v>8697.6714992758498</v>
      </c>
      <c r="AQ695" s="45">
        <f t="shared" si="168"/>
        <v>-4000.1920395405755</v>
      </c>
      <c r="AR695" s="45">
        <f t="shared" si="169"/>
        <v>904.03750487278899</v>
      </c>
      <c r="AS695" s="45">
        <f t="shared" si="170"/>
        <v>-1305.9154513257606</v>
      </c>
      <c r="AT695" s="45">
        <f t="shared" si="156"/>
        <v>-149.43683300059729</v>
      </c>
      <c r="AU695" s="45">
        <f t="shared" si="157"/>
        <v>256.27927402446073</v>
      </c>
      <c r="AV695" s="64">
        <f t="shared" si="158"/>
        <v>866.39939749672783</v>
      </c>
      <c r="AW695" s="64">
        <f t="shared" si="159"/>
        <v>881.56696679947265</v>
      </c>
      <c r="AX695" s="64">
        <f t="shared" si="160"/>
        <v>-147.55026037589749</v>
      </c>
      <c r="AY695" s="64">
        <f t="shared" si="161"/>
        <v>71.982564188139989</v>
      </c>
      <c r="AZ695" s="64">
        <f t="shared" si="162"/>
        <v>-868.28597012142768</v>
      </c>
      <c r="BA695" s="64">
        <f t="shared" si="163"/>
        <v>-697.27025696315195</v>
      </c>
      <c r="BB695" s="65">
        <f t="shared" si="164"/>
        <v>16124.423911712127</v>
      </c>
      <c r="BC695" s="65">
        <f t="shared" si="165"/>
        <v>31930.576672280204</v>
      </c>
      <c r="BD695" s="66">
        <f t="shared" si="166"/>
        <v>17567.640128061037</v>
      </c>
    </row>
    <row r="696" spans="31:56" x14ac:dyDescent="0.25">
      <c r="AE696" s="71">
        <v>634</v>
      </c>
      <c r="AF696" s="17">
        <v>1.7592918860102844</v>
      </c>
      <c r="AG696" s="18">
        <v>-24018.700962342475</v>
      </c>
      <c r="AH696" s="20">
        <v>16332.459441265113</v>
      </c>
      <c r="AN696" s="23">
        <v>691</v>
      </c>
      <c r="AO696" s="58">
        <v>345.5</v>
      </c>
      <c r="AP696" s="45">
        <f t="shared" si="167"/>
        <v>9112.3310434620944</v>
      </c>
      <c r="AQ696" s="45">
        <f t="shared" si="168"/>
        <v>-4589.0799466973403</v>
      </c>
      <c r="AR696" s="45">
        <f t="shared" si="169"/>
        <v>829.31908837249034</v>
      </c>
      <c r="AS696" s="45">
        <f t="shared" si="170"/>
        <v>-1177.7758143135302</v>
      </c>
      <c r="AT696" s="45">
        <f t="shared" si="156"/>
        <v>-221.0543129069888</v>
      </c>
      <c r="AU696" s="45">
        <f t="shared" si="157"/>
        <v>317.24102249087457</v>
      </c>
      <c r="AV696" s="64">
        <f t="shared" si="158"/>
        <v>818.56424052586931</v>
      </c>
      <c r="AW696" s="64">
        <f t="shared" si="159"/>
        <v>908.88955062163154</v>
      </c>
      <c r="AX696" s="64">
        <f t="shared" si="160"/>
        <v>-141.49974006660449</v>
      </c>
      <c r="AY696" s="64">
        <f t="shared" si="161"/>
        <v>70.909849753587068</v>
      </c>
      <c r="AZ696" s="64">
        <f t="shared" si="162"/>
        <v>-898.11881336625356</v>
      </c>
      <c r="BA696" s="64">
        <f t="shared" si="163"/>
        <v>-662.55837788434405</v>
      </c>
      <c r="BB696" s="65">
        <f t="shared" si="164"/>
        <v>16269.209853732878</v>
      </c>
      <c r="BC696" s="65">
        <f t="shared" si="165"/>
        <v>32563.308684395895</v>
      </c>
      <c r="BD696" s="66">
        <f t="shared" si="166"/>
        <v>17536.965069148177</v>
      </c>
    </row>
    <row r="697" spans="31:56" x14ac:dyDescent="0.25">
      <c r="AE697" s="71">
        <v>635</v>
      </c>
      <c r="AF697" s="17">
        <v>1.8221237390820801</v>
      </c>
      <c r="AG697" s="18">
        <v>-24408.389392193549</v>
      </c>
      <c r="AH697" s="20">
        <v>16067.627457812105</v>
      </c>
      <c r="AN697" s="23">
        <v>692</v>
      </c>
      <c r="AO697" s="58">
        <v>346</v>
      </c>
      <c r="AP697" s="45">
        <f t="shared" si="167"/>
        <v>9471.727009421591</v>
      </c>
      <c r="AQ697" s="45">
        <f t="shared" si="168"/>
        <v>-5098.6575982313871</v>
      </c>
      <c r="AR697" s="45">
        <f t="shared" si="169"/>
        <v>718.79193191899594</v>
      </c>
      <c r="AS697" s="45">
        <f t="shared" si="170"/>
        <v>-1019.155303068093</v>
      </c>
      <c r="AT697" s="45">
        <f t="shared" si="156"/>
        <v>-281.86143393015482</v>
      </c>
      <c r="AU697" s="45">
        <f t="shared" si="157"/>
        <v>368.11721699585496</v>
      </c>
      <c r="AV697" s="64">
        <f t="shared" si="158"/>
        <v>775.90660930141325</v>
      </c>
      <c r="AW697" s="64">
        <f t="shared" si="159"/>
        <v>928.4886236841545</v>
      </c>
      <c r="AX697" s="64">
        <f t="shared" si="160"/>
        <v>-136.51363426542116</v>
      </c>
      <c r="AY697" s="64">
        <f t="shared" si="161"/>
        <v>69.937286695308401</v>
      </c>
      <c r="AZ697" s="64">
        <f t="shared" si="162"/>
        <v>-921.25440896614691</v>
      </c>
      <c r="BA697" s="64">
        <f t="shared" si="163"/>
        <v>-630.30869338360799</v>
      </c>
      <c r="BB697" s="65">
        <f t="shared" si="164"/>
        <v>16418.608511125913</v>
      </c>
      <c r="BC697" s="65">
        <f t="shared" si="165"/>
        <v>33114.228878029164</v>
      </c>
      <c r="BD697" s="66">
        <f t="shared" si="166"/>
        <v>17534.750183344029</v>
      </c>
    </row>
    <row r="698" spans="31:56" x14ac:dyDescent="0.25">
      <c r="AE698" s="71">
        <v>636</v>
      </c>
      <c r="AF698" s="17">
        <v>1.8849555921538761</v>
      </c>
      <c r="AG698" s="18">
        <v>-24780.679923115174</v>
      </c>
      <c r="AH698" s="20">
        <v>15778.849320818419</v>
      </c>
      <c r="AN698" s="23">
        <v>693</v>
      </c>
      <c r="AO698" s="58">
        <v>346.5</v>
      </c>
      <c r="AP698" s="45">
        <f t="shared" si="167"/>
        <v>9760.6576168985503</v>
      </c>
      <c r="AQ698" s="45">
        <f t="shared" si="168"/>
        <v>-5516.2059455164699</v>
      </c>
      <c r="AR698" s="45">
        <f t="shared" si="169"/>
        <v>577.86121495391853</v>
      </c>
      <c r="AS698" s="45">
        <f t="shared" si="170"/>
        <v>-835.09669457016548</v>
      </c>
      <c r="AT698" s="45">
        <f t="shared" si="156"/>
        <v>-330.59946572879255</v>
      </c>
      <c r="AU698" s="45">
        <f t="shared" si="157"/>
        <v>407.46723321024456</v>
      </c>
      <c r="AV698" s="64">
        <f t="shared" si="158"/>
        <v>740.45822182619338</v>
      </c>
      <c r="AW698" s="64">
        <f t="shared" si="159"/>
        <v>941.2671584502051</v>
      </c>
      <c r="AX698" s="64">
        <f t="shared" si="160"/>
        <v>-132.62621153001615</v>
      </c>
      <c r="AY698" s="64">
        <f t="shared" si="161"/>
        <v>69.146846093376652</v>
      </c>
      <c r="AZ698" s="64">
        <f t="shared" si="162"/>
        <v>-938.43147602496981</v>
      </c>
      <c r="BA698" s="64">
        <f t="shared" si="163"/>
        <v>-602.94677133333721</v>
      </c>
      <c r="BB698" s="65">
        <f t="shared" si="164"/>
        <v>16560.970673679611</v>
      </c>
      <c r="BC698" s="65">
        <f t="shared" si="165"/>
        <v>33562.618919475608</v>
      </c>
      <c r="BD698" s="66">
        <f t="shared" si="166"/>
        <v>17544.781644442381</v>
      </c>
    </row>
    <row r="699" spans="31:56" x14ac:dyDescent="0.25">
      <c r="AE699" s="71">
        <v>637</v>
      </c>
      <c r="AF699" s="17">
        <v>1.9477874452256718</v>
      </c>
      <c r="AG699" s="18">
        <v>-25134.103294465167</v>
      </c>
      <c r="AH699" s="20">
        <v>15467.264705660586</v>
      </c>
      <c r="AN699" s="23">
        <v>694</v>
      </c>
      <c r="AO699" s="58">
        <v>347</v>
      </c>
      <c r="AP699" s="45">
        <f t="shared" si="167"/>
        <v>9966.9383579433106</v>
      </c>
      <c r="AQ699" s="45">
        <f t="shared" si="168"/>
        <v>-5831.8874844989914</v>
      </c>
      <c r="AR699" s="45">
        <f t="shared" si="169"/>
        <v>412.56148208952226</v>
      </c>
      <c r="AS699" s="45">
        <f t="shared" si="170"/>
        <v>-631.3630779650432</v>
      </c>
      <c r="AT699" s="45">
        <f t="shared" si="156"/>
        <v>-366.8603343948962</v>
      </c>
      <c r="AU699" s="45">
        <f t="shared" si="157"/>
        <v>434.57896570478022</v>
      </c>
      <c r="AV699" s="64">
        <f t="shared" si="158"/>
        <v>713.67871290233029</v>
      </c>
      <c r="AW699" s="64">
        <f t="shared" si="159"/>
        <v>948.33308514842327</v>
      </c>
      <c r="AX699" s="64">
        <f t="shared" si="160"/>
        <v>-129.84687600153921</v>
      </c>
      <c r="AY699" s="64">
        <f t="shared" si="161"/>
        <v>68.599638258512741</v>
      </c>
      <c r="AZ699" s="64">
        <f t="shared" si="162"/>
        <v>-950.69217129568733</v>
      </c>
      <c r="BA699" s="64">
        <f t="shared" si="163"/>
        <v>-582.3537577021558</v>
      </c>
      <c r="BB699" s="65">
        <f t="shared" si="164"/>
        <v>16685.369334019852</v>
      </c>
      <c r="BC699" s="65">
        <f t="shared" si="165"/>
        <v>33891.976275670473</v>
      </c>
      <c r="BD699" s="66">
        <f t="shared" si="166"/>
        <v>17551.738686163288</v>
      </c>
    </row>
    <row r="700" spans="31:56" x14ac:dyDescent="0.25">
      <c r="AE700" s="71">
        <v>638</v>
      </c>
      <c r="AF700" s="17">
        <v>2.0106192982974678</v>
      </c>
      <c r="AG700" s="18">
        <v>-25467.264705660586</v>
      </c>
      <c r="AH700" s="20">
        <v>15134.103294465163</v>
      </c>
      <c r="AN700" s="23">
        <v>695</v>
      </c>
      <c r="AO700" s="58">
        <v>347.5</v>
      </c>
      <c r="AP700" s="45">
        <f t="shared" si="167"/>
        <v>10081.504015389346</v>
      </c>
      <c r="AQ700" s="45">
        <f t="shared" si="168"/>
        <v>-6038.9242820553181</v>
      </c>
      <c r="AR700" s="45">
        <f t="shared" si="169"/>
        <v>229.13131489207416</v>
      </c>
      <c r="AS700" s="45">
        <f t="shared" si="170"/>
        <v>-414.07359511265309</v>
      </c>
      <c r="AT700" s="45">
        <f t="shared" si="156"/>
        <v>-390.77744591419116</v>
      </c>
      <c r="AU700" s="45">
        <f t="shared" si="157"/>
        <v>449.1680260131094</v>
      </c>
      <c r="AV700" s="64">
        <f t="shared" si="158"/>
        <v>696.46129934527494</v>
      </c>
      <c r="AW700" s="64">
        <f t="shared" si="159"/>
        <v>950.6821207416848</v>
      </c>
      <c r="AX700" s="64">
        <f t="shared" si="160"/>
        <v>-128.17361360404769</v>
      </c>
      <c r="AY700" s="64">
        <f t="shared" si="161"/>
        <v>68.339896918087277</v>
      </c>
      <c r="AZ700" s="64">
        <f t="shared" si="162"/>
        <v>-959.06513165541844</v>
      </c>
      <c r="BA700" s="64">
        <f t="shared" si="163"/>
        <v>-569.85399164666262</v>
      </c>
      <c r="BB700" s="65">
        <f t="shared" si="164"/>
        <v>16783.296258839167</v>
      </c>
      <c r="BC700" s="65">
        <f t="shared" si="165"/>
        <v>34090.232852730551</v>
      </c>
      <c r="BD700" s="66">
        <f t="shared" si="166"/>
        <v>17542.880076798756</v>
      </c>
    </row>
    <row r="701" spans="31:56" x14ac:dyDescent="0.25">
      <c r="AE701" s="71">
        <v>639</v>
      </c>
      <c r="AF701" s="17">
        <v>2.0734511513692637</v>
      </c>
      <c r="AG701" s="18">
        <v>-25778.849320818419</v>
      </c>
      <c r="AH701" s="20">
        <v>14780.679923115171</v>
      </c>
      <c r="AN701" s="23">
        <v>696</v>
      </c>
      <c r="AO701" s="58">
        <v>348</v>
      </c>
      <c r="AP701" s="45">
        <f t="shared" si="167"/>
        <v>10098.375311356835</v>
      </c>
      <c r="AQ701" s="45">
        <f t="shared" si="168"/>
        <v>-6133.6690731083672</v>
      </c>
      <c r="AR701" s="45">
        <f t="shared" si="169"/>
        <v>33.742591934978577</v>
      </c>
      <c r="AS701" s="45">
        <f t="shared" si="170"/>
        <v>-189.4895821060984</v>
      </c>
      <c r="AT701" s="45">
        <f t="shared" si="156"/>
        <v>-402.722965752802</v>
      </c>
      <c r="AU701" s="45">
        <f t="shared" si="157"/>
        <v>451.08244520873961</v>
      </c>
      <c r="AV701" s="64">
        <f t="shared" si="158"/>
        <v>689.20036423469844</v>
      </c>
      <c r="AW701" s="64">
        <f t="shared" si="159"/>
        <v>948.96847603392882</v>
      </c>
      <c r="AX701" s="64">
        <f t="shared" si="160"/>
        <v>-127.60278337891489</v>
      </c>
      <c r="AY701" s="64">
        <f t="shared" si="161"/>
        <v>68.3990766460457</v>
      </c>
      <c r="AZ701" s="64">
        <f t="shared" si="162"/>
        <v>-964.32054660858557</v>
      </c>
      <c r="BA701" s="64">
        <f t="shared" si="163"/>
        <v>-566.28510747123494</v>
      </c>
      <c r="BB701" s="65">
        <f t="shared" si="164"/>
        <v>16849.89922432118</v>
      </c>
      <c r="BC701" s="65">
        <f t="shared" si="165"/>
        <v>34149.780001397783</v>
      </c>
      <c r="BD701" s="66">
        <f t="shared" si="166"/>
        <v>17509.219318625965</v>
      </c>
    </row>
    <row r="702" spans="31:56" x14ac:dyDescent="0.25">
      <c r="AE702" s="71">
        <v>640</v>
      </c>
      <c r="AF702" s="17">
        <v>2.1362830044410597</v>
      </c>
      <c r="AG702" s="18">
        <v>-26067.627457812105</v>
      </c>
      <c r="AH702" s="20">
        <v>14408.389392193549</v>
      </c>
      <c r="AN702" s="23">
        <v>697</v>
      </c>
      <c r="AO702" s="58">
        <v>348.5</v>
      </c>
      <c r="AP702" s="45">
        <f t="shared" si="167"/>
        <v>10014.565865886123</v>
      </c>
      <c r="AQ702" s="45">
        <f t="shared" si="168"/>
        <v>-6115.6432528592313</v>
      </c>
      <c r="AR702" s="45">
        <f t="shared" si="169"/>
        <v>-167.61889094142242</v>
      </c>
      <c r="AS702" s="45">
        <f t="shared" si="170"/>
        <v>36.051640498271411</v>
      </c>
      <c r="AT702" s="45">
        <f t="shared" si="156"/>
        <v>-403.09918741335446</v>
      </c>
      <c r="AU702" s="45">
        <f t="shared" si="157"/>
        <v>440.09552396768856</v>
      </c>
      <c r="AV702" s="64">
        <f t="shared" si="158"/>
        <v>691.85386196672869</v>
      </c>
      <c r="AW702" s="64">
        <f t="shared" si="159"/>
        <v>943.37764799525553</v>
      </c>
      <c r="AX702" s="64">
        <f t="shared" si="160"/>
        <v>-128.1352257695842</v>
      </c>
      <c r="AY702" s="64">
        <f t="shared" si="161"/>
        <v>68.799315500818395</v>
      </c>
      <c r="AZ702" s="64">
        <f t="shared" si="162"/>
        <v>-966.81782361049898</v>
      </c>
      <c r="BA702" s="64">
        <f t="shared" si="163"/>
        <v>-572.08143952838532</v>
      </c>
      <c r="BB702" s="65">
        <f t="shared" si="164"/>
        <v>16884.745660976288</v>
      </c>
      <c r="BC702" s="65">
        <f t="shared" si="165"/>
        <v>34067.405559728839</v>
      </c>
      <c r="BD702" s="66">
        <f t="shared" si="166"/>
        <v>17446.173877142759</v>
      </c>
    </row>
    <row r="703" spans="31:56" x14ac:dyDescent="0.25">
      <c r="AE703" s="71">
        <v>641</v>
      </c>
      <c r="AF703" s="17">
        <v>2.1991148575128552</v>
      </c>
      <c r="AG703" s="18">
        <v>-26332.459441265113</v>
      </c>
      <c r="AH703" s="20">
        <v>14018.700962342475</v>
      </c>
      <c r="AN703" s="23">
        <v>698</v>
      </c>
      <c r="AO703" s="58">
        <v>349</v>
      </c>
      <c r="AP703" s="45">
        <f t="shared" si="167"/>
        <v>9829.9816235620729</v>
      </c>
      <c r="AQ703" s="45">
        <f t="shared" si="168"/>
        <v>-5987.5935516181735</v>
      </c>
      <c r="AR703" s="45">
        <f t="shared" si="169"/>
        <v>-369.16848464809965</v>
      </c>
      <c r="AS703" s="45">
        <f t="shared" si="170"/>
        <v>256.09940248211569</v>
      </c>
      <c r="AT703" s="45">
        <f t="shared" si="156"/>
        <v>-392.26363897816191</v>
      </c>
      <c r="AU703" s="45">
        <f t="shared" si="157"/>
        <v>415.83094392027476</v>
      </c>
      <c r="AV703" s="64">
        <f t="shared" si="158"/>
        <v>703.95790698047722</v>
      </c>
      <c r="AW703" s="64">
        <f t="shared" si="159"/>
        <v>933.59694892960965</v>
      </c>
      <c r="AX703" s="64">
        <f t="shared" si="160"/>
        <v>-129.77891981863735</v>
      </c>
      <c r="AY703" s="64">
        <f t="shared" si="161"/>
        <v>69.555947027119046</v>
      </c>
      <c r="AZ703" s="64">
        <f t="shared" si="162"/>
        <v>-966.44262614000172</v>
      </c>
      <c r="BA703" s="64">
        <f t="shared" si="163"/>
        <v>-587.32195203645392</v>
      </c>
      <c r="BB703" s="65">
        <f t="shared" si="164"/>
        <v>16892.141770383569</v>
      </c>
      <c r="BC703" s="65">
        <f t="shared" si="165"/>
        <v>33844.215919914503</v>
      </c>
      <c r="BD703" s="66">
        <f t="shared" si="166"/>
        <v>17353.726543484056</v>
      </c>
    </row>
    <row r="704" spans="31:56" x14ac:dyDescent="0.25">
      <c r="AE704" s="71">
        <v>642</v>
      </c>
      <c r="AF704" s="17">
        <v>2.2619467105846511</v>
      </c>
      <c r="AG704" s="18">
        <v>-26572.300100328976</v>
      </c>
      <c r="AH704" s="20">
        <v>13613.152555762865</v>
      </c>
      <c r="AN704" s="23">
        <v>699</v>
      </c>
      <c r="AO704" s="58">
        <v>349.5</v>
      </c>
      <c r="AP704" s="45">
        <f t="shared" si="167"/>
        <v>9547.3314714934822</v>
      </c>
      <c r="AQ704" s="45">
        <f t="shared" si="168"/>
        <v>-5755.5861143970469</v>
      </c>
      <c r="AR704" s="45">
        <f t="shared" si="169"/>
        <v>-565.30030413718055</v>
      </c>
      <c r="AS704" s="45">
        <f t="shared" si="170"/>
        <v>464.01487444225307</v>
      </c>
      <c r="AT704" s="45">
        <f t="shared" si="156"/>
        <v>-370.59418673446839</v>
      </c>
      <c r="AU704" s="45">
        <f t="shared" si="157"/>
        <v>377.83752566811427</v>
      </c>
      <c r="AV704" s="64">
        <f t="shared" si="158"/>
        <v>724.58181237131328</v>
      </c>
      <c r="AW704" s="64">
        <f t="shared" si="159"/>
        <v>918.88081829245186</v>
      </c>
      <c r="AX704" s="64">
        <f t="shared" si="160"/>
        <v>-132.54840319249899</v>
      </c>
      <c r="AY704" s="64">
        <f t="shared" si="161"/>
        <v>70.679065648958925</v>
      </c>
      <c r="AZ704" s="64">
        <f t="shared" si="162"/>
        <v>-962.62759591328268</v>
      </c>
      <c r="BA704" s="64">
        <f t="shared" si="163"/>
        <v>-611.72235827329655</v>
      </c>
      <c r="BB704" s="65">
        <f t="shared" si="164"/>
        <v>16881.020188455033</v>
      </c>
      <c r="BC704" s="65">
        <f t="shared" si="165"/>
        <v>33485.568397363219</v>
      </c>
      <c r="BD704" s="66">
        <f t="shared" si="166"/>
        <v>17236.126044730394</v>
      </c>
    </row>
    <row r="705" spans="31:56" x14ac:dyDescent="0.25">
      <c r="AE705" s="71">
        <v>643</v>
      </c>
      <c r="AF705" s="17">
        <v>2.3247785636564471</v>
      </c>
      <c r="AG705" s="18">
        <v>-26786.202893495145</v>
      </c>
      <c r="AH705" s="20">
        <v>13193.344686738044</v>
      </c>
      <c r="AN705" s="23">
        <v>700</v>
      </c>
      <c r="AO705" s="58">
        <v>350</v>
      </c>
      <c r="AP705" s="45">
        <f t="shared" si="167"/>
        <v>9172.032772741275</v>
      </c>
      <c r="AQ705" s="45">
        <f t="shared" si="168"/>
        <v>-5429.1192957588919</v>
      </c>
      <c r="AR705" s="45">
        <f t="shared" si="169"/>
        <v>-750.59739750441474</v>
      </c>
      <c r="AS705" s="45">
        <f t="shared" si="170"/>
        <v>652.93363727631026</v>
      </c>
      <c r="AT705" s="45">
        <f t="shared" si="156"/>
        <v>-338.67593930821693</v>
      </c>
      <c r="AU705" s="45">
        <f t="shared" si="157"/>
        <v>325.80997405232733</v>
      </c>
      <c r="AV705" s="64">
        <f t="shared" si="158"/>
        <v>752.24381150110969</v>
      </c>
      <c r="AW705" s="64">
        <f t="shared" si="159"/>
        <v>898.21568298710736</v>
      </c>
      <c r="AX705" s="64">
        <f t="shared" si="160"/>
        <v>-136.46105019379854</v>
      </c>
      <c r="AY705" s="64">
        <f t="shared" si="161"/>
        <v>72.174395218424479</v>
      </c>
      <c r="AZ705" s="64">
        <f t="shared" si="162"/>
        <v>-954.45870061552807</v>
      </c>
      <c r="BA705" s="64">
        <f t="shared" si="163"/>
        <v>-644.5801041532045</v>
      </c>
      <c r="BB705" s="65">
        <f t="shared" si="164"/>
        <v>16864.370727618447</v>
      </c>
      <c r="BC705" s="65">
        <f t="shared" si="165"/>
        <v>33000.98814182161</v>
      </c>
      <c r="BD705" s="66">
        <f t="shared" si="166"/>
        <v>17101.118979951796</v>
      </c>
    </row>
    <row r="706" spans="31:56" x14ac:dyDescent="0.25">
      <c r="AE706" s="71">
        <v>644</v>
      </c>
      <c r="AF706" s="17">
        <v>2.387610416728243</v>
      </c>
      <c r="AG706" s="18">
        <v>-26973.323644161886</v>
      </c>
      <c r="AH706" s="20">
        <v>12760.934145135083</v>
      </c>
      <c r="AN706" s="23">
        <v>701</v>
      </c>
      <c r="AO706" s="58">
        <v>350.5</v>
      </c>
      <c r="AP706" s="45">
        <f t="shared" si="167"/>
        <v>8712.0650891620135</v>
      </c>
      <c r="AQ706" s="45">
        <f t="shared" si="168"/>
        <v>-5021.1999836076548</v>
      </c>
      <c r="AR706" s="45">
        <f t="shared" si="169"/>
        <v>-919.93536715852315</v>
      </c>
      <c r="AS706" s="45">
        <f t="shared" si="170"/>
        <v>815.83862430247393</v>
      </c>
      <c r="AT706" s="45">
        <f t="shared" si="156"/>
        <v>-297.56328694167576</v>
      </c>
      <c r="AU706" s="45">
        <f t="shared" si="157"/>
        <v>259.92169684812438</v>
      </c>
      <c r="AV706" s="64">
        <f t="shared" si="158"/>
        <v>784.83904159458484</v>
      </c>
      <c r="AW706" s="64">
        <f t="shared" si="159"/>
        <v>870.58675234859436</v>
      </c>
      <c r="AX706" s="64">
        <f t="shared" si="160"/>
        <v>-141.53025652236636</v>
      </c>
      <c r="AY706" s="64">
        <f t="shared" si="161"/>
        <v>74.043935201172403</v>
      </c>
      <c r="AZ706" s="64">
        <f t="shared" si="162"/>
        <v>-940.87207201389424</v>
      </c>
      <c r="BA706" s="64">
        <f t="shared" si="163"/>
        <v>-684.70899070164239</v>
      </c>
      <c r="BB706" s="65">
        <f t="shared" si="164"/>
        <v>16858.170825472473</v>
      </c>
      <c r="BC706" s="65">
        <f t="shared" si="165"/>
        <v>32403.998682752266</v>
      </c>
      <c r="BD706" s="66">
        <f t="shared" si="166"/>
        <v>16958.690361480381</v>
      </c>
    </row>
    <row r="707" spans="31:56" x14ac:dyDescent="0.25">
      <c r="AE707" s="71">
        <v>645</v>
      </c>
      <c r="AF707" s="17">
        <v>2.450442269800039</v>
      </c>
      <c r="AG707" s="18">
        <v>-27132.923872213651</v>
      </c>
      <c r="AH707" s="20">
        <v>12317.627457812103</v>
      </c>
      <c r="AN707" s="23">
        <v>702</v>
      </c>
      <c r="AO707" s="58">
        <v>351</v>
      </c>
      <c r="AP707" s="45">
        <f t="shared" si="167"/>
        <v>8177.7065838473327</v>
      </c>
      <c r="AQ707" s="45">
        <f t="shared" si="168"/>
        <v>-4548.3002472443868</v>
      </c>
      <c r="AR707" s="45">
        <f t="shared" si="169"/>
        <v>-1068.7170106293611</v>
      </c>
      <c r="AS707" s="45">
        <f t="shared" si="170"/>
        <v>945.79947272653612</v>
      </c>
      <c r="AT707" s="45">
        <f t="shared" si="156"/>
        <v>-249.03301404221622</v>
      </c>
      <c r="AU707" s="45">
        <f t="shared" si="157"/>
        <v>181.18774127715619</v>
      </c>
      <c r="AV707" s="64">
        <f t="shared" si="158"/>
        <v>819.65450422300046</v>
      </c>
      <c r="AW707" s="64">
        <f t="shared" si="159"/>
        <v>835.3238426980879</v>
      </c>
      <c r="AX707" s="64">
        <f t="shared" si="160"/>
        <v>-147.7557465697397</v>
      </c>
      <c r="AY707" s="64">
        <f t="shared" si="161"/>
        <v>76.287080282983823</v>
      </c>
      <c r="AZ707" s="64">
        <f t="shared" si="162"/>
        <v>-920.93177169547698</v>
      </c>
      <c r="BA707" s="64">
        <f t="shared" si="163"/>
        <v>-730.42318170391559</v>
      </c>
      <c r="BB707" s="65">
        <f t="shared" si="164"/>
        <v>16879.815178649198</v>
      </c>
      <c r="BC707" s="65">
        <f t="shared" si="165"/>
        <v>31711.767349193335</v>
      </c>
      <c r="BD707" s="66">
        <f t="shared" si="166"/>
        <v>16819.333474657225</v>
      </c>
    </row>
    <row r="708" spans="31:56" x14ac:dyDescent="0.25">
      <c r="AE708" s="71">
        <v>646</v>
      </c>
      <c r="AF708" s="17">
        <v>2.5132741228718345</v>
      </c>
      <c r="AG708" s="18">
        <v>-27264.373708464733</v>
      </c>
      <c r="AH708" s="20">
        <v>11865.174153736411</v>
      </c>
      <c r="AN708" s="23">
        <v>703</v>
      </c>
      <c r="AO708" s="58">
        <v>351.5</v>
      </c>
      <c r="AP708" s="45">
        <f t="shared" si="167"/>
        <v>7581.089825022098</v>
      </c>
      <c r="AQ708" s="45">
        <f t="shared" si="168"/>
        <v>-4030.10357556183</v>
      </c>
      <c r="AR708" s="45">
        <f t="shared" si="169"/>
        <v>-1193.2335176504691</v>
      </c>
      <c r="AS708" s="45">
        <f t="shared" si="170"/>
        <v>1036.3933433651141</v>
      </c>
      <c r="AT708" s="45">
        <f t="shared" si="156"/>
        <v>-195.71290537198627</v>
      </c>
      <c r="AU708" s="45">
        <f t="shared" si="157"/>
        <v>91.723053792357518</v>
      </c>
      <c r="AV708" s="64">
        <f t="shared" si="158"/>
        <v>853.54250833790081</v>
      </c>
      <c r="AW708" s="64">
        <f t="shared" si="159"/>
        <v>792.45548833340808</v>
      </c>
      <c r="AX708" s="64">
        <f t="shared" si="160"/>
        <v>-155.11166321742988</v>
      </c>
      <c r="AY708" s="64">
        <f t="shared" si="161"/>
        <v>78.903071434975885</v>
      </c>
      <c r="AZ708" s="64">
        <f t="shared" si="162"/>
        <v>-894.14375049245723</v>
      </c>
      <c r="BA708" s="64">
        <f t="shared" si="163"/>
        <v>-779.63550597602648</v>
      </c>
      <c r="BB708" s="65">
        <f t="shared" si="164"/>
        <v>16946.168251181545</v>
      </c>
      <c r="BC708" s="65">
        <f t="shared" si="165"/>
        <v>30944.471594728042</v>
      </c>
      <c r="BD708" s="66">
        <f t="shared" si="166"/>
        <v>16691.987561347389</v>
      </c>
    </row>
    <row r="709" spans="31:56" x14ac:dyDescent="0.25">
      <c r="AE709" s="71">
        <v>647</v>
      </c>
      <c r="AF709" s="17">
        <v>2.5761059759436304</v>
      </c>
      <c r="AG709" s="18">
        <v>-27367.154380465166</v>
      </c>
      <c r="AH709" s="20">
        <v>11405.359859392935</v>
      </c>
      <c r="AN709" s="23">
        <v>704</v>
      </c>
      <c r="AO709" s="58">
        <v>352</v>
      </c>
      <c r="AP709" s="45">
        <f t="shared" si="167"/>
        <v>6935.5448398538665</v>
      </c>
      <c r="AQ709" s="45">
        <f t="shared" si="168"/>
        <v>-3488.9761404311839</v>
      </c>
      <c r="AR709" s="45">
        <f t="shared" si="169"/>
        <v>-1291.0899703364623</v>
      </c>
      <c r="AS709" s="45">
        <f t="shared" si="170"/>
        <v>1082.2548702612928</v>
      </c>
      <c r="AT709" s="45">
        <f t="shared" si="156"/>
        <v>-140.97832681959437</v>
      </c>
      <c r="AU709" s="45">
        <f t="shared" si="157"/>
        <v>-5.2562462424074283</v>
      </c>
      <c r="AV709" s="64">
        <f t="shared" si="158"/>
        <v>883.27540891305455</v>
      </c>
      <c r="AW709" s="64">
        <f t="shared" si="159"/>
        <v>742.95424302000379</v>
      </c>
      <c r="AX709" s="64">
        <f t="shared" si="160"/>
        <v>-163.53373473134454</v>
      </c>
      <c r="AY709" s="64">
        <f t="shared" si="161"/>
        <v>81.895601483540545</v>
      </c>
      <c r="AZ709" s="64">
        <f t="shared" si="162"/>
        <v>-860.72000100130435</v>
      </c>
      <c r="BA709" s="64">
        <f t="shared" si="163"/>
        <v>-830.10609074595175</v>
      </c>
      <c r="BB709" s="65">
        <f t="shared" si="164"/>
        <v>17071.54314191997</v>
      </c>
      <c r="BC709" s="65">
        <f t="shared" si="165"/>
        <v>30124.343198431729</v>
      </c>
      <c r="BD709" s="66">
        <f t="shared" si="166"/>
        <v>16581.945028244569</v>
      </c>
    </row>
    <row r="710" spans="31:56" x14ac:dyDescent="0.25">
      <c r="AE710" s="71">
        <v>648</v>
      </c>
      <c r="AF710" s="17">
        <v>2.6389378290154264</v>
      </c>
      <c r="AG710" s="18">
        <v>-27440.860259858586</v>
      </c>
      <c r="AH710" s="20">
        <v>10939.999251732281</v>
      </c>
      <c r="AN710" s="23">
        <v>705</v>
      </c>
      <c r="AO710" s="58">
        <v>352.5</v>
      </c>
      <c r="AP710" s="45">
        <f t="shared" si="167"/>
        <v>6254.7552729807367</v>
      </c>
      <c r="AQ710" s="45">
        <f t="shared" si="168"/>
        <v>-2949.1627668611391</v>
      </c>
      <c r="AR710" s="45">
        <f t="shared" si="169"/>
        <v>-1361.5791337462595</v>
      </c>
      <c r="AS710" s="45">
        <f t="shared" si="170"/>
        <v>1079.626747140089</v>
      </c>
      <c r="AT710" s="45">
        <f t="shared" ref="AT710:AT773" si="171">AV710+AX710+AZ710</f>
        <v>-88.584342389745188</v>
      </c>
      <c r="AU710" s="45">
        <f t="shared" ref="AU710:AU773" si="172">AW710+AY710+BA710</f>
        <v>-105.7782732213791</v>
      </c>
      <c r="AV710" s="64">
        <f t="shared" ref="AV710:AV773" si="173">$K$22*(($K$18-AP710)/((BB710^2+$K$23^2)^(3/2)))</f>
        <v>906.01505738833634</v>
      </c>
      <c r="AW710" s="64">
        <f t="shared" ref="AW710:AW773" si="174">$K$22*(($L$18-AQ710)/((BB710^2+$K$23^2)^(3/2)))</f>
        <v>688.75447413956374</v>
      </c>
      <c r="AX710" s="64">
        <f t="shared" ref="AX710:AX773" si="175">$K$30*(($K$26-AP710)/((BC710^2+$K$31^2)^(3/2)))</f>
        <v>-172.90735213626851</v>
      </c>
      <c r="AY710" s="64">
        <f t="shared" ref="AY710:AY773" si="176">$K$30*(($L$26-AQ710)/((BC710^2+$K$31^2)^(3/2)))</f>
        <v>85.279996827992491</v>
      </c>
      <c r="AZ710" s="64">
        <f t="shared" ref="AZ710:AZ773" si="177">$K$38*(($K$34-AP710)/((BD710^2+$K$39^2)^(3/2)))</f>
        <v>-821.69204764181302</v>
      </c>
      <c r="BA710" s="64">
        <f t="shared" ref="BA710:BA773" si="178">$K$38*(($L$34-AQ710)/((BD710^2+$K$39^2)^(3/2)))</f>
        <v>-879.81274418893531</v>
      </c>
      <c r="BB710" s="65">
        <f t="shared" ref="BB710:BB773" si="179">SQRT(($K$18-AP710)^2+($L$18-AQ710)^2)</f>
        <v>17266.057892119094</v>
      </c>
      <c r="BC710" s="65">
        <f t="shared" ref="BC710:BC773" si="180">SQRT(($K$26-AP710)^2+($L$26-AQ710)^2)</f>
        <v>29274.442621624286</v>
      </c>
      <c r="BD710" s="66">
        <f t="shared" ref="BD710:BD773" si="181">SQRT(($K$34-AP710)^2+($L$34-AQ710)^2)</f>
        <v>16489.153837425787</v>
      </c>
    </row>
    <row r="711" spans="31:56" x14ac:dyDescent="0.25">
      <c r="AE711" s="71">
        <v>649</v>
      </c>
      <c r="AF711" s="17">
        <v>2.7017696820872223</v>
      </c>
      <c r="AG711" s="18">
        <v>-27485.200463212037</v>
      </c>
      <c r="AH711" s="20">
        <v>10470.928896469848</v>
      </c>
      <c r="AN711" s="23">
        <v>706</v>
      </c>
      <c r="AO711" s="58">
        <v>353</v>
      </c>
      <c r="AP711" s="45">
        <f t="shared" ref="AP711:AP774" si="182">AP710+AR710*$K$5+AT710*$K$5^2</f>
        <v>5551.8196205101704</v>
      </c>
      <c r="AQ711" s="45">
        <f t="shared" ref="AQ711:AQ774" si="183">AQ710+AS710*$K$5+AU710*$K$5^2</f>
        <v>-2435.7939615964397</v>
      </c>
      <c r="AR711" s="45">
        <f t="shared" ref="AR711:AR774" si="184">AR710+AT710*$K$5</f>
        <v>-1405.8713049411322</v>
      </c>
      <c r="AS711" s="45">
        <f t="shared" ref="AS711:AS774" si="185">AS710+AU710*$K$5</f>
        <v>1026.7376105293995</v>
      </c>
      <c r="AT711" s="45">
        <f t="shared" si="171"/>
        <v>-42.124181815153065</v>
      </c>
      <c r="AU711" s="45">
        <f t="shared" si="172"/>
        <v>-205.75524731770327</v>
      </c>
      <c r="AV711" s="64">
        <f t="shared" si="173"/>
        <v>919.74714745811116</v>
      </c>
      <c r="AW711" s="64">
        <f t="shared" si="174"/>
        <v>632.4961285008909</v>
      </c>
      <c r="AX711" s="64">
        <f t="shared" si="175"/>
        <v>-183.05842084440636</v>
      </c>
      <c r="AY711" s="64">
        <f t="shared" si="176"/>
        <v>89.09255146466927</v>
      </c>
      <c r="AZ711" s="64">
        <f t="shared" si="177"/>
        <v>-778.8129084288579</v>
      </c>
      <c r="BA711" s="64">
        <f t="shared" si="178"/>
        <v>-927.3439272832635</v>
      </c>
      <c r="BB711" s="65">
        <f t="shared" si="179"/>
        <v>17534.820156636084</v>
      </c>
      <c r="BC711" s="65">
        <f t="shared" si="180"/>
        <v>28417.326710554022</v>
      </c>
      <c r="BD711" s="66">
        <f t="shared" si="181"/>
        <v>16407.32064290937</v>
      </c>
    </row>
    <row r="712" spans="31:56" x14ac:dyDescent="0.25">
      <c r="AE712" s="71">
        <v>650</v>
      </c>
      <c r="AF712" s="17">
        <v>2.7646015351590183</v>
      </c>
      <c r="AG712" s="18">
        <v>-27500</v>
      </c>
      <c r="AH712" s="20">
        <v>9999.9999999999982</v>
      </c>
      <c r="AN712" s="23">
        <v>707</v>
      </c>
      <c r="AO712" s="58">
        <v>353.5</v>
      </c>
      <c r="AP712" s="45">
        <f t="shared" si="182"/>
        <v>4838.3529225858156</v>
      </c>
      <c r="AQ712" s="45">
        <f t="shared" si="183"/>
        <v>-1973.8639681611655</v>
      </c>
      <c r="AR712" s="45">
        <f t="shared" si="184"/>
        <v>-1426.9333958487086</v>
      </c>
      <c r="AS712" s="45">
        <f t="shared" si="185"/>
        <v>923.8599868705478</v>
      </c>
      <c r="AT712" s="45">
        <f t="shared" si="171"/>
        <v>-4.5018025939514246</v>
      </c>
      <c r="AU712" s="45">
        <f t="shared" si="172"/>
        <v>-301.72078970746873</v>
      </c>
      <c r="AV712" s="64">
        <f t="shared" si="173"/>
        <v>923.51886206210645</v>
      </c>
      <c r="AW712" s="64">
        <f t="shared" si="174"/>
        <v>577.06738763501028</v>
      </c>
      <c r="AX712" s="64">
        <f t="shared" si="175"/>
        <v>-193.74807002862505</v>
      </c>
      <c r="AY712" s="64">
        <f t="shared" si="176"/>
        <v>93.400437695971178</v>
      </c>
      <c r="AZ712" s="64">
        <f t="shared" si="177"/>
        <v>-734.2725946274328</v>
      </c>
      <c r="BA712" s="64">
        <f t="shared" si="178"/>
        <v>-972.18861503845017</v>
      </c>
      <c r="BB712" s="65">
        <f t="shared" si="179"/>
        <v>17878.188962735698</v>
      </c>
      <c r="BC712" s="65">
        <f t="shared" si="180"/>
        <v>27573.849826147882</v>
      </c>
      <c r="BD712" s="66">
        <f t="shared" si="181"/>
        <v>16324.013236619321</v>
      </c>
    </row>
    <row r="713" spans="31:56" x14ac:dyDescent="0.25">
      <c r="AE713" s="71">
        <v>651</v>
      </c>
      <c r="AF713" s="17">
        <v>2.8274333882308142</v>
      </c>
      <c r="AG713" s="18">
        <v>-27485.200463212037</v>
      </c>
      <c r="AH713" s="20">
        <v>9529.0711035301501</v>
      </c>
      <c r="AN713" s="23">
        <v>708</v>
      </c>
      <c r="AO713" s="58">
        <v>354</v>
      </c>
      <c r="AP713" s="45">
        <f t="shared" si="182"/>
        <v>4123.7607740129733</v>
      </c>
      <c r="AQ713" s="45">
        <f t="shared" si="183"/>
        <v>-1587.3641721527588</v>
      </c>
      <c r="AR713" s="45">
        <f t="shared" si="184"/>
        <v>-1429.1842971456845</v>
      </c>
      <c r="AS713" s="45">
        <f t="shared" si="185"/>
        <v>772.99959201681349</v>
      </c>
      <c r="AT713" s="45">
        <f t="shared" si="171"/>
        <v>22.397513306492669</v>
      </c>
      <c r="AU713" s="45">
        <f t="shared" si="172"/>
        <v>-391.4235868765843</v>
      </c>
      <c r="AV713" s="64">
        <f t="shared" si="173"/>
        <v>917.40050215378903</v>
      </c>
      <c r="AW713" s="64">
        <f t="shared" si="174"/>
        <v>525.10877016398672</v>
      </c>
      <c r="AX713" s="64">
        <f t="shared" si="175"/>
        <v>-204.67079062687213</v>
      </c>
      <c r="AY713" s="64">
        <f t="shared" si="176"/>
        <v>98.309505247240224</v>
      </c>
      <c r="AZ713" s="64">
        <f t="shared" si="177"/>
        <v>-690.33219822042417</v>
      </c>
      <c r="BA713" s="64">
        <f t="shared" si="178"/>
        <v>-1014.8418622878112</v>
      </c>
      <c r="BB713" s="65">
        <f t="shared" si="179"/>
        <v>18293.035821265283</v>
      </c>
      <c r="BC713" s="65">
        <f t="shared" si="180"/>
        <v>26762.34000120125</v>
      </c>
      <c r="BD713" s="66">
        <f t="shared" si="181"/>
        <v>16221.646356392723</v>
      </c>
    </row>
    <row r="714" spans="31:56" x14ac:dyDescent="0.25">
      <c r="AE714" s="71">
        <v>652</v>
      </c>
      <c r="AF714" s="17">
        <v>2.8902652413026098</v>
      </c>
      <c r="AG714" s="18">
        <v>-27440.860259858586</v>
      </c>
      <c r="AH714" s="20">
        <v>9060.0007482677174</v>
      </c>
      <c r="AN714" s="23">
        <v>709</v>
      </c>
      <c r="AO714" s="58">
        <v>354.5</v>
      </c>
      <c r="AP714" s="45">
        <f t="shared" si="182"/>
        <v>3414.7680037667542</v>
      </c>
      <c r="AQ714" s="45">
        <f t="shared" si="183"/>
        <v>-1298.7202728634982</v>
      </c>
      <c r="AR714" s="45">
        <f t="shared" si="184"/>
        <v>-1417.9855404924381</v>
      </c>
      <c r="AS714" s="45">
        <f t="shared" si="185"/>
        <v>577.28779857852135</v>
      </c>
      <c r="AT714" s="45">
        <f t="shared" si="171"/>
        <v>37.759475018364469</v>
      </c>
      <c r="AU714" s="45">
        <f t="shared" si="172"/>
        <v>-474.12728683489354</v>
      </c>
      <c r="AV714" s="64">
        <f t="shared" si="173"/>
        <v>902.2158229267352</v>
      </c>
      <c r="AW714" s="64">
        <f t="shared" si="174"/>
        <v>478.63934936132364</v>
      </c>
      <c r="AX714" s="64">
        <f t="shared" si="175"/>
        <v>-215.45385649757498</v>
      </c>
      <c r="AY714" s="64">
        <f t="shared" si="176"/>
        <v>103.96655887789095</v>
      </c>
      <c r="AZ714" s="64">
        <f t="shared" si="177"/>
        <v>-649.00249141079576</v>
      </c>
      <c r="BA714" s="64">
        <f t="shared" si="178"/>
        <v>-1056.7331950741082</v>
      </c>
      <c r="BB714" s="65">
        <f t="shared" si="179"/>
        <v>18774.647767907078</v>
      </c>
      <c r="BC714" s="65">
        <f t="shared" si="180"/>
        <v>25998.316108445099</v>
      </c>
      <c r="BD714" s="66">
        <f t="shared" si="181"/>
        <v>16078.973434845224</v>
      </c>
    </row>
    <row r="715" spans="31:56" x14ac:dyDescent="0.25">
      <c r="AE715" s="71">
        <v>653</v>
      </c>
      <c r="AF715" s="17">
        <v>2.9530970943744057</v>
      </c>
      <c r="AG715" s="18">
        <v>-27367.154380465166</v>
      </c>
      <c r="AH715" s="20">
        <v>8594.6401406070636</v>
      </c>
      <c r="AN715" s="23">
        <v>710</v>
      </c>
      <c r="AO715" s="58">
        <v>355</v>
      </c>
      <c r="AP715" s="45">
        <f t="shared" si="182"/>
        <v>2715.2151022751264</v>
      </c>
      <c r="AQ715" s="45">
        <f t="shared" si="183"/>
        <v>-1128.6081952829609</v>
      </c>
      <c r="AR715" s="45">
        <f t="shared" si="184"/>
        <v>-1399.1058029832559</v>
      </c>
      <c r="AS715" s="45">
        <f t="shared" si="185"/>
        <v>340.22415516107458</v>
      </c>
      <c r="AT715" s="45">
        <f t="shared" si="171"/>
        <v>41.666550182092465</v>
      </c>
      <c r="AU715" s="45">
        <f t="shared" si="172"/>
        <v>-550.62204711000402</v>
      </c>
      <c r="AV715" s="64">
        <f t="shared" si="173"/>
        <v>879.16937448481326</v>
      </c>
      <c r="AW715" s="64">
        <f t="shared" si="174"/>
        <v>438.88356809808897</v>
      </c>
      <c r="AX715" s="64">
        <f t="shared" si="175"/>
        <v>-225.65472481925352</v>
      </c>
      <c r="AY715" s="64">
        <f t="shared" si="176"/>
        <v>110.55246488404792</v>
      </c>
      <c r="AZ715" s="64">
        <f t="shared" si="177"/>
        <v>-611.84809948346731</v>
      </c>
      <c r="BA715" s="64">
        <f t="shared" si="178"/>
        <v>-1100.0580800921409</v>
      </c>
      <c r="BB715" s="65">
        <f t="shared" si="179"/>
        <v>19318.816432388452</v>
      </c>
      <c r="BC715" s="65">
        <f t="shared" si="180"/>
        <v>25294.800206895234</v>
      </c>
      <c r="BD715" s="66">
        <f t="shared" si="181"/>
        <v>15872.619653804635</v>
      </c>
    </row>
    <row r="716" spans="31:56" x14ac:dyDescent="0.25">
      <c r="AE716" s="71">
        <v>654</v>
      </c>
      <c r="AF716" s="17">
        <v>3.0159289474462017</v>
      </c>
      <c r="AG716" s="18">
        <v>-27264.373708464733</v>
      </c>
      <c r="AH716" s="20">
        <v>8134.8258462635877</v>
      </c>
      <c r="AN716" s="23">
        <v>711</v>
      </c>
      <c r="AO716" s="58">
        <v>355.5</v>
      </c>
      <c r="AP716" s="45">
        <f t="shared" si="182"/>
        <v>2026.0788383290217</v>
      </c>
      <c r="AQ716" s="45">
        <f t="shared" si="183"/>
        <v>-1096.1516294799246</v>
      </c>
      <c r="AR716" s="45">
        <f t="shared" si="184"/>
        <v>-1378.2725278922096</v>
      </c>
      <c r="AS716" s="45">
        <f t="shared" si="185"/>
        <v>64.913131606072568</v>
      </c>
      <c r="AT716" s="45">
        <f t="shared" si="171"/>
        <v>34.823097311411175</v>
      </c>
      <c r="AU716" s="45">
        <f t="shared" si="172"/>
        <v>-623.06922703796181</v>
      </c>
      <c r="AV716" s="64">
        <f t="shared" si="173"/>
        <v>849.50313622679926</v>
      </c>
      <c r="AW716" s="64">
        <f t="shared" si="174"/>
        <v>406.28072767430672</v>
      </c>
      <c r="AX716" s="64">
        <f t="shared" si="175"/>
        <v>-234.75319451033471</v>
      </c>
      <c r="AY716" s="64">
        <f t="shared" si="176"/>
        <v>118.26240434854822</v>
      </c>
      <c r="AZ716" s="64">
        <f t="shared" si="177"/>
        <v>-579.92684440505332</v>
      </c>
      <c r="BA716" s="64">
        <f t="shared" si="178"/>
        <v>-1147.6123590608167</v>
      </c>
      <c r="BB716" s="65">
        <f t="shared" si="179"/>
        <v>19923.746253226935</v>
      </c>
      <c r="BC716" s="65">
        <f t="shared" si="180"/>
        <v>24663.185722381757</v>
      </c>
      <c r="BD716" s="66">
        <f t="shared" si="181"/>
        <v>15578.279216679508</v>
      </c>
    </row>
    <row r="717" spans="31:56" x14ac:dyDescent="0.25">
      <c r="AE717" s="71">
        <v>655</v>
      </c>
      <c r="AF717" s="17">
        <v>3.0787608005179976</v>
      </c>
      <c r="AG717" s="18">
        <v>-27132.923872213651</v>
      </c>
      <c r="AH717" s="20">
        <v>7682.3725421878917</v>
      </c>
      <c r="AN717" s="23">
        <v>712</v>
      </c>
      <c r="AO717" s="58">
        <v>356</v>
      </c>
      <c r="AP717" s="45">
        <f t="shared" si="182"/>
        <v>1345.6483487107698</v>
      </c>
      <c r="AQ717" s="45">
        <f t="shared" si="183"/>
        <v>-1219.4623704363789</v>
      </c>
      <c r="AR717" s="45">
        <f t="shared" si="184"/>
        <v>-1360.8609792365041</v>
      </c>
      <c r="AS717" s="45">
        <f t="shared" si="185"/>
        <v>-246.62148191290834</v>
      </c>
      <c r="AT717" s="45">
        <f t="shared" si="171"/>
        <v>18.307673421434629</v>
      </c>
      <c r="AU717" s="45">
        <f t="shared" si="172"/>
        <v>-694.82633334040304</v>
      </c>
      <c r="AV717" s="64">
        <f t="shared" si="173"/>
        <v>814.2628502219136</v>
      </c>
      <c r="AW717" s="64">
        <f t="shared" si="174"/>
        <v>380.60471973913712</v>
      </c>
      <c r="AX717" s="64">
        <f t="shared" si="175"/>
        <v>-242.13690349328311</v>
      </c>
      <c r="AY717" s="64">
        <f t="shared" si="176"/>
        <v>127.2693072075721</v>
      </c>
      <c r="AZ717" s="64">
        <f t="shared" si="177"/>
        <v>-553.8182733071958</v>
      </c>
      <c r="BA717" s="64">
        <f t="shared" si="178"/>
        <v>-1202.7003602871123</v>
      </c>
      <c r="BB717" s="65">
        <f t="shared" si="179"/>
        <v>20591.596819076785</v>
      </c>
      <c r="BC717" s="65">
        <f t="shared" si="180"/>
        <v>24114.58146658276</v>
      </c>
      <c r="BD717" s="66">
        <f t="shared" si="181"/>
        <v>15171.370087283307</v>
      </c>
    </row>
    <row r="718" spans="31:56" x14ac:dyDescent="0.25">
      <c r="AE718" s="71">
        <v>656</v>
      </c>
      <c r="AF718" s="17">
        <v>3.1415926535897936</v>
      </c>
      <c r="AG718" s="18">
        <v>-26973.323644161886</v>
      </c>
      <c r="AH718" s="20">
        <v>7239.0658548649126</v>
      </c>
      <c r="AN718" s="23">
        <v>713</v>
      </c>
      <c r="AO718" s="58">
        <v>356.5</v>
      </c>
      <c r="AP718" s="45">
        <f t="shared" si="182"/>
        <v>669.79477744787641</v>
      </c>
      <c r="AQ718" s="45">
        <f t="shared" si="183"/>
        <v>-1516.4796947279337</v>
      </c>
      <c r="AR718" s="45">
        <f t="shared" si="184"/>
        <v>-1351.7071425257868</v>
      </c>
      <c r="AS718" s="45">
        <f t="shared" si="185"/>
        <v>-594.03464858310986</v>
      </c>
      <c r="AT718" s="45">
        <f t="shared" si="171"/>
        <v>-6.5566757911564082</v>
      </c>
      <c r="AU718" s="45">
        <f t="shared" si="172"/>
        <v>-770.34849880872787</v>
      </c>
      <c r="AV718" s="64">
        <f t="shared" si="173"/>
        <v>774.19419966062776</v>
      </c>
      <c r="AW718" s="64">
        <f t="shared" si="174"/>
        <v>361.11909835660674</v>
      </c>
      <c r="AX718" s="64">
        <f t="shared" si="175"/>
        <v>-247.08270178505902</v>
      </c>
      <c r="AY718" s="64">
        <f t="shared" si="176"/>
        <v>137.66575569152747</v>
      </c>
      <c r="AZ718" s="64">
        <f t="shared" si="177"/>
        <v>-533.66817366672512</v>
      </c>
      <c r="BA718" s="64">
        <f t="shared" si="178"/>
        <v>-1269.1333528568621</v>
      </c>
      <c r="BB718" s="65">
        <f t="shared" si="179"/>
        <v>21329.644629749986</v>
      </c>
      <c r="BC718" s="65">
        <f t="shared" si="180"/>
        <v>23661.566319685862</v>
      </c>
      <c r="BD718" s="66">
        <f t="shared" si="181"/>
        <v>14627.094470230897</v>
      </c>
    </row>
    <row r="719" spans="31:56" x14ac:dyDescent="0.25">
      <c r="AE719" s="71">
        <v>657</v>
      </c>
      <c r="AF719" s="17">
        <v>3.2044245066615891</v>
      </c>
      <c r="AG719" s="18">
        <v>-26786.202893495145</v>
      </c>
      <c r="AH719" s="20">
        <v>6806.6553132619556</v>
      </c>
      <c r="AN719" s="23">
        <v>714</v>
      </c>
      <c r="AO719" s="58">
        <v>357</v>
      </c>
      <c r="AP719" s="45">
        <f t="shared" si="182"/>
        <v>-7.6979627628060996</v>
      </c>
      <c r="AQ719" s="45">
        <f t="shared" si="183"/>
        <v>-2006.0841437216704</v>
      </c>
      <c r="AR719" s="45">
        <f t="shared" si="184"/>
        <v>-1354.9854804213651</v>
      </c>
      <c r="AS719" s="45">
        <f t="shared" si="185"/>
        <v>-979.20889798747385</v>
      </c>
      <c r="AT719" s="45">
        <f t="shared" si="171"/>
        <v>-38.150761781327105</v>
      </c>
      <c r="AU719" s="45">
        <f t="shared" si="172"/>
        <v>-855.16034896596989</v>
      </c>
      <c r="AV719" s="64">
        <f t="shared" si="173"/>
        <v>729.75047966375826</v>
      </c>
      <c r="AW719" s="64">
        <f t="shared" si="174"/>
        <v>346.72002128959645</v>
      </c>
      <c r="AX719" s="64">
        <f t="shared" si="175"/>
        <v>-248.74323591410982</v>
      </c>
      <c r="AY719" s="64">
        <f t="shared" si="176"/>
        <v>149.37910676839283</v>
      </c>
      <c r="AZ719" s="64">
        <f t="shared" si="177"/>
        <v>-519.15800553097552</v>
      </c>
      <c r="BA719" s="64">
        <f t="shared" si="178"/>
        <v>-1351.2594770239591</v>
      </c>
      <c r="BB719" s="65">
        <f t="shared" si="179"/>
        <v>22151.153773938266</v>
      </c>
      <c r="BC719" s="65">
        <f t="shared" si="180"/>
        <v>23320.33870281998</v>
      </c>
      <c r="BD719" s="66">
        <f t="shared" si="181"/>
        <v>13919.947159060772</v>
      </c>
    </row>
    <row r="720" spans="31:56" x14ac:dyDescent="0.25">
      <c r="AE720" s="71">
        <v>658</v>
      </c>
      <c r="AF720" s="17">
        <v>3.267256359733385</v>
      </c>
      <c r="AG720" s="18">
        <v>-26572.300100328976</v>
      </c>
      <c r="AH720" s="20">
        <v>6386.8474442371353</v>
      </c>
      <c r="AN720" s="23">
        <v>715</v>
      </c>
      <c r="AO720" s="58">
        <v>357.5</v>
      </c>
      <c r="AP720" s="45">
        <f t="shared" si="182"/>
        <v>-694.72839341882047</v>
      </c>
      <c r="AQ720" s="45">
        <f t="shared" si="183"/>
        <v>-2709.4786799568997</v>
      </c>
      <c r="AR720" s="45">
        <f t="shared" si="184"/>
        <v>-1374.0608613120287</v>
      </c>
      <c r="AS720" s="45">
        <f t="shared" si="185"/>
        <v>-1406.7890724704589</v>
      </c>
      <c r="AT720" s="45">
        <f t="shared" si="171"/>
        <v>-74.236430065982745</v>
      </c>
      <c r="AU720" s="45">
        <f t="shared" si="172"/>
        <v>-955.70201679459831</v>
      </c>
      <c r="AV720" s="64">
        <f t="shared" si="173"/>
        <v>681.18043158861713</v>
      </c>
      <c r="AW720" s="64">
        <f t="shared" si="174"/>
        <v>336.05162441848921</v>
      </c>
      <c r="AX720" s="64">
        <f t="shared" si="175"/>
        <v>-246.15869196945869</v>
      </c>
      <c r="AY720" s="64">
        <f t="shared" si="176"/>
        <v>162.05670198420771</v>
      </c>
      <c r="AZ720" s="64">
        <f t="shared" si="177"/>
        <v>-509.25816968514118</v>
      </c>
      <c r="BA720" s="64">
        <f t="shared" si="178"/>
        <v>-1453.8103431972952</v>
      </c>
      <c r="BB720" s="65">
        <f t="shared" si="179"/>
        <v>23076.07501707926</v>
      </c>
      <c r="BC720" s="65">
        <f t="shared" si="180"/>
        <v>23113.294012756996</v>
      </c>
      <c r="BD720" s="66">
        <f t="shared" si="181"/>
        <v>13022.759996439621</v>
      </c>
    </row>
    <row r="721" spans="31:56" x14ac:dyDescent="0.25">
      <c r="AE721" s="71">
        <v>659</v>
      </c>
      <c r="AF721" s="17">
        <v>3.330088212805181</v>
      </c>
      <c r="AG721" s="18">
        <v>-26332.459441265113</v>
      </c>
      <c r="AH721" s="20">
        <v>5981.2990376575244</v>
      </c>
      <c r="AN721" s="23">
        <v>716</v>
      </c>
      <c r="AO721" s="58">
        <v>358</v>
      </c>
      <c r="AP721" s="45">
        <f t="shared" si="182"/>
        <v>-1400.3179315913305</v>
      </c>
      <c r="AQ721" s="45">
        <f t="shared" si="183"/>
        <v>-3651.7987203907783</v>
      </c>
      <c r="AR721" s="45">
        <f t="shared" si="184"/>
        <v>-1411.1790763450201</v>
      </c>
      <c r="AS721" s="45">
        <f t="shared" si="185"/>
        <v>-1884.6400808677581</v>
      </c>
      <c r="AT721" s="45">
        <f t="shared" si="171"/>
        <v>-111.12669475031436</v>
      </c>
      <c r="AU721" s="45">
        <f t="shared" si="172"/>
        <v>-1078.3707300633814</v>
      </c>
      <c r="AV721" s="64">
        <f t="shared" si="173"/>
        <v>628.66778710781057</v>
      </c>
      <c r="AW721" s="64">
        <f t="shared" si="174"/>
        <v>327.60151724056476</v>
      </c>
      <c r="AX721" s="64">
        <f t="shared" si="175"/>
        <v>-238.32829758882716</v>
      </c>
      <c r="AY721" s="64">
        <f t="shared" si="176"/>
        <v>174.92825609004788</v>
      </c>
      <c r="AZ721" s="64">
        <f t="shared" si="177"/>
        <v>-501.4661842692978</v>
      </c>
      <c r="BA721" s="64">
        <f t="shared" si="178"/>
        <v>-1580.9005033939941</v>
      </c>
      <c r="BB721" s="65">
        <f t="shared" si="179"/>
        <v>24131.643588311566</v>
      </c>
      <c r="BC721" s="65">
        <f t="shared" si="180"/>
        <v>23072.056287811589</v>
      </c>
      <c r="BD721" s="66">
        <f t="shared" si="181"/>
        <v>11905.435030948987</v>
      </c>
    </row>
    <row r="722" spans="31:56" x14ac:dyDescent="0.25">
      <c r="AE722" s="71">
        <v>660</v>
      </c>
      <c r="AF722" s="17">
        <v>3.3929200658769769</v>
      </c>
      <c r="AG722" s="18">
        <v>-26067.627457812105</v>
      </c>
      <c r="AH722" s="20">
        <v>5591.6106078064495</v>
      </c>
      <c r="AN722" s="23">
        <v>717</v>
      </c>
      <c r="AO722" s="58">
        <v>358.5</v>
      </c>
      <c r="AP722" s="45">
        <f t="shared" si="182"/>
        <v>-2133.6891434514191</v>
      </c>
      <c r="AQ722" s="45">
        <f t="shared" si="183"/>
        <v>-4863.7114433405022</v>
      </c>
      <c r="AR722" s="45">
        <f t="shared" si="184"/>
        <v>-1466.7424237201774</v>
      </c>
      <c r="AS722" s="45">
        <f t="shared" si="185"/>
        <v>-2423.8254458994488</v>
      </c>
      <c r="AT722" s="45">
        <f t="shared" si="171"/>
        <v>-141.69032354658822</v>
      </c>
      <c r="AU722" s="45">
        <f t="shared" si="172"/>
        <v>-1225.640478950771</v>
      </c>
      <c r="AV722" s="64">
        <f t="shared" si="173"/>
        <v>572.50370647426234</v>
      </c>
      <c r="AW722" s="64">
        <f t="shared" si="174"/>
        <v>319.79624278697804</v>
      </c>
      <c r="AX722" s="64">
        <f t="shared" si="175"/>
        <v>-224.39098862824466</v>
      </c>
      <c r="AY722" s="64">
        <f t="shared" si="176"/>
        <v>186.6799997064665</v>
      </c>
      <c r="AZ722" s="64">
        <f t="shared" si="177"/>
        <v>-489.80304139260591</v>
      </c>
      <c r="BA722" s="64">
        <f t="shared" si="178"/>
        <v>-1732.1167214442155</v>
      </c>
      <c r="BB722" s="65">
        <f t="shared" si="179"/>
        <v>25352.742568667556</v>
      </c>
      <c r="BC722" s="65">
        <f t="shared" si="180"/>
        <v>23240.804235088708</v>
      </c>
      <c r="BD722" s="66">
        <f t="shared" si="181"/>
        <v>10533.75923544081</v>
      </c>
    </row>
    <row r="723" spans="31:56" x14ac:dyDescent="0.25">
      <c r="AE723" s="71">
        <v>661</v>
      </c>
      <c r="AF723" s="17">
        <v>3.4557519189487729</v>
      </c>
      <c r="AG723" s="18">
        <v>-25778.849320818419</v>
      </c>
      <c r="AH723" s="20">
        <v>5219.3200768848255</v>
      </c>
      <c r="AN723" s="23">
        <v>718</v>
      </c>
      <c r="AO723" s="58">
        <v>359</v>
      </c>
      <c r="AP723" s="45">
        <f t="shared" si="182"/>
        <v>-2902.4829361981551</v>
      </c>
      <c r="AQ723" s="45">
        <f t="shared" si="183"/>
        <v>-6382.0342860279197</v>
      </c>
      <c r="AR723" s="45">
        <f t="shared" si="184"/>
        <v>-1537.5875854934716</v>
      </c>
      <c r="AS723" s="45">
        <f t="shared" si="185"/>
        <v>-3036.6456853748341</v>
      </c>
      <c r="AT723" s="45">
        <f t="shared" si="171"/>
        <v>-150.54233333629105</v>
      </c>
      <c r="AU723" s="45">
        <f t="shared" si="172"/>
        <v>-1382.873781758683</v>
      </c>
      <c r="AV723" s="64">
        <f t="shared" si="173"/>
        <v>513.28795361539096</v>
      </c>
      <c r="AW723" s="64">
        <f t="shared" si="174"/>
        <v>311.12264074354579</v>
      </c>
      <c r="AX723" s="64">
        <f t="shared" si="175"/>
        <v>-203.96498747033806</v>
      </c>
      <c r="AY723" s="64">
        <f t="shared" si="176"/>
        <v>195.42962907535417</v>
      </c>
      <c r="AZ723" s="64">
        <f t="shared" si="177"/>
        <v>-459.86529948134392</v>
      </c>
      <c r="BA723" s="64">
        <f t="shared" si="178"/>
        <v>-1889.4260515775829</v>
      </c>
      <c r="BB723" s="65">
        <f t="shared" si="179"/>
        <v>26781.235978970468</v>
      </c>
      <c r="BC723" s="65">
        <f t="shared" si="180"/>
        <v>23679.023144876344</v>
      </c>
      <c r="BD723" s="66">
        <f t="shared" si="181"/>
        <v>8869.5496435917321</v>
      </c>
    </row>
    <row r="724" spans="31:56" x14ac:dyDescent="0.25">
      <c r="AE724" s="71">
        <v>662</v>
      </c>
      <c r="AF724" s="17">
        <v>3.5185837720205688</v>
      </c>
      <c r="AG724" s="18">
        <v>-25467.264705660586</v>
      </c>
      <c r="AH724" s="20">
        <v>4865.8967055348348</v>
      </c>
      <c r="AN724" s="23">
        <v>719</v>
      </c>
      <c r="AO724" s="58">
        <v>359.5</v>
      </c>
      <c r="AP724" s="45">
        <f t="shared" si="182"/>
        <v>-3708.9123122789638</v>
      </c>
      <c r="AQ724" s="45">
        <f t="shared" si="183"/>
        <v>-8246.0755741550074</v>
      </c>
      <c r="AR724" s="45">
        <f t="shared" si="184"/>
        <v>-1612.8587521616171</v>
      </c>
      <c r="AS724" s="45">
        <f t="shared" si="185"/>
        <v>-3728.0825762541754</v>
      </c>
      <c r="AT724" s="45">
        <f t="shared" si="171"/>
        <v>-103.67580511675936</v>
      </c>
      <c r="AU724" s="45">
        <f t="shared" si="172"/>
        <v>-1479.185402131478</v>
      </c>
      <c r="AV724" s="64">
        <f t="shared" si="173"/>
        <v>452.18000670434094</v>
      </c>
      <c r="AW724" s="64">
        <f t="shared" si="174"/>
        <v>300.31156490468589</v>
      </c>
      <c r="AX724" s="64">
        <f t="shared" si="175"/>
        <v>-177.65011015955841</v>
      </c>
      <c r="AY724" s="64">
        <f t="shared" si="176"/>
        <v>198.96874891732341</v>
      </c>
      <c r="AZ724" s="64">
        <f t="shared" si="177"/>
        <v>-378.20570166154192</v>
      </c>
      <c r="BA724" s="64">
        <f t="shared" si="178"/>
        <v>-1978.4657159534872</v>
      </c>
      <c r="BB724" s="65">
        <f t="shared" si="179"/>
        <v>28461.402267251942</v>
      </c>
      <c r="BC724" s="65">
        <f t="shared" si="180"/>
        <v>24460.556246880238</v>
      </c>
      <c r="BD724" s="66">
        <f t="shared" si="181"/>
        <v>6876.2200784595652</v>
      </c>
    </row>
    <row r="725" spans="31:56" x14ac:dyDescent="0.25">
      <c r="AE725" s="71">
        <v>663</v>
      </c>
      <c r="AF725" s="17">
        <v>3.5814156250923643</v>
      </c>
      <c r="AG725" s="18">
        <v>-25134.103294465163</v>
      </c>
      <c r="AH725" s="20">
        <v>4532.7352943394135</v>
      </c>
      <c r="AN725" s="23">
        <v>720</v>
      </c>
      <c r="AO725" s="58">
        <v>360</v>
      </c>
      <c r="AP725" s="45">
        <f t="shared" si="182"/>
        <v>-4541.2606396389619</v>
      </c>
      <c r="AQ725" s="45">
        <f t="shared" si="183"/>
        <v>-10479.913212814965</v>
      </c>
      <c r="AR725" s="45">
        <f t="shared" si="184"/>
        <v>-1664.6966547199968</v>
      </c>
      <c r="AS725" s="45">
        <f t="shared" si="185"/>
        <v>-4467.6752773199141</v>
      </c>
      <c r="AT725" s="45">
        <f t="shared" si="171"/>
        <v>62.427457539075078</v>
      </c>
      <c r="AU725" s="45">
        <f t="shared" si="172"/>
        <v>-1303.9360325664411</v>
      </c>
      <c r="AV725" s="64">
        <f t="shared" si="173"/>
        <v>391.25486745957483</v>
      </c>
      <c r="AW725" s="64">
        <f t="shared" si="174"/>
        <v>286.64903015015074</v>
      </c>
      <c r="AX725" s="64">
        <f t="shared" si="175"/>
        <v>-147.56036612086572</v>
      </c>
      <c r="AY725" s="64">
        <f t="shared" si="176"/>
        <v>195.48964642974306</v>
      </c>
      <c r="AZ725" s="64">
        <f t="shared" si="177"/>
        <v>-181.26704379963402</v>
      </c>
      <c r="BA725" s="64">
        <f t="shared" si="178"/>
        <v>-1786.074709146335</v>
      </c>
      <c r="BB725" s="65">
        <f t="shared" si="179"/>
        <v>30422.865626417421</v>
      </c>
      <c r="BC725" s="65">
        <f t="shared" si="180"/>
        <v>25659.295933754856</v>
      </c>
      <c r="BD725" s="66">
        <f t="shared" si="181"/>
        <v>4543.305664868828</v>
      </c>
    </row>
    <row r="726" spans="31:56" x14ac:dyDescent="0.25">
      <c r="AE726" s="71">
        <v>664</v>
      </c>
      <c r="AF726" s="17">
        <v>3.6442474781641603</v>
      </c>
      <c r="AG726" s="18">
        <v>-24780.679923115171</v>
      </c>
      <c r="AH726" s="20">
        <v>4221.15067918158</v>
      </c>
      <c r="AN726" s="23">
        <v>721</v>
      </c>
      <c r="AO726" s="58">
        <v>360.5</v>
      </c>
      <c r="AP726" s="45">
        <f t="shared" si="182"/>
        <v>-5358.0021026141922</v>
      </c>
      <c r="AQ726" s="45">
        <f t="shared" si="183"/>
        <v>-13039.734859616532</v>
      </c>
      <c r="AR726" s="45">
        <f t="shared" si="184"/>
        <v>-1633.4829259504593</v>
      </c>
      <c r="AS726" s="45">
        <f t="shared" si="185"/>
        <v>-5119.6432936031342</v>
      </c>
      <c r="AT726" s="45">
        <f t="shared" si="171"/>
        <v>393.27432981071752</v>
      </c>
      <c r="AU726" s="45">
        <f t="shared" si="172"/>
        <v>-512.79784863134489</v>
      </c>
      <c r="AV726" s="64">
        <f t="shared" si="173"/>
        <v>333.94555474487061</v>
      </c>
      <c r="AW726" s="64">
        <f t="shared" si="174"/>
        <v>270.49264860263105</v>
      </c>
      <c r="AX726" s="64">
        <f t="shared" si="175"/>
        <v>-117.48540454571696</v>
      </c>
      <c r="AY726" s="64">
        <f t="shared" si="176"/>
        <v>184.86770655057839</v>
      </c>
      <c r="AZ726" s="64">
        <f t="shared" si="177"/>
        <v>176.81417961156387</v>
      </c>
      <c r="BA726" s="64">
        <f t="shared" si="178"/>
        <v>-968.1582037845543</v>
      </c>
      <c r="BB726" s="65">
        <f t="shared" si="179"/>
        <v>32632.943151660904</v>
      </c>
      <c r="BC726" s="65">
        <f t="shared" si="180"/>
        <v>27298.671850998166</v>
      </c>
      <c r="BD726" s="66">
        <f t="shared" si="181"/>
        <v>1992.6878646889984</v>
      </c>
    </row>
    <row r="727" spans="31:56" x14ac:dyDescent="0.25">
      <c r="AE727" s="71">
        <v>665</v>
      </c>
      <c r="AF727" s="17">
        <v>3.7070793312359562</v>
      </c>
      <c r="AG727" s="18">
        <v>-24408.389392193549</v>
      </c>
      <c r="AH727" s="20">
        <v>3932.3725421878953</v>
      </c>
      <c r="AN727" s="23">
        <v>722</v>
      </c>
      <c r="AO727" s="58">
        <v>361</v>
      </c>
      <c r="AP727" s="45">
        <f t="shared" si="182"/>
        <v>-6076.4249831367424</v>
      </c>
      <c r="AQ727" s="45">
        <f t="shared" si="183"/>
        <v>-15727.755968575935</v>
      </c>
      <c r="AR727" s="45">
        <f t="shared" si="184"/>
        <v>-1436.8457610451005</v>
      </c>
      <c r="AS727" s="45">
        <f t="shared" si="185"/>
        <v>-5376.0422179188063</v>
      </c>
      <c r="AT727" s="45">
        <f t="shared" si="171"/>
        <v>742.61354181185823</v>
      </c>
      <c r="AU727" s="45">
        <f t="shared" si="172"/>
        <v>795.11753693232367</v>
      </c>
      <c r="AV727" s="64">
        <f t="shared" si="173"/>
        <v>284.8579478956886</v>
      </c>
      <c r="AW727" s="64">
        <f t="shared" si="174"/>
        <v>253.73918793351629</v>
      </c>
      <c r="AX727" s="64">
        <f t="shared" si="175"/>
        <v>-91.881185084032239</v>
      </c>
      <c r="AY727" s="64">
        <f t="shared" si="176"/>
        <v>169.77656277806202</v>
      </c>
      <c r="AZ727" s="64">
        <f t="shared" si="177"/>
        <v>549.63677900020184</v>
      </c>
      <c r="BA727" s="64">
        <f t="shared" si="178"/>
        <v>371.60178622074534</v>
      </c>
      <c r="BB727" s="65">
        <f t="shared" si="179"/>
        <v>34921.463131387733</v>
      </c>
      <c r="BC727" s="65">
        <f t="shared" si="180"/>
        <v>29253.775285060445</v>
      </c>
      <c r="BD727" s="66">
        <f t="shared" si="181"/>
        <v>1299.3534908248926</v>
      </c>
    </row>
    <row r="728" spans="31:56" x14ac:dyDescent="0.25">
      <c r="AE728" s="71">
        <v>666</v>
      </c>
      <c r="AF728" s="17">
        <v>3.7699111843077522</v>
      </c>
      <c r="AG728" s="18">
        <v>-24018.700962342471</v>
      </c>
      <c r="AH728" s="20">
        <v>3667.5405587348851</v>
      </c>
      <c r="AN728" s="23">
        <v>723</v>
      </c>
      <c r="AO728" s="58">
        <v>361.5</v>
      </c>
      <c r="AP728" s="45">
        <f t="shared" si="182"/>
        <v>-6609.1944782063283</v>
      </c>
      <c r="AQ728" s="45">
        <f t="shared" si="183"/>
        <v>-18216.997693302259</v>
      </c>
      <c r="AR728" s="45">
        <f t="shared" si="184"/>
        <v>-1065.5389901391713</v>
      </c>
      <c r="AS728" s="45">
        <f t="shared" si="185"/>
        <v>-4978.483449452644</v>
      </c>
      <c r="AT728" s="45">
        <f t="shared" si="171"/>
        <v>876.02497831137441</v>
      </c>
      <c r="AU728" s="45">
        <f t="shared" si="172"/>
        <v>1797.0073371172257</v>
      </c>
      <c r="AV728" s="64">
        <f t="shared" si="173"/>
        <v>247.35144064057374</v>
      </c>
      <c r="AW728" s="64">
        <f t="shared" si="174"/>
        <v>239.05783520048203</v>
      </c>
      <c r="AX728" s="64">
        <f t="shared" si="175"/>
        <v>-73.337055543038474</v>
      </c>
      <c r="AY728" s="64">
        <f t="shared" si="176"/>
        <v>154.53525359050323</v>
      </c>
      <c r="AZ728" s="64">
        <f t="shared" si="177"/>
        <v>702.01059321383912</v>
      </c>
      <c r="BA728" s="64">
        <f t="shared" si="178"/>
        <v>1403.4142483262406</v>
      </c>
      <c r="BB728" s="65">
        <f t="shared" si="179"/>
        <v>37005.583377867726</v>
      </c>
      <c r="BC728" s="65">
        <f t="shared" si="180"/>
        <v>31233.197584402482</v>
      </c>
      <c r="BD728" s="66">
        <f t="shared" si="181"/>
        <v>3597.0239125423941</v>
      </c>
    </row>
    <row r="729" spans="31:56" x14ac:dyDescent="0.25">
      <c r="AE729" s="71">
        <v>667</v>
      </c>
      <c r="AF729" s="17">
        <v>3.8327430373795481</v>
      </c>
      <c r="AG729" s="18">
        <v>-23613.152555762863</v>
      </c>
      <c r="AH729" s="20">
        <v>3427.6998996710236</v>
      </c>
      <c r="AN729" s="23">
        <v>724</v>
      </c>
      <c r="AO729" s="58">
        <v>362</v>
      </c>
      <c r="AP729" s="45">
        <f t="shared" si="182"/>
        <v>-6922.9577286980702</v>
      </c>
      <c r="AQ729" s="45">
        <f t="shared" si="183"/>
        <v>-20256.987583749273</v>
      </c>
      <c r="AR729" s="45">
        <f t="shared" si="184"/>
        <v>-627.52650098348408</v>
      </c>
      <c r="AS729" s="45">
        <f t="shared" si="185"/>
        <v>-4079.9797808940311</v>
      </c>
      <c r="AT729" s="45">
        <f t="shared" si="171"/>
        <v>828.82434916241289</v>
      </c>
      <c r="AU729" s="45">
        <f t="shared" si="172"/>
        <v>2198.9304280719739</v>
      </c>
      <c r="AV729" s="64">
        <f t="shared" si="173"/>
        <v>221.23787179426469</v>
      </c>
      <c r="AW729" s="64">
        <f t="shared" si="174"/>
        <v>228.09146462770445</v>
      </c>
      <c r="AX729" s="64">
        <f t="shared" si="175"/>
        <v>-61.379707393919595</v>
      </c>
      <c r="AY729" s="64">
        <f t="shared" si="176"/>
        <v>142.01720893627518</v>
      </c>
      <c r="AZ729" s="64">
        <f t="shared" si="177"/>
        <v>668.96618476206777</v>
      </c>
      <c r="BA729" s="64">
        <f t="shared" si="178"/>
        <v>1828.8217545079942</v>
      </c>
      <c r="BB729" s="65">
        <f t="shared" si="179"/>
        <v>38669.057560091562</v>
      </c>
      <c r="BC729" s="65">
        <f t="shared" si="180"/>
        <v>32962.013473217543</v>
      </c>
      <c r="BD729" s="66">
        <f t="shared" si="181"/>
        <v>5597.649942793284</v>
      </c>
    </row>
    <row r="730" spans="31:56" x14ac:dyDescent="0.25">
      <c r="AE730" s="71">
        <v>668</v>
      </c>
      <c r="AF730" s="17">
        <v>3.8955748904513436</v>
      </c>
      <c r="AG730" s="18">
        <v>-23193.344686738041</v>
      </c>
      <c r="AH730" s="20">
        <v>3213.7971065048514</v>
      </c>
      <c r="AN730" s="23">
        <v>725</v>
      </c>
      <c r="AO730" s="58">
        <v>362.5</v>
      </c>
      <c r="AP730" s="45">
        <f t="shared" si="182"/>
        <v>-7029.514891899209</v>
      </c>
      <c r="AQ730" s="45">
        <f t="shared" si="183"/>
        <v>-21747.244867178295</v>
      </c>
      <c r="AR730" s="45">
        <f t="shared" si="184"/>
        <v>-213.11432640227764</v>
      </c>
      <c r="AS730" s="45">
        <f t="shared" si="185"/>
        <v>-2980.5145668580444</v>
      </c>
      <c r="AT730" s="45">
        <f t="shared" si="171"/>
        <v>730.60905884055228</v>
      </c>
      <c r="AU730" s="45">
        <f t="shared" si="172"/>
        <v>2284.0709612052192</v>
      </c>
      <c r="AV730" s="64">
        <f t="shared" si="173"/>
        <v>204.43349848110444</v>
      </c>
      <c r="AW730" s="64">
        <f t="shared" si="174"/>
        <v>221.20695147668872</v>
      </c>
      <c r="AX730" s="64">
        <f t="shared" si="175"/>
        <v>-54.322589460678742</v>
      </c>
      <c r="AY730" s="64">
        <f t="shared" si="176"/>
        <v>132.96284102359925</v>
      </c>
      <c r="AZ730" s="64">
        <f t="shared" si="177"/>
        <v>580.49814982012651</v>
      </c>
      <c r="BA730" s="64">
        <f t="shared" si="178"/>
        <v>1929.9011687049313</v>
      </c>
      <c r="BB730" s="65">
        <f t="shared" si="179"/>
        <v>39824.565378822255</v>
      </c>
      <c r="BC730" s="65">
        <f t="shared" si="180"/>
        <v>34294.621161284798</v>
      </c>
      <c r="BD730" s="66">
        <f t="shared" si="181"/>
        <v>7045.8671570009401</v>
      </c>
    </row>
    <row r="731" spans="31:56" x14ac:dyDescent="0.25">
      <c r="AE731" s="71">
        <v>669</v>
      </c>
      <c r="AF731" s="17">
        <v>3.9584067435231396</v>
      </c>
      <c r="AG731" s="18">
        <v>-22760.934145135085</v>
      </c>
      <c r="AH731" s="20">
        <v>3026.6763558381144</v>
      </c>
      <c r="AN731" s="23">
        <v>726</v>
      </c>
      <c r="AO731" s="58">
        <v>363</v>
      </c>
      <c r="AP731" s="45">
        <f t="shared" si="182"/>
        <v>-6953.4197903902095</v>
      </c>
      <c r="AQ731" s="45">
        <f t="shared" si="183"/>
        <v>-22666.484410306013</v>
      </c>
      <c r="AR731" s="45">
        <f t="shared" si="184"/>
        <v>152.1902030179985</v>
      </c>
      <c r="AS731" s="45">
        <f t="shared" si="185"/>
        <v>-1838.4790862554348</v>
      </c>
      <c r="AT731" s="45">
        <f t="shared" si="171"/>
        <v>637.58419941319414</v>
      </c>
      <c r="AU731" s="45">
        <f t="shared" si="172"/>
        <v>2281.6477999812132</v>
      </c>
      <c r="AV731" s="64">
        <f t="shared" si="173"/>
        <v>195.02889410135782</v>
      </c>
      <c r="AW731" s="64">
        <f t="shared" si="174"/>
        <v>218.27790830332549</v>
      </c>
      <c r="AX731" s="64">
        <f t="shared" si="175"/>
        <v>-50.789006413313182</v>
      </c>
      <c r="AY731" s="64">
        <f t="shared" si="176"/>
        <v>127.16729285068712</v>
      </c>
      <c r="AZ731" s="64">
        <f t="shared" si="177"/>
        <v>493.34431172514951</v>
      </c>
      <c r="BA731" s="64">
        <f t="shared" si="178"/>
        <v>1936.2025988272005</v>
      </c>
      <c r="BB731" s="65">
        <f t="shared" si="179"/>
        <v>40453.721955763656</v>
      </c>
      <c r="BC731" s="65">
        <f t="shared" si="180"/>
        <v>35175.45250447459</v>
      </c>
      <c r="BD731" s="66">
        <f t="shared" si="181"/>
        <v>7911.4367905553836</v>
      </c>
    </row>
    <row r="732" spans="31:56" x14ac:dyDescent="0.25">
      <c r="AE732" s="71">
        <v>670</v>
      </c>
      <c r="AF732" s="17">
        <v>4.0212385965949355</v>
      </c>
      <c r="AG732" s="18">
        <v>-22317.627457812108</v>
      </c>
      <c r="AH732" s="20">
        <v>2867.0761277863485</v>
      </c>
      <c r="AN732" s="23">
        <v>727</v>
      </c>
      <c r="AO732" s="58">
        <v>363.5</v>
      </c>
      <c r="AP732" s="45">
        <f t="shared" si="182"/>
        <v>-6717.9286390279112</v>
      </c>
      <c r="AQ732" s="45">
        <f t="shared" si="183"/>
        <v>-23015.312003438426</v>
      </c>
      <c r="AR732" s="45">
        <f t="shared" si="184"/>
        <v>470.98230272459557</v>
      </c>
      <c r="AS732" s="45">
        <f t="shared" si="185"/>
        <v>-697.65518626482822</v>
      </c>
      <c r="AT732" s="45">
        <f t="shared" si="171"/>
        <v>557.97730017418519</v>
      </c>
      <c r="AU732" s="45">
        <f t="shared" si="172"/>
        <v>2284.7032550901954</v>
      </c>
      <c r="AV732" s="64">
        <f t="shared" si="173"/>
        <v>191.90943341758836</v>
      </c>
      <c r="AW732" s="64">
        <f t="shared" si="174"/>
        <v>219.18526380770621</v>
      </c>
      <c r="AX732" s="64">
        <f t="shared" si="175"/>
        <v>-49.998823772123608</v>
      </c>
      <c r="AY732" s="64">
        <f t="shared" si="176"/>
        <v>124.28232929782885</v>
      </c>
      <c r="AZ732" s="64">
        <f t="shared" si="177"/>
        <v>416.06669052872041</v>
      </c>
      <c r="BA732" s="64">
        <f t="shared" si="178"/>
        <v>1941.2356619846603</v>
      </c>
      <c r="BB732" s="65">
        <f t="shared" si="179"/>
        <v>40558.993792097222</v>
      </c>
      <c r="BC732" s="65">
        <f t="shared" si="180"/>
        <v>35586.854965314655</v>
      </c>
      <c r="BD732" s="66">
        <f t="shared" si="181"/>
        <v>8197.34745641884</v>
      </c>
    </row>
    <row r="733" spans="31:56" x14ac:dyDescent="0.25">
      <c r="AE733" s="71">
        <v>671</v>
      </c>
      <c r="AF733" s="17">
        <v>4.0840704496667311</v>
      </c>
      <c r="AG733" s="18">
        <v>-21865.174153736407</v>
      </c>
      <c r="AH733" s="20">
        <v>2735.6262915352663</v>
      </c>
      <c r="AN733" s="23">
        <v>728</v>
      </c>
      <c r="AO733" s="58">
        <v>364</v>
      </c>
      <c r="AP733" s="45">
        <f t="shared" si="182"/>
        <v>-6342.9431626220676</v>
      </c>
      <c r="AQ733" s="45">
        <f t="shared" si="183"/>
        <v>-22792.963782798292</v>
      </c>
      <c r="AR733" s="45">
        <f t="shared" si="184"/>
        <v>749.97095281168822</v>
      </c>
      <c r="AS733" s="45">
        <f t="shared" si="185"/>
        <v>444.69644128026948</v>
      </c>
      <c r="AT733" s="45">
        <f t="shared" si="171"/>
        <v>482.45167175054598</v>
      </c>
      <c r="AU733" s="45">
        <f t="shared" si="172"/>
        <v>2317.2591741427523</v>
      </c>
      <c r="AV733" s="64">
        <f t="shared" si="173"/>
        <v>194.78434725289668</v>
      </c>
      <c r="AW733" s="64">
        <f t="shared" si="174"/>
        <v>223.99149329526486</v>
      </c>
      <c r="AX733" s="64">
        <f t="shared" si="175"/>
        <v>-51.677162237557638</v>
      </c>
      <c r="AY733" s="64">
        <f t="shared" si="176"/>
        <v>124.08583561107746</v>
      </c>
      <c r="AZ733" s="64">
        <f t="shared" si="177"/>
        <v>339.34448673520694</v>
      </c>
      <c r="BA733" s="64">
        <f t="shared" si="178"/>
        <v>1969.18184523641</v>
      </c>
      <c r="BB733" s="65">
        <f t="shared" si="179"/>
        <v>40144.916355811052</v>
      </c>
      <c r="BC733" s="65">
        <f t="shared" si="180"/>
        <v>35523.142810276404</v>
      </c>
      <c r="BD733" s="66">
        <f t="shared" si="181"/>
        <v>7907.8303508635809</v>
      </c>
    </row>
    <row r="734" spans="31:56" x14ac:dyDescent="0.25">
      <c r="AE734" s="71">
        <v>672</v>
      </c>
      <c r="AF734" s="17">
        <v>4.1469023027385274</v>
      </c>
      <c r="AG734" s="18">
        <v>-21405.359859392935</v>
      </c>
      <c r="AH734" s="20">
        <v>2632.8456195348344</v>
      </c>
      <c r="AN734" s="23">
        <v>729</v>
      </c>
      <c r="AO734" s="58">
        <v>364.5</v>
      </c>
      <c r="AP734" s="45">
        <f t="shared" si="182"/>
        <v>-5847.3447682785863</v>
      </c>
      <c r="AQ734" s="45">
        <f t="shared" si="183"/>
        <v>-21991.30076862247</v>
      </c>
      <c r="AR734" s="45">
        <f t="shared" si="184"/>
        <v>991.19678868696121</v>
      </c>
      <c r="AS734" s="45">
        <f t="shared" si="185"/>
        <v>1603.3260283516456</v>
      </c>
      <c r="AT734" s="45">
        <f t="shared" si="171"/>
        <v>390.68311374892943</v>
      </c>
      <c r="AU734" s="45">
        <f t="shared" si="172"/>
        <v>2360.1719228519228</v>
      </c>
      <c r="AV734" s="64">
        <f t="shared" si="173"/>
        <v>204.18060505976973</v>
      </c>
      <c r="AW734" s="64">
        <f t="shared" si="174"/>
        <v>232.96596570828419</v>
      </c>
      <c r="AX734" s="64">
        <f t="shared" si="175"/>
        <v>-55.978419223333056</v>
      </c>
      <c r="AY734" s="64">
        <f t="shared" si="176"/>
        <v>126.53614580476602</v>
      </c>
      <c r="AZ734" s="64">
        <f t="shared" si="177"/>
        <v>242.48092791249275</v>
      </c>
      <c r="BA734" s="64">
        <f t="shared" si="178"/>
        <v>2000.6698113388727</v>
      </c>
      <c r="BB734" s="65">
        <f t="shared" si="179"/>
        <v>39215.074303073947</v>
      </c>
      <c r="BC734" s="65">
        <f t="shared" si="180"/>
        <v>34982.009304447281</v>
      </c>
      <c r="BD734" s="66">
        <f t="shared" si="181"/>
        <v>7042.4626086100188</v>
      </c>
    </row>
    <row r="735" spans="31:56" x14ac:dyDescent="0.25">
      <c r="AE735" s="71">
        <v>673</v>
      </c>
      <c r="AF735" s="17">
        <v>4.209734155810323</v>
      </c>
      <c r="AG735" s="18">
        <v>-20939.999251732279</v>
      </c>
      <c r="AH735" s="20">
        <v>2559.139740141416</v>
      </c>
      <c r="AN735" s="23">
        <v>730</v>
      </c>
      <c r="AO735" s="58">
        <v>365</v>
      </c>
      <c r="AP735" s="45">
        <f t="shared" si="182"/>
        <v>-5254.075595497874</v>
      </c>
      <c r="AQ735" s="45">
        <f t="shared" si="183"/>
        <v>-20599.594773733668</v>
      </c>
      <c r="AR735" s="45">
        <f t="shared" si="184"/>
        <v>1186.538345561426</v>
      </c>
      <c r="AS735" s="45">
        <f t="shared" si="185"/>
        <v>2783.4119897776072</v>
      </c>
      <c r="AT735" s="45">
        <f t="shared" si="171"/>
        <v>246.33798986567734</v>
      </c>
      <c r="AU735" s="45">
        <f t="shared" si="172"/>
        <v>2324.317852172112</v>
      </c>
      <c r="AV735" s="64">
        <f t="shared" si="173"/>
        <v>221.52353488201629</v>
      </c>
      <c r="AW735" s="64">
        <f t="shared" si="174"/>
        <v>246.48384137011985</v>
      </c>
      <c r="AX735" s="64">
        <f t="shared" si="175"/>
        <v>-63.487292979876294</v>
      </c>
      <c r="AY735" s="64">
        <f t="shared" si="176"/>
        <v>131.74388971317344</v>
      </c>
      <c r="AZ735" s="64">
        <f t="shared" si="177"/>
        <v>88.301747963537338</v>
      </c>
      <c r="BA735" s="64">
        <f t="shared" si="178"/>
        <v>1946.0901210888185</v>
      </c>
      <c r="BB735" s="65">
        <f t="shared" si="179"/>
        <v>37780.359456087259</v>
      </c>
      <c r="BC735" s="65">
        <f t="shared" si="180"/>
        <v>33967.300258631098</v>
      </c>
      <c r="BD735" s="66">
        <f t="shared" si="181"/>
        <v>5605.3560135153784</v>
      </c>
    </row>
    <row r="736" spans="31:56" x14ac:dyDescent="0.25">
      <c r="AE736" s="71">
        <v>674</v>
      </c>
      <c r="AF736" s="17">
        <v>4.2725660088821193</v>
      </c>
      <c r="AG736" s="18">
        <v>-20470.92889646985</v>
      </c>
      <c r="AH736" s="20">
        <v>2514.799536787963</v>
      </c>
      <c r="AN736" s="23">
        <v>731</v>
      </c>
      <c r="AO736" s="58">
        <v>365.5</v>
      </c>
      <c r="AP736" s="45">
        <f t="shared" si="182"/>
        <v>-4599.2219252507412</v>
      </c>
      <c r="AQ736" s="45">
        <f t="shared" si="183"/>
        <v>-18626.809315801835</v>
      </c>
      <c r="AR736" s="45">
        <f t="shared" si="184"/>
        <v>1309.7073404942646</v>
      </c>
      <c r="AS736" s="45">
        <f t="shared" si="185"/>
        <v>3945.5709158636632</v>
      </c>
      <c r="AT736" s="45">
        <f t="shared" si="171"/>
        <v>-5.0078441995196954E-2</v>
      </c>
      <c r="AU736" s="45">
        <f t="shared" si="172"/>
        <v>1978.7899344017042</v>
      </c>
      <c r="AV736" s="64">
        <f t="shared" si="173"/>
        <v>249.15043102241953</v>
      </c>
      <c r="AW736" s="64">
        <f t="shared" si="174"/>
        <v>264.62242676020088</v>
      </c>
      <c r="AX736" s="64">
        <f t="shared" si="175"/>
        <v>-75.230214179574176</v>
      </c>
      <c r="AY736" s="64">
        <f t="shared" si="176"/>
        <v>139.83715534714403</v>
      </c>
      <c r="AZ736" s="64">
        <f t="shared" si="177"/>
        <v>-173.97029528484055</v>
      </c>
      <c r="BA736" s="64">
        <f t="shared" si="178"/>
        <v>1574.3303522943593</v>
      </c>
      <c r="BB736" s="65">
        <f t="shared" si="179"/>
        <v>35884.981320212588</v>
      </c>
      <c r="BC736" s="65">
        <f t="shared" si="180"/>
        <v>32506.58666964214</v>
      </c>
      <c r="BD736" s="66">
        <f t="shared" si="181"/>
        <v>3648.8859777179518</v>
      </c>
    </row>
    <row r="737" spans="31:56" x14ac:dyDescent="0.25">
      <c r="AE737" s="71">
        <v>675</v>
      </c>
      <c r="AF737" s="17">
        <v>4.3353978619539149</v>
      </c>
      <c r="AG737" s="18">
        <v>-20000</v>
      </c>
      <c r="AH737" s="20">
        <v>2500</v>
      </c>
      <c r="AN737" s="23">
        <v>732</v>
      </c>
      <c r="AO737" s="58">
        <v>366</v>
      </c>
      <c r="AP737" s="45">
        <f t="shared" si="182"/>
        <v>-3944.3807746141074</v>
      </c>
      <c r="AQ737" s="45">
        <f t="shared" si="183"/>
        <v>-16159.326374269578</v>
      </c>
      <c r="AR737" s="45">
        <f t="shared" si="184"/>
        <v>1309.6823012732671</v>
      </c>
      <c r="AS737" s="45">
        <f t="shared" si="185"/>
        <v>4934.9658830645149</v>
      </c>
      <c r="AT737" s="45">
        <f t="shared" si="171"/>
        <v>-335.82557659936191</v>
      </c>
      <c r="AU737" s="45">
        <f t="shared" si="172"/>
        <v>1021.9709987178361</v>
      </c>
      <c r="AV737" s="64">
        <f t="shared" si="173"/>
        <v>289.53850026359453</v>
      </c>
      <c r="AW737" s="64">
        <f t="shared" si="174"/>
        <v>286.0915861693785</v>
      </c>
      <c r="AX737" s="64">
        <f t="shared" si="175"/>
        <v>-92.416180375662577</v>
      </c>
      <c r="AY737" s="64">
        <f t="shared" si="176"/>
        <v>150.57314145118059</v>
      </c>
      <c r="AZ737" s="64">
        <f t="shared" si="177"/>
        <v>-532.94789648729386</v>
      </c>
      <c r="BA737" s="64">
        <f t="shared" si="178"/>
        <v>585.30627109727698</v>
      </c>
      <c r="BB737" s="65">
        <f t="shared" si="179"/>
        <v>33661.507618701777</v>
      </c>
      <c r="BC737" s="65">
        <f t="shared" si="180"/>
        <v>30693.537838869881</v>
      </c>
      <c r="BD737" s="66">
        <f t="shared" si="181"/>
        <v>1567.9188726083239</v>
      </c>
    </row>
    <row r="738" spans="31:56" x14ac:dyDescent="0.25">
      <c r="AE738" s="71">
        <v>676</v>
      </c>
      <c r="AF738" s="17">
        <v>4.3982297150257104</v>
      </c>
      <c r="AG738" s="18">
        <v>-19529.071103530147</v>
      </c>
      <c r="AH738" s="20">
        <v>2514.799536787963</v>
      </c>
      <c r="AN738" s="23">
        <v>733</v>
      </c>
      <c r="AO738" s="58">
        <v>366.5</v>
      </c>
      <c r="AP738" s="45">
        <f t="shared" si="182"/>
        <v>-3373.4960181273141</v>
      </c>
      <c r="AQ738" s="45">
        <f t="shared" si="183"/>
        <v>-13436.350683057863</v>
      </c>
      <c r="AR738" s="45">
        <f t="shared" si="184"/>
        <v>1141.7695129735862</v>
      </c>
      <c r="AS738" s="45">
        <f t="shared" si="185"/>
        <v>5445.9513824234327</v>
      </c>
      <c r="AT738" s="45">
        <f t="shared" si="171"/>
        <v>-563.33786668997595</v>
      </c>
      <c r="AU738" s="45">
        <f t="shared" si="172"/>
        <v>-290.38477719400043</v>
      </c>
      <c r="AV738" s="64">
        <f t="shared" si="173"/>
        <v>342.5998816846639</v>
      </c>
      <c r="AW738" s="64">
        <f t="shared" si="174"/>
        <v>306.87712532867988</v>
      </c>
      <c r="AX738" s="64">
        <f t="shared" si="175"/>
        <v>-115.42573105296279</v>
      </c>
      <c r="AY738" s="64">
        <f t="shared" si="176"/>
        <v>162.70154650399743</v>
      </c>
      <c r="AZ738" s="64">
        <f t="shared" si="177"/>
        <v>-790.51201732167704</v>
      </c>
      <c r="BA738" s="64">
        <f t="shared" si="178"/>
        <v>-759.96344902667772</v>
      </c>
      <c r="BB738" s="65">
        <f t="shared" si="179"/>
        <v>31379.150658253813</v>
      </c>
      <c r="BC738" s="65">
        <f t="shared" si="180"/>
        <v>28735.051209254791</v>
      </c>
      <c r="BD738" s="66">
        <f t="shared" si="181"/>
        <v>2256.2168312069025</v>
      </c>
    </row>
    <row r="739" spans="31:56" x14ac:dyDescent="0.25">
      <c r="AE739" s="71">
        <v>677</v>
      </c>
      <c r="AF739" s="17">
        <v>4.4610615680975068</v>
      </c>
      <c r="AG739" s="18">
        <v>-19060.000748267717</v>
      </c>
      <c r="AH739" s="20">
        <v>2559.139740141416</v>
      </c>
      <c r="AN739" s="23">
        <v>734</v>
      </c>
      <c r="AO739" s="58">
        <v>367</v>
      </c>
      <c r="AP739" s="45">
        <f t="shared" si="182"/>
        <v>-2943.4457283130146</v>
      </c>
      <c r="AQ739" s="45">
        <f t="shared" si="183"/>
        <v>-10785.971186144647</v>
      </c>
      <c r="AR739" s="45">
        <f t="shared" si="184"/>
        <v>860.10057962859821</v>
      </c>
      <c r="AS739" s="45">
        <f t="shared" si="185"/>
        <v>5300.7589938264327</v>
      </c>
      <c r="AT739" s="45">
        <f t="shared" si="171"/>
        <v>-538.64663816942834</v>
      </c>
      <c r="AU739" s="45">
        <f t="shared" si="172"/>
        <v>-1142.1169328101423</v>
      </c>
      <c r="AV739" s="64">
        <f t="shared" si="173"/>
        <v>403.38745561219525</v>
      </c>
      <c r="AW739" s="64">
        <f t="shared" si="174"/>
        <v>321.50059226170004</v>
      </c>
      <c r="AX739" s="64">
        <f t="shared" si="175"/>
        <v>-142.81464345580898</v>
      </c>
      <c r="AY739" s="64">
        <f t="shared" si="176"/>
        <v>174.04107632451851</v>
      </c>
      <c r="AZ739" s="64">
        <f t="shared" si="177"/>
        <v>-799.21945032581459</v>
      </c>
      <c r="BA739" s="64">
        <f t="shared" si="178"/>
        <v>-1637.6586013963608</v>
      </c>
      <c r="BB739" s="65">
        <f t="shared" si="179"/>
        <v>29339.025957051759</v>
      </c>
      <c r="BC739" s="65">
        <f t="shared" si="180"/>
        <v>26888.336537879004</v>
      </c>
      <c r="BD739" s="66">
        <f t="shared" si="181"/>
        <v>4689.0781947411733</v>
      </c>
    </row>
    <row r="740" spans="31:56" x14ac:dyDescent="0.25">
      <c r="AE740" s="71">
        <v>678</v>
      </c>
      <c r="AF740" s="17">
        <v>4.5238934211693023</v>
      </c>
      <c r="AG740" s="18">
        <v>-18594.640140607062</v>
      </c>
      <c r="AH740" s="20">
        <v>2632.8456195348354</v>
      </c>
      <c r="AN740" s="23">
        <v>735</v>
      </c>
      <c r="AO740" s="58">
        <v>367.5</v>
      </c>
      <c r="AP740" s="45">
        <f t="shared" si="182"/>
        <v>-2648.0570980410725</v>
      </c>
      <c r="AQ740" s="45">
        <f t="shared" si="183"/>
        <v>-8421.1209224339655</v>
      </c>
      <c r="AR740" s="45">
        <f t="shared" si="184"/>
        <v>590.77726054388404</v>
      </c>
      <c r="AS740" s="45">
        <f t="shared" si="185"/>
        <v>4729.7005274213616</v>
      </c>
      <c r="AT740" s="45">
        <f t="shared" si="171"/>
        <v>-385.5288619462882</v>
      </c>
      <c r="AU740" s="45">
        <f t="shared" si="172"/>
        <v>-1387.8939627374446</v>
      </c>
      <c r="AV740" s="64">
        <f t="shared" si="173"/>
        <v>464.98553251872664</v>
      </c>
      <c r="AW740" s="64">
        <f t="shared" si="174"/>
        <v>326.87531907773769</v>
      </c>
      <c r="AX740" s="64">
        <f t="shared" si="175"/>
        <v>-172.15032080392032</v>
      </c>
      <c r="AY740" s="64">
        <f t="shared" si="176"/>
        <v>182.75774040305348</v>
      </c>
      <c r="AZ740" s="64">
        <f t="shared" si="177"/>
        <v>-678.36407366109449</v>
      </c>
      <c r="BA740" s="64">
        <f t="shared" si="178"/>
        <v>-1897.5270222182357</v>
      </c>
      <c r="BB740" s="65">
        <f t="shared" si="179"/>
        <v>27684.229838355503</v>
      </c>
      <c r="BC740" s="65">
        <f t="shared" si="180"/>
        <v>25306.671423001822</v>
      </c>
      <c r="BD740" s="66">
        <f t="shared" si="181"/>
        <v>6986.6505087424475</v>
      </c>
    </row>
    <row r="741" spans="31:56" x14ac:dyDescent="0.25">
      <c r="AE741" s="71">
        <v>679</v>
      </c>
      <c r="AF741" s="17">
        <v>4.5867252742410987</v>
      </c>
      <c r="AG741" s="18">
        <v>-18134.825846263589</v>
      </c>
      <c r="AH741" s="20">
        <v>2735.6262915352672</v>
      </c>
      <c r="AN741" s="23">
        <v>736</v>
      </c>
      <c r="AO741" s="58">
        <v>368</v>
      </c>
      <c r="AP741" s="45">
        <f t="shared" si="182"/>
        <v>-2449.0506832557026</v>
      </c>
      <c r="AQ741" s="45">
        <f t="shared" si="183"/>
        <v>-6403.2441494076456</v>
      </c>
      <c r="AR741" s="45">
        <f t="shared" si="184"/>
        <v>398.01282957073994</v>
      </c>
      <c r="AS741" s="45">
        <f t="shared" si="185"/>
        <v>4035.7535460526392</v>
      </c>
      <c r="AT741" s="45">
        <f t="shared" si="171"/>
        <v>-230.24058236507972</v>
      </c>
      <c r="AU741" s="45">
        <f t="shared" si="172"/>
        <v>-1346.110601036313</v>
      </c>
      <c r="AV741" s="64">
        <f t="shared" si="173"/>
        <v>522.15155895962926</v>
      </c>
      <c r="AW741" s="64">
        <f t="shared" si="174"/>
        <v>323.38118478320939</v>
      </c>
      <c r="AX741" s="64">
        <f t="shared" si="175"/>
        <v>-201.1988376990241</v>
      </c>
      <c r="AY741" s="64">
        <f t="shared" si="176"/>
        <v>188.04188866328195</v>
      </c>
      <c r="AZ741" s="64">
        <f t="shared" si="177"/>
        <v>-551.19330362568485</v>
      </c>
      <c r="BA741" s="64">
        <f t="shared" si="178"/>
        <v>-1857.5336744828044</v>
      </c>
      <c r="BB741" s="65">
        <f t="shared" si="179"/>
        <v>26405.682616766819</v>
      </c>
      <c r="BC741" s="65">
        <f t="shared" si="180"/>
        <v>24022.9523694321</v>
      </c>
      <c r="BD741" s="66">
        <f t="shared" si="181"/>
        <v>8967.248941079537</v>
      </c>
    </row>
    <row r="742" spans="31:56" x14ac:dyDescent="0.25">
      <c r="AE742" s="71">
        <v>680</v>
      </c>
      <c r="AF742" s="17">
        <v>4.6495571273128942</v>
      </c>
      <c r="AG742" s="18">
        <v>-17682.372542187895</v>
      </c>
      <c r="AH742" s="20">
        <v>2867.0761277863476</v>
      </c>
      <c r="AN742" s="23">
        <v>737</v>
      </c>
      <c r="AO742" s="58">
        <v>368.5</v>
      </c>
      <c r="AP742" s="45">
        <f t="shared" si="182"/>
        <v>-2307.6044140616023</v>
      </c>
      <c r="AQ742" s="45">
        <f t="shared" si="183"/>
        <v>-4721.8950266404045</v>
      </c>
      <c r="AR742" s="45">
        <f t="shared" si="184"/>
        <v>282.89253838820008</v>
      </c>
      <c r="AS742" s="45">
        <f t="shared" si="185"/>
        <v>3362.6982455344828</v>
      </c>
      <c r="AT742" s="45">
        <f t="shared" si="171"/>
        <v>-109.96445751119018</v>
      </c>
      <c r="AU742" s="45">
        <f t="shared" si="172"/>
        <v>-1229.2069939407074</v>
      </c>
      <c r="AV742" s="64">
        <f t="shared" si="173"/>
        <v>572.09377788762731</v>
      </c>
      <c r="AW742" s="64">
        <f t="shared" si="174"/>
        <v>313.43886008348164</v>
      </c>
      <c r="AX742" s="64">
        <f t="shared" si="175"/>
        <v>-228.21132260595604</v>
      </c>
      <c r="AY742" s="64">
        <f t="shared" si="176"/>
        <v>189.89532078775619</v>
      </c>
      <c r="AZ742" s="64">
        <f t="shared" si="177"/>
        <v>-453.84691279286142</v>
      </c>
      <c r="BA742" s="64">
        <f t="shared" si="178"/>
        <v>-1732.5411748119452</v>
      </c>
      <c r="BB742" s="65">
        <f t="shared" si="179"/>
        <v>25436.271989748777</v>
      </c>
      <c r="BC742" s="65">
        <f t="shared" si="180"/>
        <v>23016.40838064775</v>
      </c>
      <c r="BD742" s="66">
        <f t="shared" si="181"/>
        <v>10624.896979951374</v>
      </c>
    </row>
    <row r="743" spans="31:56" x14ac:dyDescent="0.25">
      <c r="AE743" s="71">
        <v>681</v>
      </c>
      <c r="AF743" s="17">
        <v>4.7123889803846897</v>
      </c>
      <c r="AG743" s="18">
        <v>-17239.065854864912</v>
      </c>
      <c r="AH743" s="20">
        <v>3026.6763558381153</v>
      </c>
      <c r="AN743" s="23">
        <v>738</v>
      </c>
      <c r="AO743" s="58">
        <v>369</v>
      </c>
      <c r="AP743" s="45">
        <f t="shared" si="182"/>
        <v>-2193.6492592453001</v>
      </c>
      <c r="AQ743" s="45">
        <f t="shared" si="183"/>
        <v>-3347.8476523583404</v>
      </c>
      <c r="AR743" s="45">
        <f t="shared" si="184"/>
        <v>227.91030963260499</v>
      </c>
      <c r="AS743" s="45">
        <f t="shared" si="185"/>
        <v>2748.0947485641291</v>
      </c>
      <c r="AT743" s="45">
        <f t="shared" si="171"/>
        <v>-24.303336065957183</v>
      </c>
      <c r="AU743" s="45">
        <f t="shared" si="172"/>
        <v>-1115.3109708236736</v>
      </c>
      <c r="AV743" s="64">
        <f t="shared" si="173"/>
        <v>613.93907452203587</v>
      </c>
      <c r="AW743" s="64">
        <f t="shared" si="174"/>
        <v>300.08213027294602</v>
      </c>
      <c r="AX743" s="64">
        <f t="shared" si="175"/>
        <v>-251.8793454473103</v>
      </c>
      <c r="AY743" s="64">
        <f t="shared" si="176"/>
        <v>188.81168740046624</v>
      </c>
      <c r="AZ743" s="64">
        <f t="shared" si="177"/>
        <v>-386.36306514068275</v>
      </c>
      <c r="BA743" s="64">
        <f t="shared" si="178"/>
        <v>-1604.2047884970859</v>
      </c>
      <c r="BB743" s="65">
        <f t="shared" si="179"/>
        <v>24702.912098195542</v>
      </c>
      <c r="BC743" s="65">
        <f t="shared" si="180"/>
        <v>22253.789871690249</v>
      </c>
      <c r="BD743" s="66">
        <f t="shared" si="181"/>
        <v>11985.335156464565</v>
      </c>
    </row>
    <row r="744" spans="31:56" x14ac:dyDescent="0.25">
      <c r="AE744" s="71">
        <v>682</v>
      </c>
      <c r="AF744" s="17">
        <v>4.7752208334564861</v>
      </c>
      <c r="AG744" s="18">
        <v>-16806.655313261956</v>
      </c>
      <c r="AH744" s="20">
        <v>3213.7971065048532</v>
      </c>
      <c r="AN744" s="23">
        <v>739</v>
      </c>
      <c r="AO744" s="58">
        <v>369.5</v>
      </c>
      <c r="AP744" s="45">
        <f t="shared" si="182"/>
        <v>-2085.7699384454868</v>
      </c>
      <c r="AQ744" s="45">
        <f t="shared" si="183"/>
        <v>-2252.6280207821942</v>
      </c>
      <c r="AR744" s="45">
        <f t="shared" si="184"/>
        <v>215.7586415996264</v>
      </c>
      <c r="AS744" s="45">
        <f t="shared" si="185"/>
        <v>2190.4392631522924</v>
      </c>
      <c r="AT744" s="45">
        <f t="shared" si="171"/>
        <v>34.666055816398909</v>
      </c>
      <c r="AU744" s="45">
        <f t="shared" si="172"/>
        <v>-1024.5175886633031</v>
      </c>
      <c r="AV744" s="64">
        <f t="shared" si="173"/>
        <v>648.00786820037649</v>
      </c>
      <c r="AW744" s="64">
        <f t="shared" si="174"/>
        <v>286.14713051489605</v>
      </c>
      <c r="AX744" s="64">
        <f t="shared" si="175"/>
        <v>-271.28612526478759</v>
      </c>
      <c r="AY744" s="64">
        <f t="shared" si="176"/>
        <v>185.54902826676806</v>
      </c>
      <c r="AZ744" s="64">
        <f t="shared" si="177"/>
        <v>-342.05568711919</v>
      </c>
      <c r="BA744" s="64">
        <f t="shared" si="178"/>
        <v>-1496.2137474449671</v>
      </c>
      <c r="BB744" s="65">
        <f t="shared" si="179"/>
        <v>24143.218242100374</v>
      </c>
      <c r="BC744" s="65">
        <f t="shared" si="180"/>
        <v>21703.606431051052</v>
      </c>
      <c r="BD744" s="66">
        <f t="shared" si="181"/>
        <v>13076.24675616881</v>
      </c>
    </row>
    <row r="745" spans="31:56" x14ac:dyDescent="0.25">
      <c r="AE745" s="71">
        <v>683</v>
      </c>
      <c r="AF745" s="17">
        <v>4.8380526865282816</v>
      </c>
      <c r="AG745" s="18">
        <v>-16386.847444237133</v>
      </c>
      <c r="AH745" s="20">
        <v>3427.6998996710245</v>
      </c>
      <c r="AN745" s="23">
        <v>740</v>
      </c>
      <c r="AO745" s="58">
        <v>370</v>
      </c>
      <c r="AP745" s="45">
        <f t="shared" si="182"/>
        <v>-1969.2241036915739</v>
      </c>
      <c r="AQ745" s="45">
        <f t="shared" si="183"/>
        <v>-1413.5377863718738</v>
      </c>
      <c r="AR745" s="45">
        <f t="shared" si="184"/>
        <v>233.09166950782586</v>
      </c>
      <c r="AS745" s="45">
        <f t="shared" si="185"/>
        <v>1678.1804688206407</v>
      </c>
      <c r="AT745" s="45">
        <f t="shared" si="171"/>
        <v>74.167813321837627</v>
      </c>
      <c r="AU745" s="45">
        <f t="shared" si="172"/>
        <v>-957.88345278060297</v>
      </c>
      <c r="AV745" s="64">
        <f t="shared" si="173"/>
        <v>675.19615916710552</v>
      </c>
      <c r="AW745" s="64">
        <f t="shared" si="174"/>
        <v>273.94624632819239</v>
      </c>
      <c r="AX745" s="64">
        <f t="shared" si="175"/>
        <v>-285.87311324499825</v>
      </c>
      <c r="AY745" s="64">
        <f t="shared" si="176"/>
        <v>180.95857875964035</v>
      </c>
      <c r="AZ745" s="64">
        <f t="shared" si="177"/>
        <v>-315.15523260026964</v>
      </c>
      <c r="BA745" s="64">
        <f t="shared" si="178"/>
        <v>-1412.7882778684357</v>
      </c>
      <c r="BB745" s="65">
        <f t="shared" si="179"/>
        <v>23708.605264487869</v>
      </c>
      <c r="BC745" s="65">
        <f t="shared" si="180"/>
        <v>21339.581163271119</v>
      </c>
      <c r="BD745" s="66">
        <f t="shared" si="181"/>
        <v>13920.400785034497</v>
      </c>
    </row>
    <row r="746" spans="31:56" x14ac:dyDescent="0.25">
      <c r="AE746" s="71">
        <v>684</v>
      </c>
      <c r="AF746" s="17">
        <v>4.900884539600078</v>
      </c>
      <c r="AG746" s="18">
        <v>-15981.299037657525</v>
      </c>
      <c r="AH746" s="20">
        <v>3667.5405587348878</v>
      </c>
      <c r="AN746" s="23">
        <v>741</v>
      </c>
      <c r="AO746" s="58">
        <v>370.5</v>
      </c>
      <c r="AP746" s="45">
        <f t="shared" si="182"/>
        <v>-1834.1363156072016</v>
      </c>
      <c r="AQ746" s="45">
        <f t="shared" si="183"/>
        <v>-813.91841515670421</v>
      </c>
      <c r="AR746" s="45">
        <f t="shared" si="184"/>
        <v>270.17557616874467</v>
      </c>
      <c r="AS746" s="45">
        <f t="shared" si="185"/>
        <v>1199.2387424303392</v>
      </c>
      <c r="AT746" s="45">
        <f t="shared" si="171"/>
        <v>99.278513143434509</v>
      </c>
      <c r="AU746" s="45">
        <f t="shared" si="172"/>
        <v>-911.50531043175874</v>
      </c>
      <c r="AV746" s="64">
        <f t="shared" si="173"/>
        <v>696.52448732983862</v>
      </c>
      <c r="AW746" s="64">
        <f t="shared" si="174"/>
        <v>265.21991427157059</v>
      </c>
      <c r="AX746" s="64">
        <f t="shared" si="175"/>
        <v>-295.39682906033096</v>
      </c>
      <c r="AY746" s="64">
        <f t="shared" si="176"/>
        <v>175.84615105853049</v>
      </c>
      <c r="AZ746" s="64">
        <f t="shared" si="177"/>
        <v>-301.84914512607315</v>
      </c>
      <c r="BA746" s="64">
        <f t="shared" si="178"/>
        <v>-1352.5713757618598</v>
      </c>
      <c r="BB746" s="65">
        <f t="shared" si="179"/>
        <v>23363.448976176416</v>
      </c>
      <c r="BC746" s="65">
        <f t="shared" si="180"/>
        <v>21140.94214763397</v>
      </c>
      <c r="BD746" s="66">
        <f t="shared" si="181"/>
        <v>14535.047423382808</v>
      </c>
    </row>
    <row r="747" spans="31:56" x14ac:dyDescent="0.25">
      <c r="AE747" s="71">
        <v>685</v>
      </c>
      <c r="AF747" s="17">
        <v>4.9637163926718735</v>
      </c>
      <c r="AG747" s="18">
        <v>-15591.610607806448</v>
      </c>
      <c r="AH747" s="20">
        <v>3932.3725421878971</v>
      </c>
      <c r="AN747" s="23">
        <v>742</v>
      </c>
      <c r="AO747" s="58">
        <v>371</v>
      </c>
      <c r="AP747" s="45">
        <f t="shared" si="182"/>
        <v>-1674.2288992369706</v>
      </c>
      <c r="AQ747" s="45">
        <f t="shared" si="183"/>
        <v>-442.17537154947428</v>
      </c>
      <c r="AR747" s="45">
        <f t="shared" si="184"/>
        <v>319.81483274046195</v>
      </c>
      <c r="AS747" s="45">
        <f t="shared" si="185"/>
        <v>743.48608721445987</v>
      </c>
      <c r="AT747" s="45">
        <f t="shared" si="171"/>
        <v>112.97941442950179</v>
      </c>
      <c r="AU747" s="45">
        <f t="shared" si="172"/>
        <v>-881.05910232046915</v>
      </c>
      <c r="AV747" s="64">
        <f t="shared" si="173"/>
        <v>712.83783583010575</v>
      </c>
      <c r="AW747" s="64">
        <f t="shared" si="174"/>
        <v>261.20805173547848</v>
      </c>
      <c r="AX747" s="64">
        <f t="shared" si="175"/>
        <v>-299.86942640994158</v>
      </c>
      <c r="AY747" s="64">
        <f t="shared" si="176"/>
        <v>170.86806999396509</v>
      </c>
      <c r="AZ747" s="64">
        <f t="shared" si="177"/>
        <v>-299.98899499066238</v>
      </c>
      <c r="BA747" s="64">
        <f t="shared" si="178"/>
        <v>-1313.1352240499127</v>
      </c>
      <c r="BB747" s="65">
        <f t="shared" si="179"/>
        <v>23083.551460054106</v>
      </c>
      <c r="BC747" s="65">
        <f t="shared" si="180"/>
        <v>21092.010642130725</v>
      </c>
      <c r="BD747" s="66">
        <f t="shared" si="181"/>
        <v>14932.883557015744</v>
      </c>
    </row>
    <row r="748" spans="31:56" x14ac:dyDescent="0.25">
      <c r="AE748" s="71">
        <v>686</v>
      </c>
      <c r="AF748" s="17">
        <v>5.026548245743669</v>
      </c>
      <c r="AG748" s="18">
        <v>-15219.320076884826</v>
      </c>
      <c r="AH748" s="20">
        <v>4221.1506791815818</v>
      </c>
      <c r="AN748" s="23">
        <v>743</v>
      </c>
      <c r="AO748" s="58">
        <v>371.5</v>
      </c>
      <c r="AP748" s="45">
        <f t="shared" si="182"/>
        <v>-1486.0766292593642</v>
      </c>
      <c r="AQ748" s="45">
        <f t="shared" si="183"/>
        <v>-290.69710352236166</v>
      </c>
      <c r="AR748" s="45">
        <f t="shared" si="184"/>
        <v>376.30453995521282</v>
      </c>
      <c r="AS748" s="45">
        <f t="shared" si="185"/>
        <v>302.9565360542253</v>
      </c>
      <c r="AT748" s="45">
        <f t="shared" si="171"/>
        <v>116.39880478290132</v>
      </c>
      <c r="AU748" s="45">
        <f t="shared" si="172"/>
        <v>-863.1071359402722</v>
      </c>
      <c r="AV748" s="64">
        <f t="shared" si="173"/>
        <v>724.61516263169051</v>
      </c>
      <c r="AW748" s="64">
        <f t="shared" si="174"/>
        <v>262.7402548213704</v>
      </c>
      <c r="AX748" s="64">
        <f t="shared" si="175"/>
        <v>-299.49330608840819</v>
      </c>
      <c r="AY748" s="64">
        <f t="shared" si="176"/>
        <v>166.46903175364201</v>
      </c>
      <c r="AZ748" s="64">
        <f t="shared" si="177"/>
        <v>-308.723051760381</v>
      </c>
      <c r="BA748" s="64">
        <f t="shared" si="178"/>
        <v>-1292.3164225152846</v>
      </c>
      <c r="BB748" s="65">
        <f t="shared" si="179"/>
        <v>22854.8999183378</v>
      </c>
      <c r="BC748" s="65">
        <f t="shared" si="180"/>
        <v>21181.685614088878</v>
      </c>
      <c r="BD748" s="66">
        <f t="shared" si="181"/>
        <v>15123.202344601579</v>
      </c>
    </row>
    <row r="749" spans="31:56" x14ac:dyDescent="0.25">
      <c r="AE749" s="71">
        <v>687</v>
      </c>
      <c r="AF749" s="17">
        <v>5.0893800988154654</v>
      </c>
      <c r="AG749" s="18">
        <v>-14865.896705534837</v>
      </c>
      <c r="AH749" s="20">
        <v>4532.7352943394135</v>
      </c>
      <c r="AN749" s="23">
        <v>744</v>
      </c>
      <c r="AO749" s="58">
        <v>372</v>
      </c>
      <c r="AP749" s="45">
        <f t="shared" si="182"/>
        <v>-1268.8246580860323</v>
      </c>
      <c r="AQ749" s="45">
        <f t="shared" si="183"/>
        <v>-354.99561948031703</v>
      </c>
      <c r="AR749" s="45">
        <f t="shared" si="184"/>
        <v>434.50394234666351</v>
      </c>
      <c r="AS749" s="45">
        <f t="shared" si="185"/>
        <v>-128.5970319159108</v>
      </c>
      <c r="AT749" s="45">
        <f t="shared" si="171"/>
        <v>108.96546360581448</v>
      </c>
      <c r="AU749" s="45">
        <f t="shared" si="172"/>
        <v>-855.35966615112341</v>
      </c>
      <c r="AV749" s="64">
        <f t="shared" si="173"/>
        <v>731.84954543331378</v>
      </c>
      <c r="AW749" s="64">
        <f t="shared" si="174"/>
        <v>270.28644346418059</v>
      </c>
      <c r="AX749" s="64">
        <f t="shared" si="175"/>
        <v>-294.60449564189901</v>
      </c>
      <c r="AY749" s="64">
        <f t="shared" si="176"/>
        <v>162.8636861363851</v>
      </c>
      <c r="AZ749" s="64">
        <f t="shared" si="177"/>
        <v>-328.27958618560029</v>
      </c>
      <c r="BA749" s="64">
        <f t="shared" si="178"/>
        <v>-1288.5097957516891</v>
      </c>
      <c r="BB749" s="65">
        <f t="shared" si="179"/>
        <v>22672.976393020468</v>
      </c>
      <c r="BC749" s="65">
        <f t="shared" si="180"/>
        <v>21402.870460968137</v>
      </c>
      <c r="BD749" s="66">
        <f t="shared" si="181"/>
        <v>15112.836356473512</v>
      </c>
    </row>
    <row r="750" spans="31:56" x14ac:dyDescent="0.25">
      <c r="AE750" s="71">
        <v>688</v>
      </c>
      <c r="AF750" s="17">
        <v>5.1522119518872609</v>
      </c>
      <c r="AG750" s="18">
        <v>-14532.735294339411</v>
      </c>
      <c r="AH750" s="20">
        <v>4865.8967055348376</v>
      </c>
      <c r="AN750" s="23">
        <v>745</v>
      </c>
      <c r="AO750" s="58">
        <v>372.5</v>
      </c>
      <c r="AP750" s="45">
        <f t="shared" si="182"/>
        <v>-1024.3313210112469</v>
      </c>
      <c r="AQ750" s="45">
        <f t="shared" si="183"/>
        <v>-633.13405197605323</v>
      </c>
      <c r="AR750" s="45">
        <f t="shared" si="184"/>
        <v>488.98667414957072</v>
      </c>
      <c r="AS750" s="45">
        <f t="shared" si="185"/>
        <v>-556.27686499147251</v>
      </c>
      <c r="AT750" s="45">
        <f t="shared" si="171"/>
        <v>88.433133749497472</v>
      </c>
      <c r="AU750" s="45">
        <f t="shared" si="172"/>
        <v>-856.61666931503999</v>
      </c>
      <c r="AV750" s="64">
        <f t="shared" si="173"/>
        <v>733.97779335903499</v>
      </c>
      <c r="AW750" s="64">
        <f t="shared" si="174"/>
        <v>283.93482263080517</v>
      </c>
      <c r="AX750" s="64">
        <f t="shared" si="175"/>
        <v>-285.63403560000427</v>
      </c>
      <c r="AY750" s="64">
        <f t="shared" si="176"/>
        <v>160.05680968200812</v>
      </c>
      <c r="AZ750" s="64">
        <f t="shared" si="177"/>
        <v>-359.91062400953325</v>
      </c>
      <c r="BA750" s="64">
        <f t="shared" si="178"/>
        <v>-1300.6083016278533</v>
      </c>
      <c r="BB750" s="65">
        <f t="shared" si="179"/>
        <v>22542.634650880249</v>
      </c>
      <c r="BC750" s="65">
        <f t="shared" si="180"/>
        <v>21751.770998749675</v>
      </c>
      <c r="BD750" s="66">
        <f t="shared" si="181"/>
        <v>14906.803098370296</v>
      </c>
    </row>
    <row r="751" spans="31:56" x14ac:dyDescent="0.25">
      <c r="AE751" s="71">
        <v>689</v>
      </c>
      <c r="AF751" s="17">
        <v>5.2150438049590573</v>
      </c>
      <c r="AG751" s="18">
        <v>-14221.150679181581</v>
      </c>
      <c r="AH751" s="20">
        <v>5219.3200768848274</v>
      </c>
      <c r="AN751" s="23">
        <v>746</v>
      </c>
      <c r="AO751" s="58">
        <v>373</v>
      </c>
      <c r="AP751" s="45">
        <f t="shared" si="182"/>
        <v>-757.72970049908724</v>
      </c>
      <c r="AQ751" s="45">
        <f t="shared" si="183"/>
        <v>-1125.4266518005495</v>
      </c>
      <c r="AR751" s="45">
        <f t="shared" si="184"/>
        <v>533.20324102431948</v>
      </c>
      <c r="AS751" s="45">
        <f t="shared" si="185"/>
        <v>-984.58519964899256</v>
      </c>
      <c r="AT751" s="45">
        <f t="shared" si="171"/>
        <v>50.799257726757844</v>
      </c>
      <c r="AU751" s="45">
        <f t="shared" si="172"/>
        <v>-866.60285358584997</v>
      </c>
      <c r="AV751" s="64">
        <f t="shared" si="173"/>
        <v>729.86503763067321</v>
      </c>
      <c r="AW751" s="64">
        <f t="shared" si="174"/>
        <v>303.27966683397256</v>
      </c>
      <c r="AX751" s="64">
        <f t="shared" si="175"/>
        <v>-273.08712230698171</v>
      </c>
      <c r="AY751" s="64">
        <f t="shared" si="176"/>
        <v>157.89253042851252</v>
      </c>
      <c r="AZ751" s="64">
        <f t="shared" si="177"/>
        <v>-405.97865759693366</v>
      </c>
      <c r="BA751" s="64">
        <f t="shared" si="178"/>
        <v>-1327.775050848335</v>
      </c>
      <c r="BB751" s="65">
        <f t="shared" si="179"/>
        <v>22478.463631764807</v>
      </c>
      <c r="BC751" s="65">
        <f t="shared" si="180"/>
        <v>22227.01249524211</v>
      </c>
      <c r="BD751" s="66">
        <f t="shared" si="181"/>
        <v>14508.640283934055</v>
      </c>
    </row>
    <row r="752" spans="31:56" x14ac:dyDescent="0.25">
      <c r="AE752" s="71">
        <v>690</v>
      </c>
      <c r="AF752" s="17">
        <v>5.2778756580308528</v>
      </c>
      <c r="AG752" s="18">
        <v>-13932.372542187892</v>
      </c>
      <c r="AH752" s="20">
        <v>5591.6106078064558</v>
      </c>
      <c r="AN752" s="23">
        <v>747</v>
      </c>
      <c r="AO752" s="58">
        <v>373.5</v>
      </c>
      <c r="AP752" s="45">
        <f t="shared" si="182"/>
        <v>-478.42826555523806</v>
      </c>
      <c r="AQ752" s="45">
        <f t="shared" si="183"/>
        <v>-1834.3699650215081</v>
      </c>
      <c r="AR752" s="45">
        <f t="shared" si="184"/>
        <v>558.60286988769838</v>
      </c>
      <c r="AS752" s="45">
        <f t="shared" si="185"/>
        <v>-1417.8866264419175</v>
      </c>
      <c r="AT752" s="45">
        <f t="shared" si="171"/>
        <v>-9.8236216401841148</v>
      </c>
      <c r="AU752" s="45">
        <f t="shared" si="172"/>
        <v>-885.68008994257821</v>
      </c>
      <c r="AV752" s="64">
        <f t="shared" si="173"/>
        <v>717.88157858245177</v>
      </c>
      <c r="AW752" s="64">
        <f t="shared" si="174"/>
        <v>327.22102295483853</v>
      </c>
      <c r="AX752" s="64">
        <f t="shared" si="175"/>
        <v>-257.53164362949371</v>
      </c>
      <c r="AY752" s="64">
        <f t="shared" si="176"/>
        <v>156.12086925531497</v>
      </c>
      <c r="AZ752" s="64">
        <f t="shared" si="177"/>
        <v>-470.17355659314217</v>
      </c>
      <c r="BA752" s="64">
        <f t="shared" si="178"/>
        <v>-1369.0219821527317</v>
      </c>
      <c r="BB752" s="65">
        <f t="shared" si="179"/>
        <v>22505.47681946302</v>
      </c>
      <c r="BC752" s="65">
        <f t="shared" si="180"/>
        <v>22828.580232946504</v>
      </c>
      <c r="BD752" s="66">
        <f t="shared" si="181"/>
        <v>13920.431931792116</v>
      </c>
    </row>
    <row r="753" spans="31:56" x14ac:dyDescent="0.25">
      <c r="AE753" s="71">
        <v>691</v>
      </c>
      <c r="AF753" s="17">
        <v>5.3407075111026492</v>
      </c>
      <c r="AG753" s="18">
        <v>-13667.540558734885</v>
      </c>
      <c r="AH753" s="20">
        <v>5981.2990376575272</v>
      </c>
      <c r="AN753" s="23">
        <v>748</v>
      </c>
      <c r="AO753" s="58">
        <v>374</v>
      </c>
      <c r="AP753" s="45">
        <f t="shared" si="182"/>
        <v>-201.5827360214349</v>
      </c>
      <c r="AQ753" s="45">
        <f t="shared" si="183"/>
        <v>-2764.7333007281113</v>
      </c>
      <c r="AR753" s="45">
        <f t="shared" si="184"/>
        <v>553.69105906760637</v>
      </c>
      <c r="AS753" s="45">
        <f t="shared" si="185"/>
        <v>-1860.7266714132065</v>
      </c>
      <c r="AT753" s="45">
        <f t="shared" si="171"/>
        <v>-101.28101790570526</v>
      </c>
      <c r="AU753" s="45">
        <f t="shared" si="172"/>
        <v>-914.21033900233499</v>
      </c>
      <c r="AV753" s="64">
        <f t="shared" si="173"/>
        <v>696.13811087194938</v>
      </c>
      <c r="AW753" s="64">
        <f t="shared" si="174"/>
        <v>353.71842602371009</v>
      </c>
      <c r="AX753" s="64">
        <f t="shared" si="175"/>
        <v>-239.5844843845527</v>
      </c>
      <c r="AY753" s="64">
        <f t="shared" si="176"/>
        <v>154.46851156761159</v>
      </c>
      <c r="AZ753" s="64">
        <f t="shared" si="177"/>
        <v>-557.83464439310194</v>
      </c>
      <c r="BA753" s="64">
        <f t="shared" si="178"/>
        <v>-1422.3972765936567</v>
      </c>
      <c r="BB753" s="65">
        <f t="shared" si="179"/>
        <v>22659.847633543257</v>
      </c>
      <c r="BC753" s="65">
        <f t="shared" si="180"/>
        <v>23556.649642878372</v>
      </c>
      <c r="BD753" s="66">
        <f t="shared" si="181"/>
        <v>13142.547676974931</v>
      </c>
    </row>
    <row r="754" spans="31:56" x14ac:dyDescent="0.25">
      <c r="AE754" s="71">
        <v>692</v>
      </c>
      <c r="AF754" s="17">
        <v>5.4035393641744447</v>
      </c>
      <c r="AG754" s="18">
        <v>-13427.699899671024</v>
      </c>
      <c r="AH754" s="20">
        <v>6386.8474442371353</v>
      </c>
      <c r="AN754" s="23">
        <v>749</v>
      </c>
      <c r="AO754" s="58">
        <v>374.5</v>
      </c>
      <c r="AP754" s="45">
        <f t="shared" si="182"/>
        <v>49.942539035941977</v>
      </c>
      <c r="AQ754" s="45">
        <f t="shared" si="183"/>
        <v>-3923.6492211852983</v>
      </c>
      <c r="AR754" s="45">
        <f t="shared" si="184"/>
        <v>503.05055011475372</v>
      </c>
      <c r="AS754" s="45">
        <f t="shared" si="185"/>
        <v>-2317.831840914374</v>
      </c>
      <c r="AT754" s="45">
        <f t="shared" si="171"/>
        <v>-233.20039862645791</v>
      </c>
      <c r="AU754" s="45">
        <f t="shared" si="172"/>
        <v>-950.97533791756359</v>
      </c>
      <c r="AV754" s="64">
        <f t="shared" si="173"/>
        <v>662.94901507487214</v>
      </c>
      <c r="AW754" s="64">
        <f t="shared" si="174"/>
        <v>379.61279131973271</v>
      </c>
      <c r="AX754" s="64">
        <f t="shared" si="175"/>
        <v>-219.88693674391078</v>
      </c>
      <c r="AY754" s="64">
        <f t="shared" si="176"/>
        <v>152.70011719895862</v>
      </c>
      <c r="AZ754" s="64">
        <f t="shared" si="177"/>
        <v>-676.26247695741927</v>
      </c>
      <c r="BA754" s="64">
        <f t="shared" si="178"/>
        <v>-1483.2882464362549</v>
      </c>
      <c r="BB754" s="65">
        <f t="shared" si="179"/>
        <v>22989.226916633259</v>
      </c>
      <c r="BC754" s="65">
        <f t="shared" si="180"/>
        <v>24410.411783770815</v>
      </c>
      <c r="BD754" s="66">
        <f t="shared" si="181"/>
        <v>12173.227436588615</v>
      </c>
    </row>
    <row r="755" spans="31:56" x14ac:dyDescent="0.25">
      <c r="AE755" s="71">
        <v>693</v>
      </c>
      <c r="AF755" s="17">
        <v>5.4663712172462402</v>
      </c>
      <c r="AG755" s="18">
        <v>-13213.797106504851</v>
      </c>
      <c r="AH755" s="20">
        <v>6806.6553132619583</v>
      </c>
      <c r="AN755" s="23">
        <v>750</v>
      </c>
      <c r="AO755" s="58">
        <v>375</v>
      </c>
      <c r="AP755" s="45">
        <f t="shared" si="182"/>
        <v>243.16771443670439</v>
      </c>
      <c r="AQ755" s="45">
        <f t="shared" si="183"/>
        <v>-5320.3089761218762</v>
      </c>
      <c r="AR755" s="45">
        <f t="shared" si="184"/>
        <v>386.45035080152479</v>
      </c>
      <c r="AS755" s="45">
        <f t="shared" si="185"/>
        <v>-2793.3195098731558</v>
      </c>
      <c r="AT755" s="45">
        <f t="shared" si="171"/>
        <v>-416.08666553556236</v>
      </c>
      <c r="AU755" s="45">
        <f t="shared" si="172"/>
        <v>-989.32899306869399</v>
      </c>
      <c r="AV755" s="64">
        <f t="shared" si="173"/>
        <v>617.53225100328928</v>
      </c>
      <c r="AW755" s="64">
        <f t="shared" si="174"/>
        <v>400.71981915680334</v>
      </c>
      <c r="AX755" s="64">
        <f t="shared" si="175"/>
        <v>-199.06901710520765</v>
      </c>
      <c r="AY755" s="64">
        <f t="shared" si="176"/>
        <v>150.65818219001684</v>
      </c>
      <c r="AZ755" s="64">
        <f t="shared" si="177"/>
        <v>-834.54989943364399</v>
      </c>
      <c r="BA755" s="64">
        <f t="shared" si="178"/>
        <v>-1540.7069944155141</v>
      </c>
      <c r="BB755" s="65">
        <f t="shared" si="179"/>
        <v>23551.915934868382</v>
      </c>
      <c r="BC755" s="65">
        <f t="shared" si="180"/>
        <v>25386.959373636168</v>
      </c>
      <c r="BD755" s="66">
        <f t="shared" si="181"/>
        <v>11008.506983213396</v>
      </c>
    </row>
    <row r="756" spans="31:56" x14ac:dyDescent="0.25">
      <c r="AE756" s="71">
        <v>694</v>
      </c>
      <c r="AF756" s="17">
        <v>5.5292030703180366</v>
      </c>
      <c r="AG756" s="18">
        <v>-13026.676355838114</v>
      </c>
      <c r="AH756" s="20">
        <v>7239.0658548649162</v>
      </c>
      <c r="AN756" s="23">
        <v>751</v>
      </c>
      <c r="AO756" s="58">
        <v>375.5</v>
      </c>
      <c r="AP756" s="45">
        <f t="shared" si="182"/>
        <v>332.37122345357619</v>
      </c>
      <c r="AQ756" s="45">
        <f t="shared" si="183"/>
        <v>-6964.3009793256278</v>
      </c>
      <c r="AR756" s="45">
        <f t="shared" si="184"/>
        <v>178.40701803374361</v>
      </c>
      <c r="AS756" s="45">
        <f t="shared" si="185"/>
        <v>-3287.9840064075029</v>
      </c>
      <c r="AT756" s="45">
        <f t="shared" si="171"/>
        <v>-658.17842263308762</v>
      </c>
      <c r="AU756" s="45">
        <f t="shared" si="172"/>
        <v>-1008.4402534821079</v>
      </c>
      <c r="AV756" s="64">
        <f t="shared" si="173"/>
        <v>560.79891682554535</v>
      </c>
      <c r="AW756" s="64">
        <f t="shared" si="174"/>
        <v>412.43224661213355</v>
      </c>
      <c r="AX756" s="64">
        <f t="shared" si="175"/>
        <v>-177.7139056253329</v>
      </c>
      <c r="AY756" s="64">
        <f t="shared" si="176"/>
        <v>148.27548396136041</v>
      </c>
      <c r="AZ756" s="64">
        <f t="shared" si="177"/>
        <v>-1041.2634338333</v>
      </c>
      <c r="BA756" s="64">
        <f t="shared" si="178"/>
        <v>-1569.1479840556019</v>
      </c>
      <c r="BB756" s="65">
        <f t="shared" si="179"/>
        <v>24413.758918129697</v>
      </c>
      <c r="BC756" s="65">
        <f t="shared" si="180"/>
        <v>26480.045832389937</v>
      </c>
      <c r="BD756" s="66">
        <f t="shared" si="181"/>
        <v>9643.9951065719051</v>
      </c>
    </row>
    <row r="757" spans="31:56" x14ac:dyDescent="0.25">
      <c r="AE757" s="71">
        <v>695</v>
      </c>
      <c r="AF757" s="17">
        <v>5.5920349233898321</v>
      </c>
      <c r="AG757" s="18">
        <v>-12867.076127786346</v>
      </c>
      <c r="AH757" s="20">
        <v>7682.3725421878989</v>
      </c>
      <c r="AN757" s="23">
        <v>752</v>
      </c>
      <c r="AO757" s="58">
        <v>376</v>
      </c>
      <c r="AP757" s="45">
        <f t="shared" si="182"/>
        <v>257.03012681217609</v>
      </c>
      <c r="AQ757" s="45">
        <f t="shared" si="183"/>
        <v>-8860.4030458999059</v>
      </c>
      <c r="AR757" s="45">
        <f t="shared" si="184"/>
        <v>-150.6821932828002</v>
      </c>
      <c r="AS757" s="45">
        <f t="shared" si="185"/>
        <v>-3792.204133148557</v>
      </c>
      <c r="AT757" s="45">
        <f t="shared" si="171"/>
        <v>-955.2726742899448</v>
      </c>
      <c r="AU757" s="45">
        <f t="shared" si="172"/>
        <v>-955.70084742226311</v>
      </c>
      <c r="AV757" s="64">
        <f t="shared" si="173"/>
        <v>495.8863726695522</v>
      </c>
      <c r="AW757" s="64">
        <f t="shared" si="174"/>
        <v>410.92606502231558</v>
      </c>
      <c r="AX757" s="64">
        <f t="shared" si="175"/>
        <v>-156.34445738803234</v>
      </c>
      <c r="AY757" s="64">
        <f t="shared" si="176"/>
        <v>145.56524139379601</v>
      </c>
      <c r="AZ757" s="64">
        <f t="shared" si="177"/>
        <v>-1294.8145895714647</v>
      </c>
      <c r="BA757" s="64">
        <f t="shared" si="178"/>
        <v>-1512.1921538383747</v>
      </c>
      <c r="BB757" s="65">
        <f t="shared" si="179"/>
        <v>25640.741940082251</v>
      </c>
      <c r="BC757" s="65">
        <f t="shared" si="180"/>
        <v>27677.826370803879</v>
      </c>
      <c r="BD757" s="66">
        <f t="shared" si="181"/>
        <v>8082.7604512942225</v>
      </c>
    </row>
    <row r="758" spans="31:56" x14ac:dyDescent="0.25">
      <c r="AE758" s="71">
        <v>696</v>
      </c>
      <c r="AF758" s="17">
        <v>5.6548667764616285</v>
      </c>
      <c r="AG758" s="18">
        <v>-12735.626291535267</v>
      </c>
      <c r="AH758" s="20">
        <v>8134.8258462635913</v>
      </c>
      <c r="AN758" s="23">
        <v>753</v>
      </c>
      <c r="AO758" s="58">
        <v>376.5</v>
      </c>
      <c r="AP758" s="45">
        <f t="shared" si="182"/>
        <v>-57.129138401710208</v>
      </c>
      <c r="AQ758" s="45">
        <f t="shared" si="183"/>
        <v>-10995.430324329749</v>
      </c>
      <c r="AR758" s="45">
        <f t="shared" si="184"/>
        <v>-628.31853042777266</v>
      </c>
      <c r="AS758" s="45">
        <f t="shared" si="185"/>
        <v>-4270.054556859689</v>
      </c>
      <c r="AT758" s="45">
        <f t="shared" si="171"/>
        <v>-1262.0009375291129</v>
      </c>
      <c r="AU758" s="45">
        <f t="shared" si="172"/>
        <v>-722.15809846067054</v>
      </c>
      <c r="AV758" s="64">
        <f t="shared" si="173"/>
        <v>428.02455599228978</v>
      </c>
      <c r="AW758" s="64">
        <f t="shared" si="174"/>
        <v>394.69748127116134</v>
      </c>
      <c r="AX758" s="64">
        <f t="shared" si="175"/>
        <v>-135.45924514098866</v>
      </c>
      <c r="AY758" s="64">
        <f t="shared" si="176"/>
        <v>142.60861251527956</v>
      </c>
      <c r="AZ758" s="64">
        <f t="shared" si="177"/>
        <v>-1554.566248380414</v>
      </c>
      <c r="BA758" s="64">
        <f t="shared" si="178"/>
        <v>-1259.4641922471114</v>
      </c>
      <c r="BB758" s="65">
        <f t="shared" si="179"/>
        <v>27283.133473936959</v>
      </c>
      <c r="BC758" s="65">
        <f t="shared" si="180"/>
        <v>28957.316738713402</v>
      </c>
      <c r="BD758" s="66">
        <f t="shared" si="181"/>
        <v>6361.48965586954</v>
      </c>
    </row>
    <row r="759" spans="31:56" x14ac:dyDescent="0.25">
      <c r="AE759" s="71">
        <v>697</v>
      </c>
      <c r="AF759" s="17">
        <v>5.717698629533424</v>
      </c>
      <c r="AG759" s="18">
        <v>-12632.845619534834</v>
      </c>
      <c r="AH759" s="20">
        <v>8594.6401406070654</v>
      </c>
      <c r="AN759" s="23">
        <v>754</v>
      </c>
      <c r="AO759" s="58">
        <v>377</v>
      </c>
      <c r="AP759" s="45">
        <f t="shared" si="182"/>
        <v>-686.78863799787473</v>
      </c>
      <c r="AQ759" s="45">
        <f t="shared" si="183"/>
        <v>-13310.997127374761</v>
      </c>
      <c r="AR759" s="45">
        <f t="shared" si="184"/>
        <v>-1259.3189991923291</v>
      </c>
      <c r="AS759" s="45">
        <f t="shared" si="185"/>
        <v>-4631.1336060900239</v>
      </c>
      <c r="AT759" s="45">
        <f t="shared" si="171"/>
        <v>-1439.2772689817839</v>
      </c>
      <c r="AU759" s="45">
        <f t="shared" si="172"/>
        <v>-155.37512081524289</v>
      </c>
      <c r="AV759" s="64">
        <f t="shared" si="173"/>
        <v>363.56238499661936</v>
      </c>
      <c r="AW759" s="64">
        <f t="shared" si="174"/>
        <v>365.74530161190023</v>
      </c>
      <c r="AX759" s="64">
        <f t="shared" si="175"/>
        <v>-115.63370964759561</v>
      </c>
      <c r="AY759" s="64">
        <f t="shared" si="176"/>
        <v>139.56959424811848</v>
      </c>
      <c r="AZ759" s="64">
        <f t="shared" si="177"/>
        <v>-1687.2059443308076</v>
      </c>
      <c r="BA759" s="64">
        <f t="shared" si="178"/>
        <v>-660.69001667526163</v>
      </c>
      <c r="BB759" s="65">
        <f t="shared" si="179"/>
        <v>29343.497160168186</v>
      </c>
      <c r="BC759" s="65">
        <f t="shared" si="180"/>
        <v>30272.144294480404</v>
      </c>
      <c r="BD759" s="66">
        <f t="shared" si="181"/>
        <v>4632.1186251045583</v>
      </c>
    </row>
    <row r="760" spans="31:56" x14ac:dyDescent="0.25">
      <c r="AE760" s="71">
        <v>698</v>
      </c>
      <c r="AF760" s="17">
        <v>5.7805304826052195</v>
      </c>
      <c r="AG760" s="18">
        <v>-12559.139740141416</v>
      </c>
      <c r="AH760" s="20">
        <v>9060.0007482677211</v>
      </c>
      <c r="AN760" s="23">
        <v>755</v>
      </c>
      <c r="AO760" s="58">
        <v>377.5</v>
      </c>
      <c r="AP760" s="45">
        <f t="shared" si="182"/>
        <v>-1676.2674548394853</v>
      </c>
      <c r="AQ760" s="45">
        <f t="shared" si="183"/>
        <v>-15665.407710623585</v>
      </c>
      <c r="AR760" s="45">
        <f t="shared" si="184"/>
        <v>-1978.957633683221</v>
      </c>
      <c r="AS760" s="45">
        <f t="shared" si="185"/>
        <v>-4708.8211664976452</v>
      </c>
      <c r="AT760" s="45">
        <f t="shared" si="171"/>
        <v>-1267.5992534591289</v>
      </c>
      <c r="AU760" s="45">
        <f t="shared" si="172"/>
        <v>762.25136142108556</v>
      </c>
      <c r="AV760" s="64">
        <f t="shared" si="173"/>
        <v>308.35993641978035</v>
      </c>
      <c r="AW760" s="64">
        <f t="shared" si="174"/>
        <v>329.54398923470353</v>
      </c>
      <c r="AX760" s="64">
        <f t="shared" si="175"/>
        <v>-97.630448019853063</v>
      </c>
      <c r="AY760" s="64">
        <f t="shared" si="176"/>
        <v>136.74753477353934</v>
      </c>
      <c r="AZ760" s="64">
        <f t="shared" si="177"/>
        <v>-1478.3287418590562</v>
      </c>
      <c r="BA760" s="64">
        <f t="shared" si="178"/>
        <v>295.95983741284272</v>
      </c>
      <c r="BB760" s="65">
        <f t="shared" si="179"/>
        <v>31725.331915886272</v>
      </c>
      <c r="BC760" s="65">
        <f t="shared" si="180"/>
        <v>31535.255307974141</v>
      </c>
      <c r="BD760" s="66">
        <f t="shared" si="181"/>
        <v>3389.6851554556674</v>
      </c>
    </row>
    <row r="761" spans="31:56" x14ac:dyDescent="0.25">
      <c r="AE761" s="71">
        <v>699</v>
      </c>
      <c r="AF761" s="17">
        <v>5.8433623356770159</v>
      </c>
      <c r="AG761" s="18">
        <v>-12514.799536787963</v>
      </c>
      <c r="AH761" s="20">
        <v>9529.0711035301501</v>
      </c>
      <c r="AN761" s="23">
        <v>756</v>
      </c>
      <c r="AO761" s="58">
        <v>378</v>
      </c>
      <c r="AP761" s="45">
        <f t="shared" si="182"/>
        <v>-2982.6460850458784</v>
      </c>
      <c r="AQ761" s="45">
        <f t="shared" si="183"/>
        <v>-17829.255453517137</v>
      </c>
      <c r="AR761" s="45">
        <f t="shared" si="184"/>
        <v>-2612.7572604127854</v>
      </c>
      <c r="AS761" s="45">
        <f t="shared" si="185"/>
        <v>-4327.6954857871024</v>
      </c>
      <c r="AT761" s="45">
        <f t="shared" si="171"/>
        <v>-706.61443524516642</v>
      </c>
      <c r="AU761" s="45">
        <f t="shared" si="172"/>
        <v>1676.2672588885525</v>
      </c>
      <c r="AV761" s="64">
        <f t="shared" si="173"/>
        <v>265.95576900359322</v>
      </c>
      <c r="AW761" s="64">
        <f t="shared" si="174"/>
        <v>293.11079270423181</v>
      </c>
      <c r="AX761" s="64">
        <f t="shared" si="175"/>
        <v>-82.301585398573167</v>
      </c>
      <c r="AY761" s="64">
        <f t="shared" si="176"/>
        <v>134.591538480824</v>
      </c>
      <c r="AZ761" s="64">
        <f t="shared" si="177"/>
        <v>-890.2686188501865</v>
      </c>
      <c r="BA761" s="64">
        <f t="shared" si="178"/>
        <v>1248.5649277034968</v>
      </c>
      <c r="BB761" s="65">
        <f t="shared" si="179"/>
        <v>34201.947355377328</v>
      </c>
      <c r="BC761" s="65">
        <f t="shared" si="180"/>
        <v>32619.898733195318</v>
      </c>
      <c r="BD761" s="66">
        <f t="shared" si="181"/>
        <v>3474.8242026665434</v>
      </c>
    </row>
    <row r="762" spans="31:56" x14ac:dyDescent="0.25">
      <c r="AE762" s="71">
        <v>700</v>
      </c>
      <c r="AF762" s="17">
        <v>5.9061941887488114</v>
      </c>
      <c r="AG762" s="18">
        <v>-12500</v>
      </c>
      <c r="AH762" s="20">
        <v>10000.000000000005</v>
      </c>
      <c r="AN762" s="23">
        <v>757</v>
      </c>
      <c r="AO762" s="58">
        <v>378.5</v>
      </c>
      <c r="AP762" s="45">
        <f t="shared" si="182"/>
        <v>-4465.6783240635632</v>
      </c>
      <c r="AQ762" s="45">
        <f t="shared" si="183"/>
        <v>-19574.036381688551</v>
      </c>
      <c r="AR762" s="45">
        <f t="shared" si="184"/>
        <v>-2966.0644780353687</v>
      </c>
      <c r="AS762" s="45">
        <f t="shared" si="185"/>
        <v>-3489.5618563428261</v>
      </c>
      <c r="AT762" s="45">
        <f t="shared" si="171"/>
        <v>-43.320550931286562</v>
      </c>
      <c r="AU762" s="45">
        <f t="shared" si="172"/>
        <v>2190.0533329639716</v>
      </c>
      <c r="AV762" s="64">
        <f t="shared" si="173"/>
        <v>236.50247948363267</v>
      </c>
      <c r="AW762" s="64">
        <f t="shared" si="174"/>
        <v>261.71670570856742</v>
      </c>
      <c r="AX762" s="64">
        <f t="shared" si="175"/>
        <v>-70.166591998967078</v>
      </c>
      <c r="AY762" s="64">
        <f t="shared" si="176"/>
        <v>133.58223087210908</v>
      </c>
      <c r="AZ762" s="64">
        <f t="shared" si="177"/>
        <v>-209.65643841595215</v>
      </c>
      <c r="BA762" s="64">
        <f t="shared" si="178"/>
        <v>1794.7543963832952</v>
      </c>
      <c r="BB762" s="65">
        <f t="shared" si="179"/>
        <v>36490.722956027457</v>
      </c>
      <c r="BC762" s="65">
        <f t="shared" si="180"/>
        <v>33405.669845655044</v>
      </c>
      <c r="BD762" s="66">
        <f t="shared" si="181"/>
        <v>4605.1393545023166</v>
      </c>
    </row>
    <row r="763" spans="31:56" x14ac:dyDescent="0.25">
      <c r="AE763" s="71">
        <v>701</v>
      </c>
      <c r="AF763" s="17">
        <v>5.9690260418206078</v>
      </c>
      <c r="AG763" s="18" cm="1">
        <f t="array" ref="AG763:AG862">COS(AF63:AF162)*$AL$36+$K$26</f>
        <v>-12514.799536787963</v>
      </c>
      <c r="AH763" s="20" cm="1">
        <f t="array" ref="AH763:AH862">SIN(AF63:AF162)*$AL$36+$L$26</f>
        <v>10470.92889646985</v>
      </c>
      <c r="AN763" s="23">
        <v>758</v>
      </c>
      <c r="AO763" s="58">
        <v>379</v>
      </c>
      <c r="AP763" s="45">
        <f t="shared" si="182"/>
        <v>-5959.5407008140692</v>
      </c>
      <c r="AQ763" s="45">
        <f t="shared" si="183"/>
        <v>-20771.303976618972</v>
      </c>
      <c r="AR763" s="45">
        <f t="shared" si="184"/>
        <v>-2987.7247535010119</v>
      </c>
      <c r="AS763" s="45">
        <f t="shared" si="185"/>
        <v>-2394.5351898608405</v>
      </c>
      <c r="AT763" s="45">
        <f t="shared" si="171"/>
        <v>479.71248126048863</v>
      </c>
      <c r="AU763" s="45">
        <f t="shared" si="172"/>
        <v>2314.4938867145356</v>
      </c>
      <c r="AV763" s="64">
        <f t="shared" si="173"/>
        <v>217.8384153620585</v>
      </c>
      <c r="AW763" s="64">
        <f t="shared" si="174"/>
        <v>237.23748156655992</v>
      </c>
      <c r="AX763" s="64">
        <f t="shared" si="175"/>
        <v>-61.194052783969354</v>
      </c>
      <c r="AY763" s="64">
        <f t="shared" si="176"/>
        <v>134.11390323149649</v>
      </c>
      <c r="AZ763" s="64">
        <f t="shared" si="177"/>
        <v>323.06811868239947</v>
      </c>
      <c r="BA763" s="64">
        <f t="shared" si="178"/>
        <v>1943.142501916479</v>
      </c>
      <c r="BB763" s="65">
        <f t="shared" si="179"/>
        <v>38381.823587938263</v>
      </c>
      <c r="BC763" s="65">
        <f t="shared" si="180"/>
        <v>33823.182076108445</v>
      </c>
      <c r="BD763" s="66">
        <f t="shared" si="181"/>
        <v>5850.5271512109675</v>
      </c>
    </row>
    <row r="764" spans="31:56" x14ac:dyDescent="0.25">
      <c r="AE764" s="71">
        <v>702</v>
      </c>
      <c r="AF764" s="17">
        <v>6.0318578948924033</v>
      </c>
      <c r="AG764" s="18">
        <v>-12559.139740141416</v>
      </c>
      <c r="AH764" s="20">
        <v>10939.999251732283</v>
      </c>
      <c r="AN764" s="23">
        <v>759</v>
      </c>
      <c r="AO764" s="58">
        <v>379.5</v>
      </c>
      <c r="AP764" s="45">
        <f t="shared" si="182"/>
        <v>-7333.4749572494529</v>
      </c>
      <c r="AQ764" s="45">
        <f t="shared" si="183"/>
        <v>-21389.948099870759</v>
      </c>
      <c r="AR764" s="45">
        <f t="shared" si="184"/>
        <v>-2747.8685128707675</v>
      </c>
      <c r="AS764" s="45">
        <f t="shared" si="185"/>
        <v>-1237.2882465035727</v>
      </c>
      <c r="AT764" s="45">
        <f t="shared" si="171"/>
        <v>843.05337861220482</v>
      </c>
      <c r="AU764" s="45">
        <f t="shared" si="172"/>
        <v>2247.0252980512369</v>
      </c>
      <c r="AV764" s="64">
        <f t="shared" si="173"/>
        <v>207.51624871299049</v>
      </c>
      <c r="AW764" s="64">
        <f t="shared" si="174"/>
        <v>219.33302167305013</v>
      </c>
      <c r="AX764" s="64">
        <f t="shared" si="175"/>
        <v>-55.083804612906711</v>
      </c>
      <c r="AY764" s="64">
        <f t="shared" si="176"/>
        <v>136.50766584416687</v>
      </c>
      <c r="AZ764" s="64">
        <f t="shared" si="177"/>
        <v>690.62093451212104</v>
      </c>
      <c r="BA764" s="64">
        <f t="shared" si="178"/>
        <v>1891.1846105340198</v>
      </c>
      <c r="BB764" s="65">
        <f t="shared" si="179"/>
        <v>39771.195034243174</v>
      </c>
      <c r="BC764" s="65">
        <f t="shared" si="180"/>
        <v>33849.220055581878</v>
      </c>
      <c r="BD764" s="66">
        <f t="shared" si="181"/>
        <v>6802.6863881228755</v>
      </c>
    </row>
    <row r="765" spans="31:56" x14ac:dyDescent="0.25">
      <c r="AE765" s="71">
        <v>703</v>
      </c>
      <c r="AF765" s="17">
        <v>6.0946897479641988</v>
      </c>
      <c r="AG765" s="18">
        <v>-12632.845619534834</v>
      </c>
      <c r="AH765" s="20">
        <v>11405.359859392935</v>
      </c>
      <c r="AN765" s="23">
        <v>760</v>
      </c>
      <c r="AO765" s="58">
        <v>380</v>
      </c>
      <c r="AP765" s="45">
        <f t="shared" si="182"/>
        <v>-8496.6458690317868</v>
      </c>
      <c r="AQ765" s="45">
        <f t="shared" si="183"/>
        <v>-21446.835898609737</v>
      </c>
      <c r="AR765" s="45">
        <f t="shared" si="184"/>
        <v>-2326.341823564665</v>
      </c>
      <c r="AS765" s="45">
        <f t="shared" si="185"/>
        <v>-113.77559747795431</v>
      </c>
      <c r="AT765" s="45">
        <f t="shared" si="171"/>
        <v>1112.1988991996607</v>
      </c>
      <c r="AU765" s="45">
        <f t="shared" si="172"/>
        <v>2118.0658020874662</v>
      </c>
      <c r="AV765" s="64">
        <f t="shared" si="173"/>
        <v>203.81842172082449</v>
      </c>
      <c r="AW765" s="64">
        <f t="shared" si="174"/>
        <v>207.03834527690671</v>
      </c>
      <c r="AX765" s="64">
        <f t="shared" si="175"/>
        <v>-51.607168580332605</v>
      </c>
      <c r="AY765" s="64">
        <f t="shared" si="176"/>
        <v>141.07904034429768</v>
      </c>
      <c r="AZ765" s="64">
        <f t="shared" si="177"/>
        <v>959.9876460591687</v>
      </c>
      <c r="BA765" s="64">
        <f t="shared" si="178"/>
        <v>1769.9484164662617</v>
      </c>
      <c r="BB765" s="65">
        <f t="shared" si="179"/>
        <v>40619.922874447308</v>
      </c>
      <c r="BC765" s="65">
        <f t="shared" si="180"/>
        <v>33484.782279366154</v>
      </c>
      <c r="BD765" s="66">
        <f t="shared" si="181"/>
        <v>7334.0456391421703</v>
      </c>
    </row>
    <row r="766" spans="31:56" x14ac:dyDescent="0.25">
      <c r="AE766" s="71">
        <v>704</v>
      </c>
      <c r="AF766" s="17">
        <v>6.1575216010359952</v>
      </c>
      <c r="AG766" s="18">
        <v>-12735.626291535267</v>
      </c>
      <c r="AH766" s="20">
        <v>11865.174153736411</v>
      </c>
      <c r="AN766" s="23">
        <v>761</v>
      </c>
      <c r="AO766" s="58">
        <v>380.5</v>
      </c>
      <c r="AP766" s="45">
        <f t="shared" si="182"/>
        <v>-9381.7670560142033</v>
      </c>
      <c r="AQ766" s="45">
        <f t="shared" si="183"/>
        <v>-20974.207246826849</v>
      </c>
      <c r="AR766" s="45">
        <f t="shared" si="184"/>
        <v>-1770.2423739648348</v>
      </c>
      <c r="AS766" s="45">
        <f t="shared" si="185"/>
        <v>945.25730356577878</v>
      </c>
      <c r="AT766" s="45">
        <f t="shared" si="171"/>
        <v>1345.2533435783932</v>
      </c>
      <c r="AU766" s="45">
        <f t="shared" si="172"/>
        <v>1970.4113917044829</v>
      </c>
      <c r="AV766" s="64">
        <f t="shared" si="173"/>
        <v>205.88318494661945</v>
      </c>
      <c r="AW766" s="64">
        <f t="shared" si="174"/>
        <v>199.52375449817771</v>
      </c>
      <c r="AX766" s="64">
        <f t="shared" si="175"/>
        <v>-50.798436706613167</v>
      </c>
      <c r="AY766" s="64">
        <f t="shared" si="176"/>
        <v>148.18297118417004</v>
      </c>
      <c r="AZ766" s="64">
        <f t="shared" si="177"/>
        <v>1190.1685953383869</v>
      </c>
      <c r="BA766" s="64">
        <f t="shared" si="178"/>
        <v>1622.7046660221351</v>
      </c>
      <c r="BB766" s="65">
        <f t="shared" si="179"/>
        <v>40915.384804118956</v>
      </c>
      <c r="BC766" s="65">
        <f t="shared" si="180"/>
        <v>32743.677029651484</v>
      </c>
      <c r="BD766" s="66">
        <f t="shared" si="181"/>
        <v>7408.8484099224097</v>
      </c>
    </row>
    <row r="767" spans="31:56" x14ac:dyDescent="0.25">
      <c r="AE767" s="71">
        <v>705</v>
      </c>
      <c r="AF767" s="17">
        <v>6.2203534541077907</v>
      </c>
      <c r="AG767" s="18">
        <v>-12867.076127786349</v>
      </c>
      <c r="AH767" s="20">
        <v>12317.627457812105</v>
      </c>
      <c r="AN767" s="23">
        <v>762</v>
      </c>
      <c r="AO767" s="58">
        <v>381</v>
      </c>
      <c r="AP767" s="45">
        <f t="shared" si="182"/>
        <v>-9930.5749071020236</v>
      </c>
      <c r="AQ767" s="45">
        <f t="shared" si="183"/>
        <v>-20008.975747117838</v>
      </c>
      <c r="AR767" s="45">
        <f t="shared" si="184"/>
        <v>-1097.615702175638</v>
      </c>
      <c r="AS767" s="45">
        <f t="shared" si="185"/>
        <v>1930.4629994180202</v>
      </c>
      <c r="AT767" s="45">
        <f t="shared" si="171"/>
        <v>1574.2533767599753</v>
      </c>
      <c r="AU767" s="45">
        <f t="shared" si="172"/>
        <v>1790.72323128788</v>
      </c>
      <c r="AV767" s="64">
        <f t="shared" si="173"/>
        <v>213.59730382418834</v>
      </c>
      <c r="AW767" s="64">
        <f t="shared" si="174"/>
        <v>196.31574297475714</v>
      </c>
      <c r="AX767" s="64">
        <f t="shared" si="175"/>
        <v>-53.080563717948515</v>
      </c>
      <c r="AY767" s="64">
        <f t="shared" si="176"/>
        <v>158.19109180113341</v>
      </c>
      <c r="AZ767" s="64">
        <f t="shared" si="177"/>
        <v>1413.7366366537353</v>
      </c>
      <c r="BA767" s="64">
        <f t="shared" si="178"/>
        <v>1436.2163965119894</v>
      </c>
      <c r="BB767" s="65">
        <f t="shared" si="179"/>
        <v>40651.974871156788</v>
      </c>
      <c r="BC767" s="65">
        <f t="shared" si="180"/>
        <v>31653.308627892126</v>
      </c>
      <c r="BD767" s="66">
        <f t="shared" si="181"/>
        <v>7028.5423061797692</v>
      </c>
    </row>
    <row r="768" spans="31:56" x14ac:dyDescent="0.25">
      <c r="AE768" s="71">
        <v>706</v>
      </c>
      <c r="AF768" s="17">
        <v>6.2831853071795871</v>
      </c>
      <c r="AG768" s="18">
        <v>-13026.676355838115</v>
      </c>
      <c r="AH768" s="20">
        <v>12760.934145135085</v>
      </c>
      <c r="AN768" s="23">
        <v>763</v>
      </c>
      <c r="AO768" s="58">
        <v>381.5</v>
      </c>
      <c r="AP768" s="45">
        <f t="shared" si="182"/>
        <v>-10085.819413999849</v>
      </c>
      <c r="AQ768" s="45">
        <f t="shared" si="183"/>
        <v>-18596.063439586858</v>
      </c>
      <c r="AR768" s="45">
        <f t="shared" si="184"/>
        <v>-310.48901379565041</v>
      </c>
      <c r="AS768" s="45">
        <f t="shared" si="185"/>
        <v>2825.8246150619602</v>
      </c>
      <c r="AT768" s="45">
        <f t="shared" si="171"/>
        <v>1796.6243734766776</v>
      </c>
      <c r="AU768" s="45">
        <f t="shared" si="172"/>
        <v>1520.1332732902729</v>
      </c>
      <c r="AV768" s="64">
        <f t="shared" si="173"/>
        <v>227.51596903788291</v>
      </c>
      <c r="AW768" s="64">
        <f t="shared" si="174"/>
        <v>197.34450572314739</v>
      </c>
      <c r="AX768" s="64">
        <f t="shared" si="175"/>
        <v>-59.393807483630852</v>
      </c>
      <c r="AY768" s="64">
        <f t="shared" si="176"/>
        <v>171.31310772358478</v>
      </c>
      <c r="AZ768" s="64">
        <f t="shared" si="177"/>
        <v>1628.5022119224257</v>
      </c>
      <c r="BA768" s="64">
        <f t="shared" si="178"/>
        <v>1151.4756598435408</v>
      </c>
      <c r="BB768" s="65">
        <f t="shared" si="179"/>
        <v>39826.637528854379</v>
      </c>
      <c r="BC768" s="65">
        <f t="shared" si="180"/>
        <v>30265.91847165221</v>
      </c>
      <c r="BD768" s="66">
        <f t="shared" si="181"/>
        <v>6228.7423588836155</v>
      </c>
    </row>
    <row r="769" spans="31:56" x14ac:dyDescent="0.25">
      <c r="AE769" s="71">
        <v>707</v>
      </c>
      <c r="AF769" s="17" cm="1">
        <f t="array" ref="AF769:AF869">$AL$35*AE62:AE162</f>
        <v>0</v>
      </c>
      <c r="AG769" s="18">
        <v>-13213.797106504855</v>
      </c>
      <c r="AH769" s="20">
        <v>13193.344686738044</v>
      </c>
      <c r="AN769" s="23">
        <v>764</v>
      </c>
      <c r="AO769" s="58">
        <v>382</v>
      </c>
      <c r="AP769" s="45">
        <f t="shared" si="182"/>
        <v>-9791.9078275285046</v>
      </c>
      <c r="AQ769" s="45">
        <f t="shared" si="183"/>
        <v>-16803.117813733312</v>
      </c>
      <c r="AR769" s="45">
        <f t="shared" si="184"/>
        <v>587.82317294268842</v>
      </c>
      <c r="AS769" s="45">
        <f t="shared" si="185"/>
        <v>3585.8912517070967</v>
      </c>
      <c r="AT769" s="45">
        <f t="shared" si="171"/>
        <v>1947.046121874921</v>
      </c>
      <c r="AU769" s="45">
        <f t="shared" si="172"/>
        <v>1055.8587683268443</v>
      </c>
      <c r="AV769" s="64">
        <f t="shared" si="173"/>
        <v>248.80217079611089</v>
      </c>
      <c r="AW769" s="64">
        <f t="shared" si="174"/>
        <v>202.96345249776851</v>
      </c>
      <c r="AX769" s="64">
        <f t="shared" si="175"/>
        <v>-71.244660599659312</v>
      </c>
      <c r="AY769" s="64">
        <f t="shared" si="176"/>
        <v>187.06522231467878</v>
      </c>
      <c r="AZ769" s="64">
        <f t="shared" si="177"/>
        <v>1769.4886116784694</v>
      </c>
      <c r="BA769" s="64">
        <f t="shared" si="178"/>
        <v>665.83009351439682</v>
      </c>
      <c r="BB769" s="65">
        <f t="shared" si="179"/>
        <v>38447.357613653447</v>
      </c>
      <c r="BC769" s="65">
        <f t="shared" si="180"/>
        <v>28681.218076269735</v>
      </c>
      <c r="BD769" s="66">
        <f t="shared" si="181"/>
        <v>5119.9232882662754</v>
      </c>
    </row>
    <row r="770" spans="31:56" x14ac:dyDescent="0.25">
      <c r="AE770" s="71">
        <v>708</v>
      </c>
      <c r="AF770" s="17">
        <v>6.2831853071795868E-2</v>
      </c>
      <c r="AG770" s="18">
        <v>-13427.699899671024</v>
      </c>
      <c r="AH770" s="20">
        <v>13613.152555762865</v>
      </c>
      <c r="AN770" s="23">
        <v>765</v>
      </c>
      <c r="AO770" s="58">
        <v>382.5</v>
      </c>
      <c r="AP770" s="45">
        <f t="shared" si="182"/>
        <v>-9011.234710588431</v>
      </c>
      <c r="AQ770" s="45">
        <f t="shared" si="183"/>
        <v>-14746.207495798053</v>
      </c>
      <c r="AR770" s="45">
        <f t="shared" si="184"/>
        <v>1561.3462338801489</v>
      </c>
      <c r="AS770" s="45">
        <f t="shared" si="185"/>
        <v>4113.8206358705193</v>
      </c>
      <c r="AT770" s="45">
        <f t="shared" si="171"/>
        <v>1866.4975678303963</v>
      </c>
      <c r="AU770" s="45">
        <f t="shared" si="172"/>
        <v>310.96277759885231</v>
      </c>
      <c r="AV770" s="64">
        <f t="shared" si="173"/>
        <v>278.98815294406683</v>
      </c>
      <c r="AW770" s="64">
        <f t="shared" si="174"/>
        <v>213.93189228853984</v>
      </c>
      <c r="AX770" s="64">
        <f t="shared" si="175"/>
        <v>-90.224627736538125</v>
      </c>
      <c r="AY770" s="64">
        <f t="shared" si="176"/>
        <v>203.18182256116486</v>
      </c>
      <c r="AZ770" s="64">
        <f t="shared" si="177"/>
        <v>1677.7340426228675</v>
      </c>
      <c r="BA770" s="64">
        <f t="shared" si="178"/>
        <v>-106.15093725085238</v>
      </c>
      <c r="BB770" s="65">
        <f t="shared" si="179"/>
        <v>36558.794938823579</v>
      </c>
      <c r="BC770" s="65">
        <f t="shared" si="180"/>
        <v>27076.331878799021</v>
      </c>
      <c r="BD770" s="66">
        <f t="shared" si="181"/>
        <v>4019.2554706834139</v>
      </c>
    </row>
    <row r="771" spans="31:56" x14ac:dyDescent="0.25">
      <c r="AE771" s="71">
        <v>709</v>
      </c>
      <c r="AF771" s="17">
        <v>0.12566370614359174</v>
      </c>
      <c r="AG771" s="18">
        <v>-13667.540558734887</v>
      </c>
      <c r="AH771" s="20">
        <v>14018.700962342475</v>
      </c>
      <c r="AN771" s="23">
        <v>766</v>
      </c>
      <c r="AO771" s="58">
        <v>383</v>
      </c>
      <c r="AP771" s="45">
        <f t="shared" si="182"/>
        <v>-7763.9372016907582</v>
      </c>
      <c r="AQ771" s="45">
        <f t="shared" si="183"/>
        <v>-12611.55648346308</v>
      </c>
      <c r="AR771" s="45">
        <f t="shared" si="184"/>
        <v>2494.5950177953473</v>
      </c>
      <c r="AS771" s="45">
        <f t="shared" si="185"/>
        <v>4269.3020246699452</v>
      </c>
      <c r="AT771" s="45">
        <f t="shared" si="171"/>
        <v>1402.3411394442639</v>
      </c>
      <c r="AU771" s="45">
        <f t="shared" si="172"/>
        <v>-590.50423392746825</v>
      </c>
      <c r="AV771" s="64">
        <f t="shared" si="173"/>
        <v>319.19461918775846</v>
      </c>
      <c r="AW771" s="64">
        <f t="shared" si="174"/>
        <v>231.21722853562568</v>
      </c>
      <c r="AX771" s="64">
        <f t="shared" si="175"/>
        <v>-116.15649635217139</v>
      </c>
      <c r="AY771" s="64">
        <f t="shared" si="176"/>
        <v>214.65067820273191</v>
      </c>
      <c r="AZ771" s="64">
        <f t="shared" si="177"/>
        <v>1199.3030166086769</v>
      </c>
      <c r="BA771" s="64">
        <f t="shared" si="178"/>
        <v>-1036.3721406658258</v>
      </c>
      <c r="BB771" s="65">
        <f t="shared" si="179"/>
        <v>34282.807836099913</v>
      </c>
      <c r="BC771" s="65">
        <f t="shared" si="180"/>
        <v>25709.992598384943</v>
      </c>
      <c r="BD771" s="66">
        <f t="shared" si="181"/>
        <v>3652.9455630459902</v>
      </c>
    </row>
    <row r="772" spans="31:56" x14ac:dyDescent="0.25">
      <c r="AE772" s="71">
        <v>710</v>
      </c>
      <c r="AF772" s="17">
        <v>0.1884955592153876</v>
      </c>
      <c r="AG772" s="18">
        <v>-13932.372542187895</v>
      </c>
      <c r="AH772" s="20">
        <v>14408.389392193549</v>
      </c>
      <c r="AN772" s="23">
        <v>767</v>
      </c>
      <c r="AO772" s="58">
        <v>383.5</v>
      </c>
      <c r="AP772" s="45">
        <f t="shared" si="182"/>
        <v>-6166.0544079320189</v>
      </c>
      <c r="AQ772" s="45">
        <f t="shared" si="183"/>
        <v>-10624.531529609974</v>
      </c>
      <c r="AR772" s="45">
        <f t="shared" si="184"/>
        <v>3195.7655875174792</v>
      </c>
      <c r="AS772" s="45">
        <f t="shared" si="185"/>
        <v>3974.0499077062113</v>
      </c>
      <c r="AT772" s="45">
        <f t="shared" si="171"/>
        <v>685.80169875129923</v>
      </c>
      <c r="AU772" s="45">
        <f t="shared" si="172"/>
        <v>-1260.7311163056606</v>
      </c>
      <c r="AV772" s="64">
        <f t="shared" si="173"/>
        <v>368.89253076019781</v>
      </c>
      <c r="AW772" s="64">
        <f t="shared" si="174"/>
        <v>255.52206689496205</v>
      </c>
      <c r="AX772" s="64">
        <f t="shared" si="175"/>
        <v>-144.63475943563924</v>
      </c>
      <c r="AY772" s="64">
        <f t="shared" si="176"/>
        <v>215.63075670676929</v>
      </c>
      <c r="AZ772" s="64">
        <f t="shared" si="177"/>
        <v>461.54392742674071</v>
      </c>
      <c r="BA772" s="64">
        <f t="shared" si="178"/>
        <v>-1731.883939907392</v>
      </c>
      <c r="BB772" s="65">
        <f t="shared" si="179"/>
        <v>31830.190801292483</v>
      </c>
      <c r="BC772" s="65">
        <f t="shared" si="180"/>
        <v>24834.438819111114</v>
      </c>
      <c r="BD772" s="66">
        <f t="shared" si="181"/>
        <v>4528.1792386824663</v>
      </c>
    </row>
    <row r="773" spans="31:56" x14ac:dyDescent="0.25">
      <c r="AE773" s="71">
        <v>711</v>
      </c>
      <c r="AF773" s="17">
        <v>0.25132741228718347</v>
      </c>
      <c r="AG773" s="18">
        <v>-14221.150679181581</v>
      </c>
      <c r="AH773" s="20">
        <v>14780.679923115173</v>
      </c>
      <c r="AN773" s="23">
        <v>768</v>
      </c>
      <c r="AO773" s="58">
        <v>384</v>
      </c>
      <c r="AP773" s="45">
        <f t="shared" si="182"/>
        <v>-4396.7211894854545</v>
      </c>
      <c r="AQ773" s="45">
        <f t="shared" si="183"/>
        <v>-8952.6893548332828</v>
      </c>
      <c r="AR773" s="45">
        <f t="shared" si="184"/>
        <v>3538.6664368931288</v>
      </c>
      <c r="AS773" s="45">
        <f t="shared" si="185"/>
        <v>3343.6843495533813</v>
      </c>
      <c r="AT773" s="45">
        <f t="shared" si="171"/>
        <v>59.959016699248167</v>
      </c>
      <c r="AU773" s="45">
        <f t="shared" si="172"/>
        <v>-1484.450084371302</v>
      </c>
      <c r="AV773" s="64">
        <f t="shared" si="173"/>
        <v>425.53757244886526</v>
      </c>
      <c r="AW773" s="64">
        <f t="shared" si="174"/>
        <v>286.97452554929589</v>
      </c>
      <c r="AX773" s="64">
        <f t="shared" si="175"/>
        <v>-168.44971244816517</v>
      </c>
      <c r="AY773" s="64">
        <f t="shared" si="176"/>
        <v>204.60924339759248</v>
      </c>
      <c r="AZ773" s="64">
        <f t="shared" si="177"/>
        <v>-197.12884330145189</v>
      </c>
      <c r="BA773" s="64">
        <f t="shared" si="178"/>
        <v>-1976.0338533181903</v>
      </c>
      <c r="BB773" s="65">
        <f t="shared" si="179"/>
        <v>29426.025756192987</v>
      </c>
      <c r="BC773" s="65">
        <f t="shared" si="180"/>
        <v>24549.271749269119</v>
      </c>
      <c r="BD773" s="66">
        <f t="shared" si="181"/>
        <v>6077.3276497456136</v>
      </c>
    </row>
    <row r="774" spans="31:56" x14ac:dyDescent="0.25">
      <c r="AE774" s="71">
        <v>712</v>
      </c>
      <c r="AF774" s="17">
        <v>0.31415926535897931</v>
      </c>
      <c r="AG774" s="18">
        <v>-14532.735294339414</v>
      </c>
      <c r="AH774" s="20">
        <v>15134.103294465165</v>
      </c>
      <c r="AN774" s="23">
        <v>769</v>
      </c>
      <c r="AO774" s="58">
        <v>384.5</v>
      </c>
      <c r="AP774" s="45">
        <f t="shared" si="182"/>
        <v>-2612.3982168640782</v>
      </c>
      <c r="AQ774" s="45">
        <f t="shared" si="183"/>
        <v>-7651.9597011494179</v>
      </c>
      <c r="AR774" s="45">
        <f t="shared" si="184"/>
        <v>3568.645945242753</v>
      </c>
      <c r="AS774" s="45">
        <f t="shared" si="185"/>
        <v>2601.4593073677302</v>
      </c>
      <c r="AT774" s="45">
        <f t="shared" ref="AT774:AT837" si="186">AV774+AX774+AZ774</f>
        <v>-316.88982028243049</v>
      </c>
      <c r="AU774" s="45">
        <f t="shared" ref="AU774:AU837" si="187">AW774+AY774+BA774</f>
        <v>-1395.4122884082099</v>
      </c>
      <c r="AV774" s="64">
        <f t="shared" ref="AV774:AV837" si="188">$K$22*(($K$18-AP774)/((BB774^2+$K$23^2)^(3/2)))</f>
        <v>485.54203201692525</v>
      </c>
      <c r="AW774" s="64">
        <f t="shared" ref="AW774:AW837" si="189">$K$22*(($L$18-AQ774)/((BB774^2+$K$23^2)^(3/2)))</f>
        <v>325.34865306095429</v>
      </c>
      <c r="AX774" s="64">
        <f t="shared" ref="AX774:AX837" si="190">$K$30*(($K$26-AP774)/((BC774^2+$K$31^2)^(3/2)))</f>
        <v>-182.95335355638056</v>
      </c>
      <c r="AY774" s="64">
        <f t="shared" ref="AY774:AY837" si="191">$K$30*(($L$26-AQ774)/((BC774^2+$K$31^2)^(3/2)))</f>
        <v>185.73494288899693</v>
      </c>
      <c r="AZ774" s="64">
        <f t="shared" ref="AZ774:AZ837" si="192">$K$38*(($K$34-AP774)/((BD774^2+$K$39^2)^(3/2)))</f>
        <v>-619.47849874297515</v>
      </c>
      <c r="BA774" s="64">
        <f t="shared" ref="BA774:BA837" si="193">$K$38*(($L$34-AQ774)/((BD774^2+$K$39^2)^(3/2)))</f>
        <v>-1906.4958843581612</v>
      </c>
      <c r="BB774" s="65">
        <f t="shared" ref="BB774:BB837" si="194">SQRT(($K$18-AP774)^2+($L$18-AQ774)^2)</f>
        <v>27219.523065316444</v>
      </c>
      <c r="BC774" s="65">
        <f t="shared" ref="BC774:BC837" si="195">SQRT(($K$26-AP774)^2+($L$26-AQ774)^2)</f>
        <v>24777.416674462143</v>
      </c>
      <c r="BD774" s="66">
        <f t="shared" ref="BD774:BD837" si="196">SQRT(($K$34-AP774)^2+($L$34-AQ774)^2)</f>
        <v>7726.2111353732753</v>
      </c>
    </row>
    <row r="775" spans="31:56" x14ac:dyDescent="0.25">
      <c r="AE775" s="71">
        <v>713</v>
      </c>
      <c r="AF775" s="17">
        <v>0.37699111843077521</v>
      </c>
      <c r="AG775" s="18">
        <v>-14865.896705534837</v>
      </c>
      <c r="AH775" s="20">
        <v>15467.264705660586</v>
      </c>
      <c r="AN775" s="23">
        <v>770</v>
      </c>
      <c r="AO775" s="58">
        <v>385</v>
      </c>
      <c r="AP775" s="45">
        <f t="shared" ref="AP775:AP838" si="197">AP774+AR774*$K$5+AT774*$K$5^2</f>
        <v>-907.29769931330929</v>
      </c>
      <c r="AQ775" s="45">
        <f t="shared" ref="AQ775:AQ838" si="198">AQ774+AS774*$K$5+AU774*$K$5^2</f>
        <v>-6700.0831195676055</v>
      </c>
      <c r="AR775" s="45">
        <f t="shared" ref="AR775:AR838" si="199">AR774+AT774*$K$5</f>
        <v>3410.2010351015379</v>
      </c>
      <c r="AS775" s="45">
        <f t="shared" ref="AS775:AS838" si="200">AS774+AU774*$K$5</f>
        <v>1903.7531631636252</v>
      </c>
      <c r="AT775" s="45">
        <f t="shared" si="186"/>
        <v>-490.24578257468983</v>
      </c>
      <c r="AU775" s="45">
        <f t="shared" si="187"/>
        <v>-1183.2875081859052</v>
      </c>
      <c r="AV775" s="64">
        <f t="shared" si="188"/>
        <v>545.18476159002341</v>
      </c>
      <c r="AW775" s="64">
        <f t="shared" si="189"/>
        <v>370.28548794013932</v>
      </c>
      <c r="AX775" s="64">
        <f t="shared" si="190"/>
        <v>-188.19233059598304</v>
      </c>
      <c r="AY775" s="64">
        <f t="shared" si="191"/>
        <v>164.60883922675669</v>
      </c>
      <c r="AZ775" s="64">
        <f t="shared" si="192"/>
        <v>-847.2382135687302</v>
      </c>
      <c r="BA775" s="64">
        <f t="shared" si="193"/>
        <v>-1718.181835352801</v>
      </c>
      <c r="BB775" s="65">
        <f t="shared" si="194"/>
        <v>25273.651451468988</v>
      </c>
      <c r="BC775" s="65">
        <f t="shared" si="195"/>
        <v>25365.804882619312</v>
      </c>
      <c r="BD775" s="66">
        <f t="shared" si="196"/>
        <v>9254.1251528241573</v>
      </c>
    </row>
    <row r="776" spans="31:56" x14ac:dyDescent="0.25">
      <c r="AE776" s="71">
        <v>714</v>
      </c>
      <c r="AF776" s="17">
        <v>0.4398229715025711</v>
      </c>
      <c r="AG776" s="18">
        <v>-15219.320076884827</v>
      </c>
      <c r="AH776" s="20">
        <v>15778.849320818419</v>
      </c>
      <c r="AN776" s="23">
        <v>771</v>
      </c>
      <c r="AO776" s="58">
        <v>385.5</v>
      </c>
      <c r="AP776" s="45">
        <f t="shared" si="197"/>
        <v>675.24137259378722</v>
      </c>
      <c r="AQ776" s="45">
        <f t="shared" si="198"/>
        <v>-6044.0284150322695</v>
      </c>
      <c r="AR776" s="45">
        <f t="shared" si="199"/>
        <v>3165.078143814193</v>
      </c>
      <c r="AS776" s="45">
        <f t="shared" si="200"/>
        <v>1312.1094090706727</v>
      </c>
      <c r="AT776" s="45">
        <f t="shared" si="186"/>
        <v>-545.60278047686006</v>
      </c>
      <c r="AU776" s="45">
        <f t="shared" si="187"/>
        <v>-948.53838029133954</v>
      </c>
      <c r="AV776" s="64">
        <f t="shared" si="188"/>
        <v>601.00308054575885</v>
      </c>
      <c r="AW776" s="64">
        <f t="shared" si="189"/>
        <v>421.22144743839652</v>
      </c>
      <c r="AX776" s="64">
        <f t="shared" si="190"/>
        <v>-186.77076617892806</v>
      </c>
      <c r="AY776" s="64">
        <f t="shared" si="191"/>
        <v>144.93448592306035</v>
      </c>
      <c r="AZ776" s="64">
        <f t="shared" si="192"/>
        <v>-959.83509484369085</v>
      </c>
      <c r="BA776" s="64">
        <f t="shared" si="193"/>
        <v>-1514.6943136527964</v>
      </c>
      <c r="BB776" s="65">
        <f t="shared" si="194"/>
        <v>23598.453375480189</v>
      </c>
      <c r="BC776" s="65">
        <f t="shared" si="195"/>
        <v>26170.144317473238</v>
      </c>
      <c r="BD776" s="66">
        <f t="shared" si="196"/>
        <v>10602.725671635082</v>
      </c>
    </row>
    <row r="777" spans="31:56" x14ac:dyDescent="0.25">
      <c r="AE777" s="71">
        <v>715</v>
      </c>
      <c r="AF777" s="17">
        <v>0.50265482457436694</v>
      </c>
      <c r="AG777" s="18">
        <v>-15591.610607806451</v>
      </c>
      <c r="AH777" s="20">
        <v>16067.627457812105</v>
      </c>
      <c r="AN777" s="23">
        <v>772</v>
      </c>
      <c r="AO777" s="58">
        <v>386</v>
      </c>
      <c r="AP777" s="45">
        <f t="shared" si="197"/>
        <v>2121.3797493816687</v>
      </c>
      <c r="AQ777" s="45">
        <f t="shared" si="198"/>
        <v>-5625.1083055697682</v>
      </c>
      <c r="AR777" s="45">
        <f t="shared" si="199"/>
        <v>2892.276753575763</v>
      </c>
      <c r="AS777" s="45">
        <f t="shared" si="200"/>
        <v>837.84021892500289</v>
      </c>
      <c r="AT777" s="45">
        <f t="shared" si="186"/>
        <v>-543.14891994277639</v>
      </c>
      <c r="AU777" s="45">
        <f t="shared" si="187"/>
        <v>-726.42431335352717</v>
      </c>
      <c r="AV777" s="64">
        <f t="shared" si="188"/>
        <v>650.04769288825798</v>
      </c>
      <c r="AW777" s="64">
        <f t="shared" si="189"/>
        <v>477.21503412149843</v>
      </c>
      <c r="AX777" s="64">
        <f t="shared" si="190"/>
        <v>-181.50094508970798</v>
      </c>
      <c r="AY777" s="64">
        <f t="shared" si="191"/>
        <v>128.20049909722422</v>
      </c>
      <c r="AZ777" s="64">
        <f t="shared" si="192"/>
        <v>-1011.6956677413264</v>
      </c>
      <c r="BA777" s="64">
        <f t="shared" si="193"/>
        <v>-1331.8398465722498</v>
      </c>
      <c r="BB777" s="65">
        <f t="shared" si="194"/>
        <v>22179.123745061625</v>
      </c>
      <c r="BC777" s="65">
        <f t="shared" si="195"/>
        <v>27083.195003122113</v>
      </c>
      <c r="BD777" s="66">
        <f t="shared" si="196"/>
        <v>11772.962406174593</v>
      </c>
    </row>
    <row r="778" spans="31:56" x14ac:dyDescent="0.25">
      <c r="AE778" s="71">
        <v>716</v>
      </c>
      <c r="AF778" s="17">
        <v>0.56548667764616278</v>
      </c>
      <c r="AG778" s="18">
        <v>-15981.299037657525</v>
      </c>
      <c r="AH778" s="20">
        <v>16332.459441265113</v>
      </c>
      <c r="AN778" s="23">
        <v>773</v>
      </c>
      <c r="AO778" s="58">
        <v>386.5</v>
      </c>
      <c r="AP778" s="45">
        <f t="shared" si="197"/>
        <v>3431.7308961838562</v>
      </c>
      <c r="AQ778" s="45">
        <f t="shared" si="198"/>
        <v>-5387.7942744456486</v>
      </c>
      <c r="AR778" s="45">
        <f t="shared" si="199"/>
        <v>2620.702293604375</v>
      </c>
      <c r="AS778" s="45">
        <f t="shared" si="200"/>
        <v>474.6280622482393</v>
      </c>
      <c r="AT778" s="45">
        <f t="shared" si="186"/>
        <v>-516.50890899295985</v>
      </c>
      <c r="AU778" s="45">
        <f t="shared" si="187"/>
        <v>-525.30710308794323</v>
      </c>
      <c r="AV778" s="64">
        <f t="shared" si="188"/>
        <v>690.17360679569026</v>
      </c>
      <c r="AW778" s="64">
        <f t="shared" si="189"/>
        <v>536.85846133355426</v>
      </c>
      <c r="AX778" s="64">
        <f t="shared" si="190"/>
        <v>-174.4616062200696</v>
      </c>
      <c r="AY778" s="64">
        <f t="shared" si="191"/>
        <v>114.57025164713696</v>
      </c>
      <c r="AZ778" s="64">
        <f t="shared" si="192"/>
        <v>-1032.2209095685805</v>
      </c>
      <c r="BA778" s="64">
        <f t="shared" si="193"/>
        <v>-1176.7358160686344</v>
      </c>
      <c r="BB778" s="65">
        <f t="shared" si="194"/>
        <v>20990.540306454775</v>
      </c>
      <c r="BC778" s="65">
        <f t="shared" si="195"/>
        <v>28032.663544940558</v>
      </c>
      <c r="BD778" s="66">
        <f t="shared" si="196"/>
        <v>12786.265475737679</v>
      </c>
    </row>
    <row r="779" spans="31:56" x14ac:dyDescent="0.25">
      <c r="AE779" s="71">
        <v>717</v>
      </c>
      <c r="AF779" s="17">
        <v>0.62831853071795862</v>
      </c>
      <c r="AG779" s="18">
        <v>-16386.847444237137</v>
      </c>
      <c r="AH779" s="20">
        <v>16572.300100328976</v>
      </c>
      <c r="AN779" s="23">
        <v>774</v>
      </c>
      <c r="AO779" s="58">
        <v>387</v>
      </c>
      <c r="AP779" s="45">
        <f t="shared" si="197"/>
        <v>4612.9548157378031</v>
      </c>
      <c r="AQ779" s="45">
        <f t="shared" si="198"/>
        <v>-5281.807019093515</v>
      </c>
      <c r="AR779" s="45">
        <f t="shared" si="199"/>
        <v>2362.4478391078951</v>
      </c>
      <c r="AS779" s="45">
        <f t="shared" si="200"/>
        <v>211.97451070426769</v>
      </c>
      <c r="AT779" s="45">
        <f t="shared" si="186"/>
        <v>-482.65911394674242</v>
      </c>
      <c r="AU779" s="45">
        <f t="shared" si="187"/>
        <v>-345.34857077506365</v>
      </c>
      <c r="AV779" s="64">
        <f t="shared" si="188"/>
        <v>720.31424291833355</v>
      </c>
      <c r="AW779" s="64">
        <f t="shared" si="189"/>
        <v>598.35514459289311</v>
      </c>
      <c r="AX779" s="64">
        <f t="shared" si="190"/>
        <v>-166.95296828859122</v>
      </c>
      <c r="AY779" s="64">
        <f t="shared" si="191"/>
        <v>103.65854330580953</v>
      </c>
      <c r="AZ779" s="64">
        <f t="shared" si="192"/>
        <v>-1036.0203885764847</v>
      </c>
      <c r="BA779" s="64">
        <f t="shared" si="193"/>
        <v>-1047.3622586737663</v>
      </c>
      <c r="BB779" s="65">
        <f t="shared" si="194"/>
        <v>20003.393466506495</v>
      </c>
      <c r="BC779" s="65">
        <f t="shared" si="195"/>
        <v>28971.212790119203</v>
      </c>
      <c r="BD779" s="66">
        <f t="shared" si="196"/>
        <v>13669.388249060627</v>
      </c>
    </row>
    <row r="780" spans="31:56" x14ac:dyDescent="0.25">
      <c r="AE780" s="71">
        <v>718</v>
      </c>
      <c r="AF780" s="17">
        <v>0.69115038378975457</v>
      </c>
      <c r="AG780" s="18">
        <v>-16806.655313261956</v>
      </c>
      <c r="AH780" s="20">
        <v>16786.202893495145</v>
      </c>
      <c r="AN780" s="23">
        <v>775</v>
      </c>
      <c r="AO780" s="58">
        <v>387.5</v>
      </c>
      <c r="AP780" s="45">
        <f t="shared" si="197"/>
        <v>5673.5139568050654</v>
      </c>
      <c r="AQ780" s="45">
        <f t="shared" si="198"/>
        <v>-5262.156906435147</v>
      </c>
      <c r="AR780" s="45">
        <f t="shared" si="199"/>
        <v>2121.1182821345237</v>
      </c>
      <c r="AS780" s="45">
        <f t="shared" si="200"/>
        <v>39.300225316735862</v>
      </c>
      <c r="AT780" s="45">
        <f t="shared" si="186"/>
        <v>-449.22760931278253</v>
      </c>
      <c r="AU780" s="45">
        <f t="shared" si="187"/>
        <v>-185.12938354312871</v>
      </c>
      <c r="AV780" s="64">
        <f t="shared" si="188"/>
        <v>740.63004189811659</v>
      </c>
      <c r="AW780" s="64">
        <f t="shared" si="189"/>
        <v>659.75960719363604</v>
      </c>
      <c r="AX780" s="64">
        <f t="shared" si="190"/>
        <v>-159.7166458193046</v>
      </c>
      <c r="AY780" s="64">
        <f t="shared" si="191"/>
        <v>94.946897926204457</v>
      </c>
      <c r="AZ780" s="64">
        <f t="shared" si="192"/>
        <v>-1030.1410053915945</v>
      </c>
      <c r="BA780" s="64">
        <f t="shared" si="193"/>
        <v>-939.83588866296918</v>
      </c>
      <c r="BB780" s="65">
        <f t="shared" si="194"/>
        <v>19186.475738142468</v>
      </c>
      <c r="BC780" s="65">
        <f t="shared" si="195"/>
        <v>29867.419579316029</v>
      </c>
      <c r="BD780" s="66">
        <f t="shared" si="196"/>
        <v>14448.165568714987</v>
      </c>
    </row>
    <row r="781" spans="31:56" x14ac:dyDescent="0.25">
      <c r="AE781" s="71">
        <v>719</v>
      </c>
      <c r="AF781" s="17">
        <v>0.75398223686155041</v>
      </c>
      <c r="AG781" s="18">
        <v>-17239.065854864915</v>
      </c>
      <c r="AH781" s="20">
        <v>16973.323644161886</v>
      </c>
      <c r="AN781" s="23">
        <v>776</v>
      </c>
      <c r="AO781" s="58">
        <v>388</v>
      </c>
      <c r="AP781" s="45">
        <f t="shared" si="197"/>
        <v>6621.7661955441317</v>
      </c>
      <c r="AQ781" s="45">
        <f t="shared" si="198"/>
        <v>-5288.789139662561</v>
      </c>
      <c r="AR781" s="45">
        <f t="shared" si="199"/>
        <v>1896.5044774781325</v>
      </c>
      <c r="AS781" s="45">
        <f t="shared" si="200"/>
        <v>-53.264466454828494</v>
      </c>
      <c r="AT781" s="45">
        <f t="shared" si="186"/>
        <v>-418.66805999513713</v>
      </c>
      <c r="AU781" s="45">
        <f t="shared" si="187"/>
        <v>-43.369832106473837</v>
      </c>
      <c r="AV781" s="64">
        <f t="shared" si="188"/>
        <v>752.45916054282566</v>
      </c>
      <c r="AW781" s="64">
        <f t="shared" si="189"/>
        <v>719.30582773822982</v>
      </c>
      <c r="AX781" s="64">
        <f t="shared" si="190"/>
        <v>-153.14865659094073</v>
      </c>
      <c r="AY781" s="64">
        <f t="shared" si="191"/>
        <v>87.952748906396437</v>
      </c>
      <c r="AZ781" s="64">
        <f t="shared" si="192"/>
        <v>-1017.9785639470221</v>
      </c>
      <c r="BA781" s="64">
        <f t="shared" si="193"/>
        <v>-850.6284087511001</v>
      </c>
      <c r="BB781" s="65">
        <f t="shared" si="194"/>
        <v>18507.573244092182</v>
      </c>
      <c r="BC781" s="65">
        <f t="shared" si="195"/>
        <v>30699.601116745478</v>
      </c>
      <c r="BD781" s="66">
        <f t="shared" si="196"/>
        <v>15145.067377790967</v>
      </c>
    </row>
    <row r="782" spans="31:56" x14ac:dyDescent="0.25">
      <c r="AE782" s="71">
        <v>720</v>
      </c>
      <c r="AF782" s="17">
        <v>0.81681408993334625</v>
      </c>
      <c r="AG782" s="18">
        <v>-17682.372542187895</v>
      </c>
      <c r="AH782" s="20">
        <v>17132.923872213651</v>
      </c>
      <c r="AN782" s="23">
        <v>777</v>
      </c>
      <c r="AO782" s="58">
        <v>388.5</v>
      </c>
      <c r="AP782" s="45">
        <f t="shared" si="197"/>
        <v>7465.3514192844141</v>
      </c>
      <c r="AQ782" s="45">
        <f t="shared" si="198"/>
        <v>-5326.2638309165932</v>
      </c>
      <c r="AR782" s="45">
        <f t="shared" si="199"/>
        <v>1687.1704474805638</v>
      </c>
      <c r="AS782" s="45">
        <f t="shared" si="200"/>
        <v>-74.949382508065412</v>
      </c>
      <c r="AT782" s="45">
        <f t="shared" si="186"/>
        <v>-390.5862342997757</v>
      </c>
      <c r="AU782" s="45">
        <f t="shared" si="187"/>
        <v>80.995916993964215</v>
      </c>
      <c r="AV782" s="64">
        <f t="shared" si="188"/>
        <v>758.07612538848969</v>
      </c>
      <c r="AW782" s="64">
        <f t="shared" si="189"/>
        <v>775.71256390154724</v>
      </c>
      <c r="AX782" s="64">
        <f t="shared" si="190"/>
        <v>-147.4454364475759</v>
      </c>
      <c r="AY782" s="64">
        <f t="shared" si="191"/>
        <v>82.277762449218656</v>
      </c>
      <c r="AZ782" s="64">
        <f t="shared" si="192"/>
        <v>-1001.2169232406895</v>
      </c>
      <c r="BA782" s="64">
        <f t="shared" si="193"/>
        <v>-776.99440935680173</v>
      </c>
      <c r="BB782" s="65">
        <f t="shared" si="194"/>
        <v>17934.058628830073</v>
      </c>
      <c r="BC782" s="65">
        <f t="shared" si="195"/>
        <v>31452.184210315991</v>
      </c>
      <c r="BD782" s="66">
        <f t="shared" si="196"/>
        <v>15778.661460190104</v>
      </c>
    </row>
    <row r="783" spans="31:56" x14ac:dyDescent="0.25">
      <c r="AE783" s="71">
        <v>721</v>
      </c>
      <c r="AF783" s="17">
        <v>0.87964594300514221</v>
      </c>
      <c r="AG783" s="18">
        <v>-18134.825846263589</v>
      </c>
      <c r="AH783" s="20">
        <v>17264.373708464733</v>
      </c>
      <c r="AN783" s="23">
        <v>778</v>
      </c>
      <c r="AO783" s="58">
        <v>389</v>
      </c>
      <c r="AP783" s="45">
        <f t="shared" si="197"/>
        <v>8211.2900844497508</v>
      </c>
      <c r="AQ783" s="45">
        <f t="shared" si="198"/>
        <v>-5343.4895429221351</v>
      </c>
      <c r="AR783" s="45">
        <f t="shared" si="199"/>
        <v>1491.8773303306759</v>
      </c>
      <c r="AS783" s="45">
        <f t="shared" si="200"/>
        <v>-34.451424011083304</v>
      </c>
      <c r="AT783" s="45">
        <f t="shared" si="186"/>
        <v>-363.08460102622405</v>
      </c>
      <c r="AU783" s="45">
        <f t="shared" si="187"/>
        <v>189.13156211862929</v>
      </c>
      <c r="AV783" s="64">
        <f t="shared" si="188"/>
        <v>760.33941607401084</v>
      </c>
      <c r="AW783" s="64">
        <f t="shared" si="189"/>
        <v>828.36980546418602</v>
      </c>
      <c r="AX783" s="64">
        <f t="shared" si="190"/>
        <v>-142.69192287348562</v>
      </c>
      <c r="AY783" s="64">
        <f t="shared" si="191"/>
        <v>77.606944592568851</v>
      </c>
      <c r="AZ783" s="64">
        <f t="shared" si="192"/>
        <v>-980.73209422674927</v>
      </c>
      <c r="BA783" s="64">
        <f t="shared" si="193"/>
        <v>-716.8451879381256</v>
      </c>
      <c r="BB783" s="65">
        <f t="shared" si="194"/>
        <v>17433.556869214699</v>
      </c>
      <c r="BC783" s="65">
        <f t="shared" si="195"/>
        <v>32113.853079048826</v>
      </c>
      <c r="BD783" s="66">
        <f t="shared" si="196"/>
        <v>16364.179780946384</v>
      </c>
    </row>
    <row r="784" spans="31:56" x14ac:dyDescent="0.25">
      <c r="AE784" s="71">
        <v>722</v>
      </c>
      <c r="AF784" s="17">
        <v>0.94247779607693805</v>
      </c>
      <c r="AG784" s="18">
        <v>-18594.640140607065</v>
      </c>
      <c r="AH784" s="20">
        <v>17367.154380465166</v>
      </c>
      <c r="AN784" s="23">
        <v>779</v>
      </c>
      <c r="AO784" s="58">
        <v>389.5</v>
      </c>
      <c r="AP784" s="45">
        <f t="shared" si="197"/>
        <v>8866.4575993585331</v>
      </c>
      <c r="AQ784" s="45">
        <f t="shared" si="198"/>
        <v>-5313.4323643980197</v>
      </c>
      <c r="AR784" s="45">
        <f t="shared" si="199"/>
        <v>1310.335029817564</v>
      </c>
      <c r="AS784" s="45">
        <f t="shared" si="200"/>
        <v>60.114357048231341</v>
      </c>
      <c r="AT784" s="45">
        <f t="shared" si="186"/>
        <v>-333.54476972330008</v>
      </c>
      <c r="AU784" s="45">
        <f t="shared" si="187"/>
        <v>282.55415098959929</v>
      </c>
      <c r="AV784" s="64">
        <f t="shared" si="188"/>
        <v>762.34173700948406</v>
      </c>
      <c r="AW784" s="64">
        <f t="shared" si="189"/>
        <v>877.36804102582164</v>
      </c>
      <c r="AX784" s="64">
        <f t="shared" si="190"/>
        <v>-138.91160672164935</v>
      </c>
      <c r="AY784" s="64">
        <f t="shared" si="191"/>
        <v>73.691532355154848</v>
      </c>
      <c r="AZ784" s="64">
        <f t="shared" si="192"/>
        <v>-956.97490001113476</v>
      </c>
      <c r="BA784" s="64">
        <f t="shared" si="193"/>
        <v>-668.50542239137724</v>
      </c>
      <c r="BB784" s="65">
        <f t="shared" si="194"/>
        <v>16974.68159771735</v>
      </c>
      <c r="BC784" s="65">
        <f t="shared" si="195"/>
        <v>32676.80500163008</v>
      </c>
      <c r="BD784" s="66">
        <f t="shared" si="196"/>
        <v>16914.734373140469</v>
      </c>
    </row>
    <row r="785" spans="31:56" x14ac:dyDescent="0.25">
      <c r="AE785" s="71">
        <v>723</v>
      </c>
      <c r="AF785" s="17">
        <v>1.0053096491487339</v>
      </c>
      <c r="AG785" s="18">
        <v>-19060.000748267717</v>
      </c>
      <c r="AH785" s="20">
        <v>17440.860259858586</v>
      </c>
      <c r="AN785" s="23">
        <v>780</v>
      </c>
      <c r="AO785" s="58">
        <v>390</v>
      </c>
      <c r="AP785" s="45">
        <f t="shared" si="197"/>
        <v>9438.2389218364897</v>
      </c>
      <c r="AQ785" s="45">
        <f t="shared" si="198"/>
        <v>-5212.7366481265044</v>
      </c>
      <c r="AR785" s="45">
        <f t="shared" si="199"/>
        <v>1143.562644955914</v>
      </c>
      <c r="AS785" s="45">
        <f t="shared" si="200"/>
        <v>201.39143254303099</v>
      </c>
      <c r="AT785" s="45">
        <f t="shared" si="186"/>
        <v>-299.04248603388726</v>
      </c>
      <c r="AU785" s="45">
        <f t="shared" si="187"/>
        <v>363.23129591215172</v>
      </c>
      <c r="AV785" s="64">
        <f t="shared" si="188"/>
        <v>767.15749241314586</v>
      </c>
      <c r="AW785" s="64">
        <f t="shared" si="189"/>
        <v>923.3944127792405</v>
      </c>
      <c r="AX785" s="64">
        <f t="shared" si="190"/>
        <v>-136.09377963621594</v>
      </c>
      <c r="AY785" s="64">
        <f t="shared" si="191"/>
        <v>70.328895507338871</v>
      </c>
      <c r="AZ785" s="64">
        <f t="shared" si="192"/>
        <v>-930.1061988108172</v>
      </c>
      <c r="BA785" s="64">
        <f t="shared" si="193"/>
        <v>-630.49201237442765</v>
      </c>
      <c r="BB785" s="65">
        <f t="shared" si="194"/>
        <v>16527.687985826342</v>
      </c>
      <c r="BC785" s="65">
        <f t="shared" si="195"/>
        <v>33136.645381576876</v>
      </c>
      <c r="BD785" s="66">
        <f t="shared" si="196"/>
        <v>17442.857193790245</v>
      </c>
    </row>
    <row r="786" spans="31:56" x14ac:dyDescent="0.25">
      <c r="AE786" s="71">
        <v>724</v>
      </c>
      <c r="AF786" s="17">
        <v>1.0681415022205298</v>
      </c>
      <c r="AG786" s="18">
        <v>-19529.07110353015</v>
      </c>
      <c r="AH786" s="20">
        <v>17485.200463212037</v>
      </c>
      <c r="AN786" s="23">
        <v>781</v>
      </c>
      <c r="AO786" s="58">
        <v>390.5</v>
      </c>
      <c r="AP786" s="45">
        <f t="shared" si="197"/>
        <v>9935.2596228059738</v>
      </c>
      <c r="AQ786" s="45">
        <f t="shared" si="198"/>
        <v>-5021.2331078769512</v>
      </c>
      <c r="AR786" s="45">
        <f t="shared" si="199"/>
        <v>994.04140193897047</v>
      </c>
      <c r="AS786" s="45">
        <f t="shared" si="200"/>
        <v>383.00708049910685</v>
      </c>
      <c r="AT786" s="45">
        <f t="shared" si="186"/>
        <v>-256.50803275690578</v>
      </c>
      <c r="AU786" s="45">
        <f t="shared" si="187"/>
        <v>433.55358181400004</v>
      </c>
      <c r="AV786" s="64">
        <f t="shared" si="188"/>
        <v>777.73312551768402</v>
      </c>
      <c r="AW786" s="64">
        <f t="shared" si="189"/>
        <v>967.55379625992657</v>
      </c>
      <c r="AX786" s="64">
        <f t="shared" si="190"/>
        <v>-134.20710502827055</v>
      </c>
      <c r="AY786" s="64">
        <f t="shared" si="191"/>
        <v>67.34386922861809</v>
      </c>
      <c r="AZ786" s="64">
        <f t="shared" si="192"/>
        <v>-900.03405324631922</v>
      </c>
      <c r="BA786" s="64">
        <f t="shared" si="193"/>
        <v>-601.34408367454455</v>
      </c>
      <c r="BB786" s="65">
        <f t="shared" si="194"/>
        <v>16064.877136228388</v>
      </c>
      <c r="BC786" s="65">
        <f t="shared" si="195"/>
        <v>33492.644159068361</v>
      </c>
      <c r="BD786" s="66">
        <f t="shared" si="196"/>
        <v>17962.120383962178</v>
      </c>
    </row>
    <row r="787" spans="31:56" x14ac:dyDescent="0.25">
      <c r="AE787" s="71">
        <v>725</v>
      </c>
      <c r="AF787" s="17">
        <v>1.1309733552923256</v>
      </c>
      <c r="AG787" s="18">
        <v>-20000</v>
      </c>
      <c r="AH787" s="20">
        <v>17500</v>
      </c>
      <c r="AN787" s="23">
        <v>782</v>
      </c>
      <c r="AO787" s="58">
        <v>391</v>
      </c>
      <c r="AP787" s="45">
        <f t="shared" si="197"/>
        <v>10368.153315586233</v>
      </c>
      <c r="AQ787" s="45">
        <f t="shared" si="198"/>
        <v>-4721.3411721738976</v>
      </c>
      <c r="AR787" s="45">
        <f t="shared" si="199"/>
        <v>865.78738556051758</v>
      </c>
      <c r="AS787" s="45">
        <f t="shared" si="200"/>
        <v>599.78387140610687</v>
      </c>
      <c r="AT787" s="45">
        <f t="shared" si="186"/>
        <v>-202.71981910893589</v>
      </c>
      <c r="AU787" s="45">
        <f t="shared" si="187"/>
        <v>496.24498569446644</v>
      </c>
      <c r="AV787" s="64">
        <f t="shared" si="188"/>
        <v>796.91957798874796</v>
      </c>
      <c r="AW787" s="64">
        <f t="shared" si="189"/>
        <v>1011.1691317871214</v>
      </c>
      <c r="AX787" s="64">
        <f t="shared" si="190"/>
        <v>-133.20420317554161</v>
      </c>
      <c r="AY787" s="64">
        <f t="shared" si="191"/>
        <v>64.57239925446099</v>
      </c>
      <c r="AZ787" s="64">
        <f t="shared" si="192"/>
        <v>-866.43519392214228</v>
      </c>
      <c r="BA787" s="64">
        <f t="shared" si="193"/>
        <v>-579.49654534711601</v>
      </c>
      <c r="BB787" s="65">
        <f t="shared" si="194"/>
        <v>15560.644286106064</v>
      </c>
      <c r="BC787" s="65">
        <f t="shared" si="195"/>
        <v>33748.223978551723</v>
      </c>
      <c r="BD787" s="66">
        <f t="shared" si="196"/>
        <v>18488.671224028287</v>
      </c>
    </row>
    <row r="788" spans="31:56" x14ac:dyDescent="0.25">
      <c r="AE788" s="71">
        <v>726</v>
      </c>
      <c r="AF788" s="17">
        <v>1.1938052083641215</v>
      </c>
      <c r="AG788" s="18">
        <v>-20470.92889646985</v>
      </c>
      <c r="AH788" s="20">
        <v>17485.200463212037</v>
      </c>
      <c r="AN788" s="23">
        <v>783</v>
      </c>
      <c r="AO788" s="58">
        <v>391.5</v>
      </c>
      <c r="AP788" s="45">
        <f t="shared" si="197"/>
        <v>10750.367053589258</v>
      </c>
      <c r="AQ788" s="45">
        <f t="shared" si="198"/>
        <v>-4297.3879900472275</v>
      </c>
      <c r="AR788" s="45">
        <f t="shared" si="199"/>
        <v>764.42747600604957</v>
      </c>
      <c r="AS788" s="45">
        <f t="shared" si="200"/>
        <v>847.90636425334014</v>
      </c>
      <c r="AT788" s="45">
        <f t="shared" si="186"/>
        <v>-134.2041693588983</v>
      </c>
      <c r="AU788" s="45">
        <f t="shared" si="187"/>
        <v>554.24501521420348</v>
      </c>
      <c r="AV788" s="64">
        <f t="shared" si="188"/>
        <v>827.62067547450226</v>
      </c>
      <c r="AW788" s="64">
        <f t="shared" si="189"/>
        <v>1055.5837484282476</v>
      </c>
      <c r="AX788" s="64">
        <f t="shared" si="190"/>
        <v>-133.01911891521689</v>
      </c>
      <c r="AY788" s="64">
        <f t="shared" si="191"/>
        <v>61.847260226544194</v>
      </c>
      <c r="AZ788" s="64">
        <f t="shared" si="192"/>
        <v>-828.80572591818373</v>
      </c>
      <c r="BA788" s="64">
        <f t="shared" si="193"/>
        <v>-563.18599344058839</v>
      </c>
      <c r="BB788" s="65">
        <f t="shared" si="194"/>
        <v>14991.133146998516</v>
      </c>
      <c r="BC788" s="65">
        <f t="shared" si="195"/>
        <v>33911.655478145185</v>
      </c>
      <c r="BD788" s="66">
        <f t="shared" si="196"/>
        <v>19042.582969712257</v>
      </c>
    </row>
    <row r="789" spans="31:56" x14ac:dyDescent="0.25">
      <c r="AE789" s="71">
        <v>727</v>
      </c>
      <c r="AF789" s="17">
        <v>1.2566370614359172</v>
      </c>
      <c r="AG789" s="18">
        <v>-20939.999251732283</v>
      </c>
      <c r="AH789" s="20">
        <v>17440.860259858582</v>
      </c>
      <c r="AN789" s="23">
        <v>784</v>
      </c>
      <c r="AO789" s="58">
        <v>392</v>
      </c>
      <c r="AP789" s="45">
        <f t="shared" si="197"/>
        <v>11099.029749252559</v>
      </c>
      <c r="AQ789" s="45">
        <f t="shared" si="198"/>
        <v>-3734.8735541170067</v>
      </c>
      <c r="AR789" s="45">
        <f t="shared" si="199"/>
        <v>697.32539132660042</v>
      </c>
      <c r="AS789" s="45">
        <f t="shared" si="200"/>
        <v>1125.028871860442</v>
      </c>
      <c r="AT789" s="45">
        <f t="shared" si="186"/>
        <v>-47.097402320091533</v>
      </c>
      <c r="AU789" s="45">
        <f t="shared" si="187"/>
        <v>610.53411878573934</v>
      </c>
      <c r="AV789" s="64">
        <f t="shared" si="188"/>
        <v>873.02466361701158</v>
      </c>
      <c r="AW789" s="64">
        <f t="shared" si="189"/>
        <v>1101.9384886202743</v>
      </c>
      <c r="AX789" s="64">
        <f t="shared" si="190"/>
        <v>-133.55774840146267</v>
      </c>
      <c r="AY789" s="64">
        <f t="shared" si="191"/>
        <v>58.985724032459594</v>
      </c>
      <c r="AZ789" s="64">
        <f t="shared" si="192"/>
        <v>-786.56431753564038</v>
      </c>
      <c r="BA789" s="64">
        <f t="shared" si="193"/>
        <v>-550.39009386699445</v>
      </c>
      <c r="BB789" s="65">
        <f t="shared" si="194"/>
        <v>14333.515102084648</v>
      </c>
      <c r="BC789" s="65">
        <f t="shared" si="195"/>
        <v>33997.005793047101</v>
      </c>
      <c r="BD789" s="66">
        <f t="shared" si="196"/>
        <v>19648.965181633645</v>
      </c>
    </row>
    <row r="790" spans="31:56" x14ac:dyDescent="0.25">
      <c r="AE790" s="71">
        <v>728</v>
      </c>
      <c r="AF790" s="17">
        <v>1.3194689145077132</v>
      </c>
      <c r="AG790" s="18">
        <v>-21405.359859392935</v>
      </c>
      <c r="AH790" s="20">
        <v>17367.154380465166</v>
      </c>
      <c r="AN790" s="23">
        <v>785</v>
      </c>
      <c r="AO790" s="58">
        <v>392.5</v>
      </c>
      <c r="AP790" s="45">
        <f t="shared" si="197"/>
        <v>11435.918094335837</v>
      </c>
      <c r="AQ790" s="45">
        <f t="shared" si="198"/>
        <v>-3019.7255884903511</v>
      </c>
      <c r="AR790" s="45">
        <f t="shared" si="199"/>
        <v>673.77669016655466</v>
      </c>
      <c r="AS790" s="45">
        <f t="shared" si="200"/>
        <v>1430.2959312533117</v>
      </c>
      <c r="AT790" s="45">
        <f t="shared" si="186"/>
        <v>62.983186358680769</v>
      </c>
      <c r="AU790" s="45">
        <f t="shared" si="187"/>
        <v>667.77877384110229</v>
      </c>
      <c r="AV790" s="64">
        <f t="shared" si="188"/>
        <v>936.87853032263058</v>
      </c>
      <c r="AW790" s="64">
        <f t="shared" si="189"/>
        <v>1150.8186350043882</v>
      </c>
      <c r="AX790" s="64">
        <f t="shared" si="190"/>
        <v>-134.68015823814002</v>
      </c>
      <c r="AY790" s="64">
        <f t="shared" si="191"/>
        <v>55.78010151359279</v>
      </c>
      <c r="AZ790" s="64">
        <f t="shared" si="192"/>
        <v>-739.21518572580976</v>
      </c>
      <c r="BA790" s="64">
        <f t="shared" si="193"/>
        <v>-538.81996267687873</v>
      </c>
      <c r="BB790" s="65">
        <f t="shared" si="194"/>
        <v>13564.959467099892</v>
      </c>
      <c r="BC790" s="65">
        <f t="shared" si="195"/>
        <v>34025.434616377519</v>
      </c>
      <c r="BD790" s="66">
        <f t="shared" si="196"/>
        <v>20338.789997902753</v>
      </c>
    </row>
    <row r="791" spans="31:56" x14ac:dyDescent="0.25">
      <c r="AE791" s="71">
        <v>729</v>
      </c>
      <c r="AF791" s="17">
        <v>1.3823007675795091</v>
      </c>
      <c r="AG791" s="18">
        <v>-21865.174153736411</v>
      </c>
      <c r="AH791" s="20">
        <v>17264.373708464733</v>
      </c>
      <c r="AN791" s="23">
        <v>786</v>
      </c>
      <c r="AO791" s="58">
        <v>393</v>
      </c>
      <c r="AP791" s="45">
        <f t="shared" si="197"/>
        <v>11788.552236008785</v>
      </c>
      <c r="AQ791" s="45">
        <f t="shared" si="198"/>
        <v>-2137.6329294034194</v>
      </c>
      <c r="AR791" s="45">
        <f t="shared" si="199"/>
        <v>705.26828334589504</v>
      </c>
      <c r="AS791" s="45">
        <f t="shared" si="200"/>
        <v>1764.1853181738629</v>
      </c>
      <c r="AT791" s="45">
        <f t="shared" si="186"/>
        <v>200.97790120595084</v>
      </c>
      <c r="AU791" s="45">
        <f t="shared" si="187"/>
        <v>727.50577109093933</v>
      </c>
      <c r="AV791" s="64">
        <f t="shared" si="188"/>
        <v>1023.7112282081223</v>
      </c>
      <c r="AW791" s="64">
        <f t="shared" si="189"/>
        <v>1201.5120021153402</v>
      </c>
      <c r="AX791" s="64">
        <f t="shared" si="190"/>
        <v>-136.17333858937377</v>
      </c>
      <c r="AY791" s="64">
        <f t="shared" si="191"/>
        <v>51.994252091069903</v>
      </c>
      <c r="AZ791" s="64">
        <f t="shared" si="192"/>
        <v>-686.55998841279768</v>
      </c>
      <c r="BA791" s="64">
        <f t="shared" si="193"/>
        <v>-526.00048311547084</v>
      </c>
      <c r="BB791" s="65">
        <f t="shared" si="194"/>
        <v>12661.431311770302</v>
      </c>
      <c r="BC791" s="65">
        <f t="shared" si="195"/>
        <v>34026.962638331344</v>
      </c>
      <c r="BD791" s="66">
        <f t="shared" si="196"/>
        <v>21149.372871079719</v>
      </c>
    </row>
    <row r="792" spans="31:56" x14ac:dyDescent="0.25">
      <c r="AE792" s="71">
        <v>730</v>
      </c>
      <c r="AF792" s="17">
        <v>1.4451326206513049</v>
      </c>
      <c r="AG792" s="18">
        <v>-22317.627457812108</v>
      </c>
      <c r="AH792" s="20">
        <v>17132.923872213651</v>
      </c>
      <c r="AN792" s="23">
        <v>787</v>
      </c>
      <c r="AO792" s="58">
        <v>393.5</v>
      </c>
      <c r="AP792" s="45">
        <f t="shared" si="197"/>
        <v>12191.430852983221</v>
      </c>
      <c r="AQ792" s="45">
        <f t="shared" si="198"/>
        <v>-1073.6638275437531</v>
      </c>
      <c r="AR792" s="45">
        <f t="shared" si="199"/>
        <v>805.75723394887041</v>
      </c>
      <c r="AS792" s="45">
        <f t="shared" si="200"/>
        <v>2127.9382037193327</v>
      </c>
      <c r="AT792" s="45">
        <f t="shared" si="186"/>
        <v>372.05665595179903</v>
      </c>
      <c r="AU792" s="45">
        <f t="shared" si="187"/>
        <v>788.16352208786429</v>
      </c>
      <c r="AV792" s="64">
        <f t="shared" si="188"/>
        <v>1138.6947243216855</v>
      </c>
      <c r="AW792" s="64">
        <f t="shared" si="189"/>
        <v>1250.2656485102086</v>
      </c>
      <c r="AX792" s="64">
        <f t="shared" si="190"/>
        <v>-137.71424499265783</v>
      </c>
      <c r="AY792" s="64">
        <f t="shared" si="191"/>
        <v>47.372894366743239</v>
      </c>
      <c r="AZ792" s="64">
        <f t="shared" si="192"/>
        <v>-628.9238233772287</v>
      </c>
      <c r="BA792" s="64">
        <f t="shared" si="193"/>
        <v>-509.47502078908741</v>
      </c>
      <c r="BB792" s="65">
        <f t="shared" si="194"/>
        <v>11596.61431416405</v>
      </c>
      <c r="BC792" s="65">
        <f t="shared" si="195"/>
        <v>34042.829655124893</v>
      </c>
      <c r="BD792" s="66">
        <f t="shared" si="196"/>
        <v>22124.378724862912</v>
      </c>
    </row>
    <row r="793" spans="31:56" x14ac:dyDescent="0.25">
      <c r="AE793" s="71">
        <v>731</v>
      </c>
      <c r="AF793" s="17">
        <v>1.5079644737231008</v>
      </c>
      <c r="AG793" s="18">
        <v>-22760.934145135085</v>
      </c>
      <c r="AH793" s="20">
        <v>16973.323644161886</v>
      </c>
      <c r="AN793" s="23">
        <v>788</v>
      </c>
      <c r="AO793" s="58">
        <v>394</v>
      </c>
      <c r="AP793" s="45">
        <f t="shared" si="197"/>
        <v>12687.323633945605</v>
      </c>
      <c r="AQ793" s="45">
        <f t="shared" si="198"/>
        <v>187.34615483787934</v>
      </c>
      <c r="AR793" s="45">
        <f t="shared" si="199"/>
        <v>991.78556192476992</v>
      </c>
      <c r="AS793" s="45">
        <f t="shared" si="200"/>
        <v>2522.0199647632649</v>
      </c>
      <c r="AT793" s="45">
        <f t="shared" si="186"/>
        <v>579.93944412662029</v>
      </c>
      <c r="AU793" s="45">
        <f t="shared" si="187"/>
        <v>840.6289925463127</v>
      </c>
      <c r="AV793" s="64">
        <f t="shared" si="188"/>
        <v>1286.1048708033607</v>
      </c>
      <c r="AW793" s="64">
        <f t="shared" si="189"/>
        <v>1286.1009099786506</v>
      </c>
      <c r="AX793" s="64">
        <f t="shared" si="190"/>
        <v>-138.82849501110906</v>
      </c>
      <c r="AY793" s="64">
        <f t="shared" si="191"/>
        <v>41.675971414622445</v>
      </c>
      <c r="AZ793" s="64">
        <f t="shared" si="192"/>
        <v>-567.33693166563137</v>
      </c>
      <c r="BA793" s="64">
        <f t="shared" si="193"/>
        <v>-487.14788884696031</v>
      </c>
      <c r="BB793" s="65">
        <f t="shared" si="194"/>
        <v>10341.67016945594</v>
      </c>
      <c r="BC793" s="65">
        <f t="shared" si="195"/>
        <v>34128.423664670976</v>
      </c>
      <c r="BD793" s="66">
        <f t="shared" si="196"/>
        <v>23313.019979376324</v>
      </c>
    </row>
    <row r="794" spans="31:56" x14ac:dyDescent="0.25">
      <c r="AE794" s="71">
        <v>732</v>
      </c>
      <c r="AF794" s="17">
        <v>1.5707963267948968</v>
      </c>
      <c r="AG794" s="18">
        <v>-23193.344686738044</v>
      </c>
      <c r="AH794" s="20">
        <v>16786.202893495145</v>
      </c>
      <c r="AN794" s="23">
        <v>789</v>
      </c>
      <c r="AO794" s="58">
        <v>394.5</v>
      </c>
      <c r="AP794" s="45">
        <f t="shared" si="197"/>
        <v>13328.201275939646</v>
      </c>
      <c r="AQ794" s="45">
        <f t="shared" si="198"/>
        <v>1658.5133853560899</v>
      </c>
      <c r="AR794" s="45">
        <f t="shared" si="199"/>
        <v>1281.75528398808</v>
      </c>
      <c r="AS794" s="45">
        <f t="shared" si="200"/>
        <v>2942.3344610364211</v>
      </c>
      <c r="AT794" s="45">
        <f t="shared" si="186"/>
        <v>820.67681717464779</v>
      </c>
      <c r="AU794" s="45">
        <f t="shared" si="187"/>
        <v>858.08487459547541</v>
      </c>
      <c r="AV794" s="64">
        <f t="shared" si="188"/>
        <v>1463.1490702902254</v>
      </c>
      <c r="AW794" s="64">
        <f t="shared" si="189"/>
        <v>1281.0586863938668</v>
      </c>
      <c r="AX794" s="64">
        <f t="shared" si="190"/>
        <v>-138.8646224653487</v>
      </c>
      <c r="AY794" s="64">
        <f t="shared" si="191"/>
        <v>34.755472698687626</v>
      </c>
      <c r="AZ794" s="64">
        <f t="shared" si="192"/>
        <v>-503.60763065022883</v>
      </c>
      <c r="BA794" s="64">
        <f t="shared" si="193"/>
        <v>-457.72928449707894</v>
      </c>
      <c r="BB794" s="65">
        <f t="shared" si="194"/>
        <v>8867.6865124697179</v>
      </c>
      <c r="BC794" s="65">
        <f t="shared" si="195"/>
        <v>34356.213400662025</v>
      </c>
      <c r="BD794" s="66">
        <f t="shared" si="196"/>
        <v>24767.49947454211</v>
      </c>
    </row>
    <row r="795" spans="31:56" x14ac:dyDescent="0.25">
      <c r="AE795" s="71">
        <v>733</v>
      </c>
      <c r="AF795" s="17">
        <v>1.6336281798666925</v>
      </c>
      <c r="AG795" s="18">
        <v>-23613.152555762867</v>
      </c>
      <c r="AH795" s="20">
        <v>16572.300100328976</v>
      </c>
      <c r="AN795" s="23">
        <v>790</v>
      </c>
      <c r="AO795" s="58">
        <v>395</v>
      </c>
      <c r="AP795" s="45">
        <f t="shared" si="197"/>
        <v>14174.248122227347</v>
      </c>
      <c r="AQ795" s="45">
        <f t="shared" si="198"/>
        <v>3344.2018345231691</v>
      </c>
      <c r="AR795" s="45">
        <f t="shared" si="199"/>
        <v>1692.093692575404</v>
      </c>
      <c r="AS795" s="45">
        <f t="shared" si="200"/>
        <v>3371.3768983341588</v>
      </c>
      <c r="AT795" s="45">
        <f t="shared" si="186"/>
        <v>1063.226726589186</v>
      </c>
      <c r="AU795" s="45">
        <f t="shared" si="187"/>
        <v>775.75374194302117</v>
      </c>
      <c r="AV795" s="64">
        <f t="shared" si="188"/>
        <v>1640.5128984506189</v>
      </c>
      <c r="AW795" s="64">
        <f t="shared" si="189"/>
        <v>1170.2593307885152</v>
      </c>
      <c r="AX795" s="64">
        <f t="shared" si="190"/>
        <v>-137.03347612793712</v>
      </c>
      <c r="AY795" s="64">
        <f t="shared" si="191"/>
        <v>26.688726428132217</v>
      </c>
      <c r="AZ795" s="64">
        <f t="shared" si="192"/>
        <v>-440.25269573349567</v>
      </c>
      <c r="BA795" s="64">
        <f t="shared" si="193"/>
        <v>-421.19431527362627</v>
      </c>
      <c r="BB795" s="65">
        <f t="shared" si="194"/>
        <v>7156.1192928536475</v>
      </c>
      <c r="BC795" s="65">
        <f t="shared" si="195"/>
        <v>34816.359429715281</v>
      </c>
      <c r="BD795" s="66">
        <f t="shared" si="196"/>
        <v>26536.042131381655</v>
      </c>
    </row>
    <row r="796" spans="31:56" x14ac:dyDescent="0.25">
      <c r="AE796" s="71">
        <v>734</v>
      </c>
      <c r="AF796" s="17">
        <v>1.6964600329384885</v>
      </c>
      <c r="AG796" s="18">
        <v>-24018.700962342475</v>
      </c>
      <c r="AH796" s="20">
        <v>16332.459441265113</v>
      </c>
      <c r="AN796" s="23">
        <v>791</v>
      </c>
      <c r="AO796" s="58">
        <v>395.5</v>
      </c>
      <c r="AP796" s="45">
        <f t="shared" si="197"/>
        <v>15286.101650162345</v>
      </c>
      <c r="AQ796" s="45">
        <f t="shared" si="198"/>
        <v>5223.8287191760046</v>
      </c>
      <c r="AR796" s="45">
        <f t="shared" si="199"/>
        <v>2223.707055869997</v>
      </c>
      <c r="AS796" s="45">
        <f t="shared" si="200"/>
        <v>3759.2537693056693</v>
      </c>
      <c r="AT796" s="45">
        <f t="shared" si="186"/>
        <v>1203.4713626314319</v>
      </c>
      <c r="AU796" s="45">
        <f t="shared" si="187"/>
        <v>467.5852975725727</v>
      </c>
      <c r="AV796" s="64">
        <f t="shared" si="188"/>
        <v>1716.3882133607931</v>
      </c>
      <c r="AW796" s="64">
        <f t="shared" si="189"/>
        <v>828.7818845587102</v>
      </c>
      <c r="AX796" s="64">
        <f t="shared" si="190"/>
        <v>-132.60409824452677</v>
      </c>
      <c r="AY796" s="64">
        <f t="shared" si="191"/>
        <v>17.94870660505957</v>
      </c>
      <c r="AZ796" s="64">
        <f t="shared" si="192"/>
        <v>-380.31275248483445</v>
      </c>
      <c r="BA796" s="64">
        <f t="shared" si="193"/>
        <v>-379.14529359119706</v>
      </c>
      <c r="BB796" s="65">
        <f t="shared" si="194"/>
        <v>5234.6722296864118</v>
      </c>
      <c r="BC796" s="65">
        <f t="shared" si="195"/>
        <v>35607.875277378706</v>
      </c>
      <c r="BD796" s="66">
        <f t="shared" si="196"/>
        <v>28644.880314347407</v>
      </c>
    </row>
    <row r="797" spans="31:56" x14ac:dyDescent="0.25">
      <c r="AE797" s="71">
        <v>735</v>
      </c>
      <c r="AF797" s="17">
        <v>1.7592918860102844</v>
      </c>
      <c r="AG797" s="18">
        <v>-24408.389392193549</v>
      </c>
      <c r="AH797" s="20">
        <v>16067.627457812105</v>
      </c>
      <c r="AN797" s="23">
        <v>792</v>
      </c>
      <c r="AO797" s="58">
        <v>396</v>
      </c>
      <c r="AP797" s="45">
        <f t="shared" si="197"/>
        <v>16698.823018755204</v>
      </c>
      <c r="AQ797" s="45">
        <f t="shared" si="198"/>
        <v>7220.3519282219822</v>
      </c>
      <c r="AR797" s="45">
        <f t="shared" si="199"/>
        <v>2825.4427371857128</v>
      </c>
      <c r="AS797" s="45">
        <f t="shared" si="200"/>
        <v>3993.0464180919557</v>
      </c>
      <c r="AT797" s="45">
        <f t="shared" si="186"/>
        <v>1026.0738421533943</v>
      </c>
      <c r="AU797" s="45">
        <f t="shared" si="187"/>
        <v>-200.20931291047305</v>
      </c>
      <c r="AV797" s="64">
        <f t="shared" si="188"/>
        <v>1478.5090635438223</v>
      </c>
      <c r="AW797" s="64">
        <f t="shared" si="189"/>
        <v>125.24690771666708</v>
      </c>
      <c r="AX797" s="64">
        <f t="shared" si="190"/>
        <v>-125.34652637594913</v>
      </c>
      <c r="AY797" s="64">
        <f t="shared" si="191"/>
        <v>9.4940164747767852</v>
      </c>
      <c r="AZ797" s="64">
        <f t="shared" si="192"/>
        <v>-327.08869501447884</v>
      </c>
      <c r="BA797" s="64">
        <f t="shared" si="193"/>
        <v>-334.95023710191691</v>
      </c>
      <c r="BB797" s="65">
        <f t="shared" si="194"/>
        <v>3313.0005290596728</v>
      </c>
      <c r="BC797" s="65">
        <f t="shared" si="195"/>
        <v>36803.940745045984</v>
      </c>
      <c r="BD797" s="66">
        <f t="shared" si="196"/>
        <v>31057.735915763387</v>
      </c>
    </row>
    <row r="798" spans="31:56" x14ac:dyDescent="0.25">
      <c r="AE798" s="71">
        <v>736</v>
      </c>
      <c r="AF798" s="17">
        <v>1.8221237390820801</v>
      </c>
      <c r="AG798" s="18">
        <v>-24780.679923115174</v>
      </c>
      <c r="AH798" s="20">
        <v>15778.849320818419</v>
      </c>
      <c r="AN798" s="23">
        <v>793</v>
      </c>
      <c r="AO798" s="58">
        <v>396.5</v>
      </c>
      <c r="AP798" s="45">
        <f t="shared" si="197"/>
        <v>18368.062847886409</v>
      </c>
      <c r="AQ798" s="45">
        <f t="shared" si="198"/>
        <v>9166.8228090403409</v>
      </c>
      <c r="AR798" s="45">
        <f t="shared" si="199"/>
        <v>3338.4796582624099</v>
      </c>
      <c r="AS798" s="45">
        <f t="shared" si="200"/>
        <v>3892.9417616367191</v>
      </c>
      <c r="AT798" s="45">
        <f t="shared" si="186"/>
        <v>389.52173027962209</v>
      </c>
      <c r="AU798" s="45">
        <f t="shared" si="187"/>
        <v>-1096.841788058096</v>
      </c>
      <c r="AV798" s="64">
        <f t="shared" si="188"/>
        <v>789.19546800664318</v>
      </c>
      <c r="AW798" s="64">
        <f t="shared" si="189"/>
        <v>-806.06597206335164</v>
      </c>
      <c r="AX798" s="64">
        <f t="shared" si="190"/>
        <v>-116.07139523271903</v>
      </c>
      <c r="AY798" s="64">
        <f t="shared" si="191"/>
        <v>2.520534836855663</v>
      </c>
      <c r="AZ798" s="64">
        <f t="shared" si="192"/>
        <v>-283.60234249430204</v>
      </c>
      <c r="BA798" s="64">
        <f t="shared" si="193"/>
        <v>-293.29635083159997</v>
      </c>
      <c r="BB798" s="65">
        <f t="shared" si="194"/>
        <v>2332.7059705813226</v>
      </c>
      <c r="BC798" s="65">
        <f t="shared" si="195"/>
        <v>38377.108162691162</v>
      </c>
      <c r="BD798" s="66">
        <f t="shared" si="196"/>
        <v>33616.985081150888</v>
      </c>
    </row>
    <row r="799" spans="31:56" x14ac:dyDescent="0.25">
      <c r="AE799" s="71">
        <v>737</v>
      </c>
      <c r="AF799" s="17">
        <v>1.8849555921538761</v>
      </c>
      <c r="AG799" s="18">
        <v>-25134.103294465167</v>
      </c>
      <c r="AH799" s="20">
        <v>15467.264705660586</v>
      </c>
      <c r="AN799" s="23">
        <v>794</v>
      </c>
      <c r="AO799" s="58">
        <v>397</v>
      </c>
      <c r="AP799" s="45">
        <f t="shared" si="197"/>
        <v>20134.68310958752</v>
      </c>
      <c r="AQ799" s="45">
        <f t="shared" si="198"/>
        <v>10839.083242844175</v>
      </c>
      <c r="AR799" s="45">
        <f t="shared" si="199"/>
        <v>3533.2405234022208</v>
      </c>
      <c r="AS799" s="45">
        <f t="shared" si="200"/>
        <v>3344.5208676076709</v>
      </c>
      <c r="AT799" s="45">
        <f t="shared" si="186"/>
        <v>-418.08469332537413</v>
      </c>
      <c r="AU799" s="45">
        <f t="shared" si="187"/>
        <v>-1752.2868761069694</v>
      </c>
      <c r="AV799" s="64">
        <f t="shared" si="188"/>
        <v>-60.165054744489638</v>
      </c>
      <c r="AW799" s="64">
        <f t="shared" si="189"/>
        <v>-1491.6207883630759</v>
      </c>
      <c r="AX799" s="64">
        <f t="shared" si="190"/>
        <v>-106.52596986517845</v>
      </c>
      <c r="AY799" s="64">
        <f t="shared" si="191"/>
        <v>-2.2271050701342752</v>
      </c>
      <c r="AZ799" s="64">
        <f t="shared" si="192"/>
        <v>-251.39366871570607</v>
      </c>
      <c r="BA799" s="64">
        <f t="shared" si="193"/>
        <v>-258.43898267375937</v>
      </c>
      <c r="BB799" s="65">
        <f t="shared" si="194"/>
        <v>3341.7983845006179</v>
      </c>
      <c r="BC799" s="65">
        <f t="shared" si="195"/>
        <v>40143.453376552352</v>
      </c>
      <c r="BD799" s="66">
        <f t="shared" si="196"/>
        <v>36047.337181129129</v>
      </c>
    </row>
    <row r="800" spans="31:56" x14ac:dyDescent="0.25">
      <c r="AE800" s="71">
        <v>738</v>
      </c>
      <c r="AF800" s="17">
        <v>1.9477874452256718</v>
      </c>
      <c r="AG800" s="18">
        <v>-25467.264705660586</v>
      </c>
      <c r="AH800" s="20">
        <v>15134.103294465163</v>
      </c>
      <c r="AN800" s="23">
        <v>795</v>
      </c>
      <c r="AO800" s="58">
        <v>397.5</v>
      </c>
      <c r="AP800" s="45">
        <f t="shared" si="197"/>
        <v>21796.782197957287</v>
      </c>
      <c r="AQ800" s="45">
        <f t="shared" si="198"/>
        <v>12073.271957621269</v>
      </c>
      <c r="AR800" s="45">
        <f t="shared" si="199"/>
        <v>3324.1981767395337</v>
      </c>
      <c r="AS800" s="45">
        <f t="shared" si="200"/>
        <v>2468.3774295541862</v>
      </c>
      <c r="AT800" s="45">
        <f t="shared" si="186"/>
        <v>-1008.1240870523968</v>
      </c>
      <c r="AU800" s="45">
        <f t="shared" si="187"/>
        <v>-1968.1146308857192</v>
      </c>
      <c r="AV800" s="64">
        <f t="shared" si="188"/>
        <v>-680.1574050394986</v>
      </c>
      <c r="AW800" s="64">
        <f t="shared" si="189"/>
        <v>-1731.1752035232118</v>
      </c>
      <c r="AX800" s="64">
        <f t="shared" si="190"/>
        <v>-98.271892512076747</v>
      </c>
      <c r="AY800" s="64">
        <f t="shared" si="191"/>
        <v>-4.8746422153430222</v>
      </c>
      <c r="AZ800" s="64">
        <f t="shared" si="192"/>
        <v>-229.69478950082151</v>
      </c>
      <c r="BA800" s="64">
        <f t="shared" si="193"/>
        <v>-232.06478514716414</v>
      </c>
      <c r="BB800" s="65">
        <f t="shared" si="194"/>
        <v>4913.5773795943524</v>
      </c>
      <c r="BC800" s="65">
        <f t="shared" si="195"/>
        <v>41848.171509801221</v>
      </c>
      <c r="BD800" s="66">
        <f t="shared" si="196"/>
        <v>38092.382317939664</v>
      </c>
    </row>
    <row r="801" spans="31:56" x14ac:dyDescent="0.25">
      <c r="AE801" s="71">
        <v>739</v>
      </c>
      <c r="AF801" s="17">
        <v>2.0106192982974678</v>
      </c>
      <c r="AG801" s="18">
        <v>-25778.849320818419</v>
      </c>
      <c r="AH801" s="20">
        <v>14780.679923115171</v>
      </c>
      <c r="AN801" s="23">
        <v>796</v>
      </c>
      <c r="AO801" s="58">
        <v>398</v>
      </c>
      <c r="AP801" s="45">
        <f t="shared" si="197"/>
        <v>23206.850264563956</v>
      </c>
      <c r="AQ801" s="45">
        <f t="shared" si="198"/>
        <v>12815.432014676933</v>
      </c>
      <c r="AR801" s="45">
        <f t="shared" si="199"/>
        <v>2820.1361332133351</v>
      </c>
      <c r="AS801" s="45">
        <f t="shared" si="200"/>
        <v>1484.3201141113266</v>
      </c>
      <c r="AT801" s="45">
        <f t="shared" si="186"/>
        <v>-1338.2409022694667</v>
      </c>
      <c r="AU801" s="45">
        <f t="shared" si="187"/>
        <v>-1926.3396835202907</v>
      </c>
      <c r="AV801" s="64">
        <f t="shared" si="188"/>
        <v>-1029.7346241829575</v>
      </c>
      <c r="AW801" s="64">
        <f t="shared" si="189"/>
        <v>-1706.8100897899751</v>
      </c>
      <c r="AX801" s="64">
        <f t="shared" si="190"/>
        <v>-91.964348770665126</v>
      </c>
      <c r="AY801" s="64">
        <f t="shared" si="191"/>
        <v>-5.9925537305411556</v>
      </c>
      <c r="AZ801" s="64">
        <f t="shared" si="192"/>
        <v>-216.54192931584404</v>
      </c>
      <c r="BA801" s="64">
        <f t="shared" si="193"/>
        <v>-213.53703999977429</v>
      </c>
      <c r="BB801" s="65">
        <f t="shared" si="194"/>
        <v>6207.8745253094794</v>
      </c>
      <c r="BC801" s="65">
        <f t="shared" si="195"/>
        <v>43298.482273790127</v>
      </c>
      <c r="BD801" s="66">
        <f t="shared" si="196"/>
        <v>39614.702573800125</v>
      </c>
    </row>
    <row r="802" spans="31:56" x14ac:dyDescent="0.25">
      <c r="AE802" s="71">
        <v>740</v>
      </c>
      <c r="AF802" s="17">
        <v>2.0734511513692637</v>
      </c>
      <c r="AG802" s="18">
        <v>-26067.627457812105</v>
      </c>
      <c r="AH802" s="20">
        <v>14408.389392193549</v>
      </c>
      <c r="AN802" s="23">
        <v>797</v>
      </c>
      <c r="AO802" s="58">
        <v>398.5</v>
      </c>
      <c r="AP802" s="45">
        <f t="shared" si="197"/>
        <v>24282.35810560326</v>
      </c>
      <c r="AQ802" s="45">
        <f t="shared" si="198"/>
        <v>13076.007150852525</v>
      </c>
      <c r="AR802" s="45">
        <f t="shared" si="199"/>
        <v>2151.0156820786019</v>
      </c>
      <c r="AS802" s="45">
        <f t="shared" si="200"/>
        <v>521.15027235118123</v>
      </c>
      <c r="AT802" s="45">
        <f t="shared" si="186"/>
        <v>-1525.3474537063207</v>
      </c>
      <c r="AU802" s="45">
        <f t="shared" si="187"/>
        <v>-1805.9513236142652</v>
      </c>
      <c r="AV802" s="64">
        <f t="shared" si="188"/>
        <v>-1227.5041298930432</v>
      </c>
      <c r="AW802" s="64">
        <f t="shared" si="189"/>
        <v>-1598.3184117715011</v>
      </c>
      <c r="AX802" s="64">
        <f t="shared" si="190"/>
        <v>-87.63820696368208</v>
      </c>
      <c r="AY802" s="64">
        <f t="shared" si="191"/>
        <v>-6.0876557356160532</v>
      </c>
      <c r="AZ802" s="64">
        <f t="shared" si="192"/>
        <v>-210.20511684959547</v>
      </c>
      <c r="BA802" s="64">
        <f t="shared" si="193"/>
        <v>-201.54525610714811</v>
      </c>
      <c r="BB802" s="65">
        <f t="shared" si="194"/>
        <v>7030.6789637263655</v>
      </c>
      <c r="BC802" s="65">
        <f t="shared" si="195"/>
        <v>44389.064637419229</v>
      </c>
      <c r="BD802" s="66">
        <f t="shared" si="196"/>
        <v>40567.458310319504</v>
      </c>
    </row>
    <row r="803" spans="31:56" x14ac:dyDescent="0.25">
      <c r="AE803" s="71">
        <v>741</v>
      </c>
      <c r="AF803" s="17">
        <v>2.1362830044410597</v>
      </c>
      <c r="AG803" s="18">
        <v>-26332.459441265113</v>
      </c>
      <c r="AH803" s="20">
        <v>14018.700962342475</v>
      </c>
      <c r="AN803" s="23">
        <v>798</v>
      </c>
      <c r="AO803" s="58">
        <v>399</v>
      </c>
      <c r="AP803" s="45">
        <f t="shared" si="197"/>
        <v>24976.529083215981</v>
      </c>
      <c r="AQ803" s="45">
        <f t="shared" si="198"/>
        <v>12885.094456124549</v>
      </c>
      <c r="AR803" s="45">
        <f t="shared" si="199"/>
        <v>1388.3419552254416</v>
      </c>
      <c r="AS803" s="45">
        <f t="shared" si="200"/>
        <v>-381.82538945595138</v>
      </c>
      <c r="AT803" s="45">
        <f t="shared" si="186"/>
        <v>-1661.4058602400796</v>
      </c>
      <c r="AU803" s="45">
        <f t="shared" si="187"/>
        <v>-1679.2962865808606</v>
      </c>
      <c r="AV803" s="64">
        <f t="shared" si="188"/>
        <v>-1366.5910557397151</v>
      </c>
      <c r="AW803" s="64">
        <f t="shared" si="189"/>
        <v>-1478.7860765997143</v>
      </c>
      <c r="AX803" s="64">
        <f t="shared" si="190"/>
        <v>-85.136796131249909</v>
      </c>
      <c r="AY803" s="64">
        <f t="shared" si="191"/>
        <v>-5.4612417529154467</v>
      </c>
      <c r="AZ803" s="64">
        <f t="shared" si="192"/>
        <v>-209.67800836911459</v>
      </c>
      <c r="BA803" s="64">
        <f t="shared" si="193"/>
        <v>-195.0489682282309</v>
      </c>
      <c r="BB803" s="65">
        <f t="shared" si="194"/>
        <v>7332.4677985980843</v>
      </c>
      <c r="BC803" s="65">
        <f t="shared" si="195"/>
        <v>45068.968685716936</v>
      </c>
      <c r="BD803" s="66">
        <f t="shared" si="196"/>
        <v>40941.064821324348</v>
      </c>
    </row>
    <row r="804" spans="31:56" x14ac:dyDescent="0.25">
      <c r="AE804" s="71">
        <v>742</v>
      </c>
      <c r="AF804" s="17">
        <v>2.1991148575128552</v>
      </c>
      <c r="AG804" s="18">
        <v>-26572.300100328976</v>
      </c>
      <c r="AH804" s="20">
        <v>13613.152555762865</v>
      </c>
      <c r="AN804" s="23">
        <v>799</v>
      </c>
      <c r="AO804" s="58">
        <v>399.5</v>
      </c>
      <c r="AP804" s="45">
        <f t="shared" si="197"/>
        <v>25255.348595768683</v>
      </c>
      <c r="AQ804" s="45">
        <f t="shared" si="198"/>
        <v>12274.357689751358</v>
      </c>
      <c r="AR804" s="45">
        <f t="shared" si="199"/>
        <v>557.63902510540174</v>
      </c>
      <c r="AS804" s="45">
        <f t="shared" si="200"/>
        <v>-1221.4735327463818</v>
      </c>
      <c r="AT804" s="45">
        <f t="shared" si="186"/>
        <v>-1790.6718955928877</v>
      </c>
      <c r="AU804" s="45">
        <f t="shared" si="187"/>
        <v>-1552.9111369661191</v>
      </c>
      <c r="AV804" s="64">
        <f t="shared" si="188"/>
        <v>-1491.6650371508051</v>
      </c>
      <c r="AW804" s="64">
        <f t="shared" si="189"/>
        <v>-1355.141778109301</v>
      </c>
      <c r="AX804" s="64">
        <f t="shared" si="190"/>
        <v>-84.322919548016145</v>
      </c>
      <c r="AY804" s="64">
        <f t="shared" si="191"/>
        <v>-4.2377417575399443</v>
      </c>
      <c r="AZ804" s="64">
        <f t="shared" si="192"/>
        <v>-214.68393889406644</v>
      </c>
      <c r="BA804" s="64">
        <f t="shared" si="193"/>
        <v>-193.53161709927829</v>
      </c>
      <c r="BB804" s="65">
        <f t="shared" si="194"/>
        <v>7100.2239551112598</v>
      </c>
      <c r="BC804" s="65">
        <f t="shared" si="195"/>
        <v>45312.462738472663</v>
      </c>
      <c r="BD804" s="66">
        <f t="shared" si="196"/>
        <v>40734.220331804325</v>
      </c>
    </row>
    <row r="805" spans="31:56" x14ac:dyDescent="0.25">
      <c r="AE805" s="71">
        <v>743</v>
      </c>
      <c r="AF805" s="17">
        <v>2.2619467105846511</v>
      </c>
      <c r="AG805" s="18">
        <v>-26786.202893495145</v>
      </c>
      <c r="AH805" s="20">
        <v>13193.344686738044</v>
      </c>
      <c r="AN805" s="23">
        <v>800</v>
      </c>
      <c r="AO805" s="58">
        <v>400</v>
      </c>
      <c r="AP805" s="45">
        <f t="shared" si="197"/>
        <v>25086.500134423164</v>
      </c>
      <c r="AQ805" s="45">
        <f t="shared" si="198"/>
        <v>11275.393139136637</v>
      </c>
      <c r="AR805" s="45">
        <f t="shared" si="199"/>
        <v>-337.69692269104212</v>
      </c>
      <c r="AS805" s="45">
        <f t="shared" si="200"/>
        <v>-1997.9291012294414</v>
      </c>
      <c r="AT805" s="45">
        <f t="shared" si="186"/>
        <v>-1916.3800961869294</v>
      </c>
      <c r="AU805" s="45">
        <f t="shared" si="187"/>
        <v>-1391.1958193001688</v>
      </c>
      <c r="AV805" s="64">
        <f t="shared" si="188"/>
        <v>-1605.6069426944891</v>
      </c>
      <c r="AW805" s="64">
        <f t="shared" si="189"/>
        <v>-1191.7423130642196</v>
      </c>
      <c r="AX805" s="64">
        <f t="shared" si="190"/>
        <v>-85.147969864769834</v>
      </c>
      <c r="AY805" s="64">
        <f t="shared" si="191"/>
        <v>-2.4086397536549429</v>
      </c>
      <c r="AZ805" s="64">
        <f t="shared" si="192"/>
        <v>-225.6251836276704</v>
      </c>
      <c r="BA805" s="64">
        <f t="shared" si="193"/>
        <v>-197.04486648229403</v>
      </c>
      <c r="BB805" s="65">
        <f t="shared" si="194"/>
        <v>6334.5147385199807</v>
      </c>
      <c r="BC805" s="65">
        <f t="shared" si="195"/>
        <v>45104.535492904666</v>
      </c>
      <c r="BD805" s="66">
        <f t="shared" si="196"/>
        <v>39944.884215063554</v>
      </c>
    </row>
    <row r="806" spans="31:56" x14ac:dyDescent="0.25">
      <c r="AE806" s="71">
        <v>744</v>
      </c>
      <c r="AF806" s="17">
        <v>2.3247785636564471</v>
      </c>
      <c r="AG806" s="18">
        <v>-26973.323644161886</v>
      </c>
      <c r="AH806" s="20">
        <v>12760.934145135083</v>
      </c>
      <c r="AN806" s="23">
        <v>801</v>
      </c>
      <c r="AO806" s="58">
        <v>400.5</v>
      </c>
      <c r="AP806" s="45">
        <f t="shared" si="197"/>
        <v>24438.55664903091</v>
      </c>
      <c r="AQ806" s="45">
        <f t="shared" si="198"/>
        <v>9928.6296336968735</v>
      </c>
      <c r="AR806" s="45">
        <f t="shared" si="199"/>
        <v>-1295.886970784507</v>
      </c>
      <c r="AS806" s="45">
        <f t="shared" si="200"/>
        <v>-2693.5270108795257</v>
      </c>
      <c r="AT806" s="45">
        <f t="shared" si="186"/>
        <v>-1982.2771915584326</v>
      </c>
      <c r="AU806" s="45">
        <f t="shared" si="187"/>
        <v>-1109.5103483016783</v>
      </c>
      <c r="AV806" s="64">
        <f t="shared" si="188"/>
        <v>-1651.0528561897986</v>
      </c>
      <c r="AW806" s="64">
        <f t="shared" si="189"/>
        <v>-903.40085987589771</v>
      </c>
      <c r="AX806" s="64">
        <f t="shared" si="190"/>
        <v>-87.660589409444299</v>
      </c>
      <c r="AY806" s="64">
        <f t="shared" si="191"/>
        <v>0.14078693927689584</v>
      </c>
      <c r="AZ806" s="64">
        <f t="shared" si="192"/>
        <v>-243.56374595918953</v>
      </c>
      <c r="BA806" s="64">
        <f t="shared" si="193"/>
        <v>-206.25027536505749</v>
      </c>
      <c r="BB806" s="65">
        <f t="shared" si="194"/>
        <v>5059.5481047547237</v>
      </c>
      <c r="BC806" s="65">
        <f t="shared" si="195"/>
        <v>44438.613961039737</v>
      </c>
      <c r="BD806" s="66">
        <f t="shared" si="196"/>
        <v>38575.448059513605</v>
      </c>
    </row>
    <row r="807" spans="31:56" x14ac:dyDescent="0.25">
      <c r="AE807" s="71">
        <v>745</v>
      </c>
      <c r="AF807" s="17">
        <v>2.387610416728243</v>
      </c>
      <c r="AG807" s="18">
        <v>-27132.923872213651</v>
      </c>
      <c r="AH807" s="20">
        <v>12317.627457812103</v>
      </c>
      <c r="AN807" s="23">
        <v>802</v>
      </c>
      <c r="AO807" s="58">
        <v>401</v>
      </c>
      <c r="AP807" s="45">
        <f t="shared" si="197"/>
        <v>23295.043865749049</v>
      </c>
      <c r="AQ807" s="45">
        <f t="shared" si="198"/>
        <v>8304.4885411816904</v>
      </c>
      <c r="AR807" s="45">
        <f t="shared" si="199"/>
        <v>-2287.0255665637233</v>
      </c>
      <c r="AS807" s="45">
        <f t="shared" si="200"/>
        <v>-3248.2821850303649</v>
      </c>
      <c r="AT807" s="45">
        <f t="shared" si="186"/>
        <v>-1827.327216629049</v>
      </c>
      <c r="AU807" s="45">
        <f t="shared" si="187"/>
        <v>-576.59157908150837</v>
      </c>
      <c r="AV807" s="64">
        <f t="shared" si="188"/>
        <v>-1465.2817419260293</v>
      </c>
      <c r="AW807" s="64">
        <f t="shared" si="189"/>
        <v>-357.75012989524055</v>
      </c>
      <c r="AX807" s="64">
        <f t="shared" si="190"/>
        <v>-91.967208856097614</v>
      </c>
      <c r="AY807" s="64">
        <f t="shared" si="191"/>
        <v>3.6016006112516843</v>
      </c>
      <c r="AZ807" s="64">
        <f t="shared" si="192"/>
        <v>-270.07826584692191</v>
      </c>
      <c r="BA807" s="64">
        <f t="shared" si="193"/>
        <v>-222.44304979751948</v>
      </c>
      <c r="BB807" s="65">
        <f t="shared" si="194"/>
        <v>3391.8307578803333</v>
      </c>
      <c r="BC807" s="65">
        <f t="shared" si="195"/>
        <v>43328.230779067337</v>
      </c>
      <c r="BD807" s="66">
        <f t="shared" si="196"/>
        <v>36656.632326643587</v>
      </c>
    </row>
    <row r="808" spans="31:56" x14ac:dyDescent="0.25">
      <c r="AE808" s="71">
        <v>746</v>
      </c>
      <c r="AF808" s="17">
        <v>2.450442269800039</v>
      </c>
      <c r="AG808" s="18">
        <v>-27264.373708464733</v>
      </c>
      <c r="AH808" s="20">
        <v>11865.174153736411</v>
      </c>
      <c r="AN808" s="23">
        <v>803</v>
      </c>
      <c r="AO808" s="58">
        <v>401.5</v>
      </c>
      <c r="AP808" s="45">
        <f t="shared" si="197"/>
        <v>21694.699278309923</v>
      </c>
      <c r="AQ808" s="45">
        <f t="shared" si="198"/>
        <v>6536.199553896131</v>
      </c>
      <c r="AR808" s="45">
        <f t="shared" si="199"/>
        <v>-3200.6891748782477</v>
      </c>
      <c r="AS808" s="45">
        <f t="shared" si="200"/>
        <v>-3536.5779745711188</v>
      </c>
      <c r="AT808" s="45">
        <f t="shared" si="186"/>
        <v>-1243.6561663378732</v>
      </c>
      <c r="AU808" s="45">
        <f t="shared" si="187"/>
        <v>238.05668985419473</v>
      </c>
      <c r="AV808" s="64">
        <f t="shared" si="188"/>
        <v>-839.05316878907183</v>
      </c>
      <c r="AW808" s="64">
        <f t="shared" si="189"/>
        <v>477.1818981301783</v>
      </c>
      <c r="AX808" s="64">
        <f t="shared" si="190"/>
        <v>-98.099187607647991</v>
      </c>
      <c r="AY808" s="64">
        <f t="shared" si="191"/>
        <v>8.1496213110850793</v>
      </c>
      <c r="AZ808" s="64">
        <f t="shared" si="192"/>
        <v>-306.50380994115329</v>
      </c>
      <c r="BA808" s="64">
        <f t="shared" si="193"/>
        <v>-247.27482958706864</v>
      </c>
      <c r="BB808" s="65">
        <f t="shared" si="194"/>
        <v>1949.5940459014002</v>
      </c>
      <c r="BC808" s="65">
        <f t="shared" si="195"/>
        <v>41838.330050793469</v>
      </c>
      <c r="BD808" s="66">
        <f t="shared" si="196"/>
        <v>34298.904658671483</v>
      </c>
    </row>
    <row r="809" spans="31:56" x14ac:dyDescent="0.25">
      <c r="AE809" s="71">
        <v>747</v>
      </c>
      <c r="AF809" s="17">
        <v>2.5132741228718345</v>
      </c>
      <c r="AG809" s="18">
        <v>-27367.154380465166</v>
      </c>
      <c r="AH809" s="20">
        <v>11405.359859392935</v>
      </c>
      <c r="AN809" s="23">
        <v>804</v>
      </c>
      <c r="AO809" s="58">
        <v>402</v>
      </c>
      <c r="AP809" s="45">
        <f t="shared" si="197"/>
        <v>19783.440649286331</v>
      </c>
      <c r="AQ809" s="45">
        <f t="shared" si="198"/>
        <v>4827.4247390741202</v>
      </c>
      <c r="AR809" s="45">
        <f t="shared" si="199"/>
        <v>-3822.5172580471844</v>
      </c>
      <c r="AS809" s="45">
        <f t="shared" si="200"/>
        <v>-3417.5496296440215</v>
      </c>
      <c r="AT809" s="45">
        <f t="shared" si="186"/>
        <v>-355.76731183601294</v>
      </c>
      <c r="AU809" s="45">
        <f t="shared" si="187"/>
        <v>992.97542779546711</v>
      </c>
      <c r="AV809" s="64">
        <f t="shared" si="188"/>
        <v>102.17551892889301</v>
      </c>
      <c r="AW809" s="64">
        <f t="shared" si="189"/>
        <v>1260.9557761496708</v>
      </c>
      <c r="AX809" s="64">
        <f t="shared" si="190"/>
        <v>-105.78659389099168</v>
      </c>
      <c r="AY809" s="64">
        <f t="shared" si="191"/>
        <v>13.754192939769583</v>
      </c>
      <c r="AZ809" s="64">
        <f t="shared" si="192"/>
        <v>-352.15623687391428</v>
      </c>
      <c r="BA809" s="64">
        <f t="shared" si="193"/>
        <v>-281.73454129397322</v>
      </c>
      <c r="BB809" s="65">
        <f t="shared" si="194"/>
        <v>2681.3348313283368</v>
      </c>
      <c r="BC809" s="65">
        <f t="shared" si="195"/>
        <v>40118.296134372787</v>
      </c>
      <c r="BD809" s="66">
        <f t="shared" si="196"/>
        <v>31738.70983830859</v>
      </c>
    </row>
    <row r="810" spans="31:56" x14ac:dyDescent="0.25">
      <c r="AE810" s="71">
        <v>748</v>
      </c>
      <c r="AF810" s="17">
        <v>2.5761059759436304</v>
      </c>
      <c r="AG810" s="18">
        <v>-27440.860259858586</v>
      </c>
      <c r="AH810" s="20">
        <v>10939.999251732281</v>
      </c>
      <c r="AN810" s="23">
        <v>805</v>
      </c>
      <c r="AO810" s="58">
        <v>402.5</v>
      </c>
      <c r="AP810" s="45">
        <f t="shared" si="197"/>
        <v>17783.240192303736</v>
      </c>
      <c r="AQ810" s="45">
        <f t="shared" si="198"/>
        <v>3366.8937812009763</v>
      </c>
      <c r="AR810" s="45">
        <f t="shared" si="199"/>
        <v>-4000.4009139651907</v>
      </c>
      <c r="AS810" s="45">
        <f t="shared" si="200"/>
        <v>-2921.0619157462879</v>
      </c>
      <c r="AT810" s="45">
        <f t="shared" si="186"/>
        <v>343.62808717420165</v>
      </c>
      <c r="AU810" s="45">
        <f t="shared" si="187"/>
        <v>1300.987041806557</v>
      </c>
      <c r="AV810" s="64">
        <f t="shared" si="188"/>
        <v>861.38185244298188</v>
      </c>
      <c r="AW810" s="64">
        <f t="shared" si="189"/>
        <v>1606.0299716425211</v>
      </c>
      <c r="AX810" s="64">
        <f t="shared" si="190"/>
        <v>-114.44102572709778</v>
      </c>
      <c r="AY810" s="64">
        <f t="shared" si="191"/>
        <v>20.090904739048192</v>
      </c>
      <c r="AZ810" s="64">
        <f t="shared" si="192"/>
        <v>-403.31273954168245</v>
      </c>
      <c r="BA810" s="64">
        <f t="shared" si="193"/>
        <v>-325.13383457501232</v>
      </c>
      <c r="BB810" s="65">
        <f t="shared" si="194"/>
        <v>4690.0523516153571</v>
      </c>
      <c r="BC810" s="65">
        <f t="shared" si="195"/>
        <v>38361.06538587252</v>
      </c>
      <c r="BD810" s="66">
        <f t="shared" si="196"/>
        <v>29264.634302005612</v>
      </c>
    </row>
    <row r="811" spans="31:56" x14ac:dyDescent="0.25">
      <c r="AE811" s="71">
        <v>749</v>
      </c>
      <c r="AF811" s="17">
        <v>2.6389378290154264</v>
      </c>
      <c r="AG811" s="18">
        <v>-27485.200463212037</v>
      </c>
      <c r="AH811" s="20">
        <v>10470.928896469848</v>
      </c>
      <c r="AN811" s="23">
        <v>806</v>
      </c>
      <c r="AO811" s="58">
        <v>403</v>
      </c>
      <c r="AP811" s="45">
        <f t="shared" si="197"/>
        <v>15868.946757114691</v>
      </c>
      <c r="AQ811" s="45">
        <f t="shared" si="198"/>
        <v>2231.6095837794714</v>
      </c>
      <c r="AR811" s="45">
        <f t="shared" si="199"/>
        <v>-3828.5868703780898</v>
      </c>
      <c r="AS811" s="45">
        <f t="shared" si="200"/>
        <v>-2270.5683948430096</v>
      </c>
      <c r="AT811" s="45">
        <f t="shared" si="186"/>
        <v>662.6389864545946</v>
      </c>
      <c r="AU811" s="45">
        <f t="shared" si="187"/>
        <v>1233.8940004064812</v>
      </c>
      <c r="AV811" s="64">
        <f t="shared" si="188"/>
        <v>1241.108298670433</v>
      </c>
      <c r="AW811" s="64">
        <f t="shared" si="189"/>
        <v>1582.8029032228596</v>
      </c>
      <c r="AX811" s="64">
        <f t="shared" si="190"/>
        <v>-123.5140221258896</v>
      </c>
      <c r="AY811" s="64">
        <f t="shared" si="191"/>
        <v>26.750301653652294</v>
      </c>
      <c r="AZ811" s="64">
        <f t="shared" si="192"/>
        <v>-454.95529008994879</v>
      </c>
      <c r="BA811" s="64">
        <f t="shared" si="193"/>
        <v>-375.65920447003066</v>
      </c>
      <c r="BB811" s="65">
        <f t="shared" si="194"/>
        <v>6694.8889814004797</v>
      </c>
      <c r="BC811" s="65">
        <f t="shared" si="195"/>
        <v>36700.534480080198</v>
      </c>
      <c r="BD811" s="66">
        <f t="shared" si="196"/>
        <v>27063.652887204422</v>
      </c>
    </row>
    <row r="812" spans="31:56" x14ac:dyDescent="0.25">
      <c r="AE812" s="71">
        <v>750</v>
      </c>
      <c r="AF812" s="17">
        <v>2.7017696820872223</v>
      </c>
      <c r="AG812" s="18">
        <v>-27500</v>
      </c>
      <c r="AH812" s="20">
        <v>9999.9999999999982</v>
      </c>
      <c r="AN812" s="23">
        <v>807</v>
      </c>
      <c r="AO812" s="58">
        <v>403.5</v>
      </c>
      <c r="AP812" s="45">
        <f t="shared" si="197"/>
        <v>14120.313068539293</v>
      </c>
      <c r="AQ812" s="45">
        <f t="shared" si="198"/>
        <v>1404.7988864595868</v>
      </c>
      <c r="AR812" s="45">
        <f t="shared" si="199"/>
        <v>-3497.2673771507925</v>
      </c>
      <c r="AS812" s="45">
        <f t="shared" si="200"/>
        <v>-1653.6213946397691</v>
      </c>
      <c r="AT812" s="45">
        <f t="shared" si="186"/>
        <v>732.65728074937408</v>
      </c>
      <c r="AU812" s="45">
        <f t="shared" si="187"/>
        <v>1020.3402152958116</v>
      </c>
      <c r="AV812" s="64">
        <f t="shared" si="188"/>
        <v>1368.0853045035699</v>
      </c>
      <c r="AW812" s="64">
        <f t="shared" si="189"/>
        <v>1418.2311352003933</v>
      </c>
      <c r="AX812" s="64">
        <f t="shared" si="190"/>
        <v>-132.70914628756523</v>
      </c>
      <c r="AY812" s="64">
        <f t="shared" si="191"/>
        <v>33.430578425718728</v>
      </c>
      <c r="AZ812" s="64">
        <f t="shared" si="192"/>
        <v>-502.71887746663049</v>
      </c>
      <c r="BA812" s="64">
        <f t="shared" si="193"/>
        <v>-431.32149833030041</v>
      </c>
      <c r="BB812" s="65">
        <f t="shared" si="194"/>
        <v>8468.8957383176057</v>
      </c>
      <c r="BC812" s="65">
        <f t="shared" si="195"/>
        <v>35186.265020279432</v>
      </c>
      <c r="BD812" s="66">
        <f t="shared" si="196"/>
        <v>25193.32844909819</v>
      </c>
    </row>
    <row r="813" spans="31:56" x14ac:dyDescent="0.25">
      <c r="AE813" s="71">
        <v>751</v>
      </c>
      <c r="AF813" s="17">
        <v>2.7646015351590183</v>
      </c>
      <c r="AG813" s="18">
        <v>-27485.200463212037</v>
      </c>
      <c r="AH813" s="20">
        <v>9529.0711035301501</v>
      </c>
      <c r="AN813" s="23">
        <v>808</v>
      </c>
      <c r="AO813" s="58">
        <v>404</v>
      </c>
      <c r="AP813" s="45">
        <f t="shared" si="197"/>
        <v>12554.843700151241</v>
      </c>
      <c r="AQ813" s="45">
        <f t="shared" si="198"/>
        <v>833.07324296365516</v>
      </c>
      <c r="AR813" s="45">
        <f t="shared" si="199"/>
        <v>-3130.9387367761055</v>
      </c>
      <c r="AS813" s="45">
        <f t="shared" si="200"/>
        <v>-1143.4512869918633</v>
      </c>
      <c r="AT813" s="45">
        <f t="shared" si="186"/>
        <v>694.08273777480645</v>
      </c>
      <c r="AU813" s="45">
        <f t="shared" si="187"/>
        <v>785.06876210337066</v>
      </c>
      <c r="AV813" s="64">
        <f t="shared" si="188"/>
        <v>1379.5075646314319</v>
      </c>
      <c r="AW813" s="64">
        <f t="shared" si="189"/>
        <v>1235.309981922363</v>
      </c>
      <c r="AX813" s="64">
        <f t="shared" si="190"/>
        <v>-141.91535539902827</v>
      </c>
      <c r="AY813" s="64">
        <f t="shared" si="191"/>
        <v>39.961109339794824</v>
      </c>
      <c r="AZ813" s="64">
        <f t="shared" si="192"/>
        <v>-543.5094714575971</v>
      </c>
      <c r="BA813" s="64">
        <f t="shared" si="193"/>
        <v>-490.20232915878717</v>
      </c>
      <c r="BB813" s="65">
        <f t="shared" si="194"/>
        <v>9993.911382079832</v>
      </c>
      <c r="BC813" s="65">
        <f t="shared" si="195"/>
        <v>33820.857388749711</v>
      </c>
      <c r="BD813" s="66">
        <f t="shared" si="196"/>
        <v>23640.193435202502</v>
      </c>
    </row>
    <row r="814" spans="31:56" x14ac:dyDescent="0.25">
      <c r="AE814" s="71">
        <v>752</v>
      </c>
      <c r="AF814" s="17">
        <v>2.8274333882308142</v>
      </c>
      <c r="AG814" s="18">
        <v>-27440.860259858586</v>
      </c>
      <c r="AH814" s="20">
        <v>9060.0007482677174</v>
      </c>
      <c r="AN814" s="23">
        <v>809</v>
      </c>
      <c r="AO814" s="58">
        <v>404.5</v>
      </c>
      <c r="AP814" s="45">
        <f t="shared" si="197"/>
        <v>11162.89501620689</v>
      </c>
      <c r="AQ814" s="45">
        <f t="shared" si="198"/>
        <v>457.61478999356621</v>
      </c>
      <c r="AR814" s="45">
        <f t="shared" si="199"/>
        <v>-2783.8973678887023</v>
      </c>
      <c r="AS814" s="45">
        <f t="shared" si="200"/>
        <v>-750.91690594017791</v>
      </c>
      <c r="AT814" s="45">
        <f t="shared" si="186"/>
        <v>620.10470964384933</v>
      </c>
      <c r="AU814" s="45">
        <f t="shared" si="187"/>
        <v>569.06830087290712</v>
      </c>
      <c r="AV814" s="64">
        <f t="shared" si="188"/>
        <v>1346.7711533469064</v>
      </c>
      <c r="AW814" s="64">
        <f t="shared" si="189"/>
        <v>1073.2566003219056</v>
      </c>
      <c r="AX814" s="64">
        <f t="shared" si="190"/>
        <v>-151.09568898592664</v>
      </c>
      <c r="AY814" s="64">
        <f t="shared" si="191"/>
        <v>46.266987297720398</v>
      </c>
      <c r="AZ814" s="64">
        <f t="shared" si="192"/>
        <v>-575.5707547171304</v>
      </c>
      <c r="BA814" s="64">
        <f t="shared" si="193"/>
        <v>-550.4552867467188</v>
      </c>
      <c r="BB814" s="65">
        <f t="shared" si="194"/>
        <v>11299.982917717105</v>
      </c>
      <c r="BC814" s="65">
        <f t="shared" si="195"/>
        <v>32591.151272811487</v>
      </c>
      <c r="BD814" s="66">
        <f t="shared" si="196"/>
        <v>22364.637942536727</v>
      </c>
    </row>
    <row r="815" spans="31:56" x14ac:dyDescent="0.25">
      <c r="AE815" s="71">
        <v>753</v>
      </c>
      <c r="AF815" s="17">
        <v>2.8902652413026098</v>
      </c>
      <c r="AG815" s="18">
        <v>-27367.154380465166</v>
      </c>
      <c r="AH815" s="20">
        <v>8594.6401406070636</v>
      </c>
      <c r="AN815" s="23">
        <v>810</v>
      </c>
      <c r="AO815" s="58">
        <v>405</v>
      </c>
      <c r="AP815" s="45">
        <f t="shared" si="197"/>
        <v>9925.9725096735019</v>
      </c>
      <c r="AQ815" s="45">
        <f t="shared" si="198"/>
        <v>224.42341224170403</v>
      </c>
      <c r="AR815" s="45">
        <f t="shared" si="199"/>
        <v>-2473.8450130667775</v>
      </c>
      <c r="AS815" s="45">
        <f t="shared" si="200"/>
        <v>-466.38275550372435</v>
      </c>
      <c r="AT815" s="45">
        <f t="shared" si="186"/>
        <v>541.15185299143684</v>
      </c>
      <c r="AU815" s="45">
        <f t="shared" si="187"/>
        <v>380.67289317772634</v>
      </c>
      <c r="AV815" s="64">
        <f t="shared" si="188"/>
        <v>1299.7947169423817</v>
      </c>
      <c r="AW815" s="64">
        <f t="shared" si="189"/>
        <v>938.72644486613581</v>
      </c>
      <c r="AX815" s="64">
        <f t="shared" si="190"/>
        <v>-160.21835054924568</v>
      </c>
      <c r="AY815" s="64">
        <f t="shared" si="191"/>
        <v>52.336703712876115</v>
      </c>
      <c r="AZ815" s="64">
        <f t="shared" si="192"/>
        <v>-598.42451340169907</v>
      </c>
      <c r="BA815" s="64">
        <f t="shared" si="193"/>
        <v>-610.39025540128557</v>
      </c>
      <c r="BB815" s="65">
        <f t="shared" si="194"/>
        <v>12426.586198960302</v>
      </c>
      <c r="BC815" s="65">
        <f t="shared" si="195"/>
        <v>31482.149359166415</v>
      </c>
      <c r="BD815" s="66">
        <f t="shared" si="196"/>
        <v>21320.593884663307</v>
      </c>
    </row>
    <row r="816" spans="31:56" x14ac:dyDescent="0.25">
      <c r="AE816" s="71">
        <v>754</v>
      </c>
      <c r="AF816" s="17">
        <v>2.9530970943744057</v>
      </c>
      <c r="AG816" s="18">
        <v>-27264.373708464733</v>
      </c>
      <c r="AH816" s="20">
        <v>8134.8258462635877</v>
      </c>
      <c r="AN816" s="23">
        <v>811</v>
      </c>
      <c r="AO816" s="58">
        <v>405.5</v>
      </c>
      <c r="AP816" s="45">
        <f t="shared" si="197"/>
        <v>8824.3379663879732</v>
      </c>
      <c r="AQ816" s="45">
        <f t="shared" si="198"/>
        <v>86.400257784273435</v>
      </c>
      <c r="AR816" s="45">
        <f t="shared" si="199"/>
        <v>-2203.2690865710592</v>
      </c>
      <c r="AS816" s="45">
        <f t="shared" si="200"/>
        <v>-276.04630891486119</v>
      </c>
      <c r="AT816" s="45">
        <f t="shared" si="186"/>
        <v>467.9461985144851</v>
      </c>
      <c r="AU816" s="45">
        <f t="shared" si="187"/>
        <v>218.68956072772323</v>
      </c>
      <c r="AV816" s="64">
        <f t="shared" si="188"/>
        <v>1249.8787743017401</v>
      </c>
      <c r="AW816" s="64">
        <f t="shared" si="189"/>
        <v>829.13217410257005</v>
      </c>
      <c r="AX816" s="64">
        <f t="shared" si="190"/>
        <v>-169.22424950908987</v>
      </c>
      <c r="AY816" s="64">
        <f t="shared" si="191"/>
        <v>58.201561411964967</v>
      </c>
      <c r="AZ816" s="64">
        <f t="shared" si="192"/>
        <v>-612.70832627816503</v>
      </c>
      <c r="BA816" s="64">
        <f t="shared" si="193"/>
        <v>-668.64417478681173</v>
      </c>
      <c r="BB816" s="65">
        <f t="shared" si="194"/>
        <v>13411.073149725878</v>
      </c>
      <c r="BC816" s="65">
        <f t="shared" si="195"/>
        <v>30481.501259770899</v>
      </c>
      <c r="BD816" s="66">
        <f t="shared" si="196"/>
        <v>20462.448361498416</v>
      </c>
    </row>
    <row r="817" spans="31:56" x14ac:dyDescent="0.25">
      <c r="AE817" s="71">
        <v>755</v>
      </c>
      <c r="AF817" s="17">
        <v>3.0159289474462017</v>
      </c>
      <c r="AG817" s="18">
        <v>-27132.923872213651</v>
      </c>
      <c r="AH817" s="20">
        <v>7682.3725421878917</v>
      </c>
      <c r="AN817" s="23">
        <v>812</v>
      </c>
      <c r="AO817" s="58">
        <v>406</v>
      </c>
      <c r="AP817" s="45">
        <f t="shared" si="197"/>
        <v>7839.6899727310647</v>
      </c>
      <c r="AQ817" s="45">
        <f t="shared" si="198"/>
        <v>3.0494935087736508</v>
      </c>
      <c r="AR817" s="45">
        <f t="shared" si="199"/>
        <v>-1969.2959873138166</v>
      </c>
      <c r="AS817" s="45">
        <f t="shared" si="200"/>
        <v>-166.70152855099957</v>
      </c>
      <c r="AT817" s="45">
        <f t="shared" si="186"/>
        <v>402.86714092127113</v>
      </c>
      <c r="AU817" s="45">
        <f t="shared" si="187"/>
        <v>79.867033353736815</v>
      </c>
      <c r="AV817" s="64">
        <f t="shared" si="188"/>
        <v>1200.7899384522398</v>
      </c>
      <c r="AW817" s="64">
        <f t="shared" si="189"/>
        <v>740.29878490613544</v>
      </c>
      <c r="AX817" s="64">
        <f t="shared" si="190"/>
        <v>-178.01561280427396</v>
      </c>
      <c r="AY817" s="64">
        <f t="shared" si="191"/>
        <v>63.923602322086232</v>
      </c>
      <c r="AZ817" s="64">
        <f t="shared" si="192"/>
        <v>-619.90718472669471</v>
      </c>
      <c r="BA817" s="64">
        <f t="shared" si="193"/>
        <v>-724.35535387448488</v>
      </c>
      <c r="BB817" s="65">
        <f t="shared" si="194"/>
        <v>14285.566382054178</v>
      </c>
      <c r="BC817" s="65">
        <f t="shared" si="195"/>
        <v>29580.185212520526</v>
      </c>
      <c r="BD817" s="66">
        <f t="shared" si="196"/>
        <v>19747.129733217545</v>
      </c>
    </row>
    <row r="818" spans="31:56" x14ac:dyDescent="0.25">
      <c r="AE818" s="71">
        <v>756</v>
      </c>
      <c r="AF818" s="17">
        <v>3.0787608005179976</v>
      </c>
      <c r="AG818" s="18">
        <v>-26973.323644161886</v>
      </c>
      <c r="AH818" s="20">
        <v>7239.0658548649126</v>
      </c>
      <c r="AN818" s="23">
        <v>813</v>
      </c>
      <c r="AO818" s="58">
        <v>406.5</v>
      </c>
      <c r="AP818" s="45">
        <f t="shared" si="197"/>
        <v>6955.7587643044735</v>
      </c>
      <c r="AQ818" s="45">
        <f t="shared" si="198"/>
        <v>-60.33451242829193</v>
      </c>
      <c r="AR818" s="45">
        <f t="shared" si="199"/>
        <v>-1767.862416853181</v>
      </c>
      <c r="AS818" s="45">
        <f t="shared" si="200"/>
        <v>-126.76801187413116</v>
      </c>
      <c r="AT818" s="45">
        <f t="shared" si="186"/>
        <v>344.9076535443628</v>
      </c>
      <c r="AU818" s="45">
        <f t="shared" si="187"/>
        <v>-39.188449505453605</v>
      </c>
      <c r="AV818" s="64">
        <f t="shared" si="188"/>
        <v>1153.3915542687841</v>
      </c>
      <c r="AW818" s="64">
        <f t="shared" si="189"/>
        <v>668.49622116917567</v>
      </c>
      <c r="AX818" s="64">
        <f t="shared" si="190"/>
        <v>-186.45593404163233</v>
      </c>
      <c r="AY818" s="64">
        <f t="shared" si="191"/>
        <v>69.588435060862849</v>
      </c>
      <c r="AZ818" s="64">
        <f t="shared" si="192"/>
        <v>-622.02796668278904</v>
      </c>
      <c r="BA818" s="64">
        <f t="shared" si="193"/>
        <v>-777.27310573549209</v>
      </c>
      <c r="BB818" s="65">
        <f t="shared" si="194"/>
        <v>15076.832802509747</v>
      </c>
      <c r="BC818" s="65">
        <f t="shared" si="195"/>
        <v>28771.91792462458</v>
      </c>
      <c r="BD818" s="66">
        <f t="shared" si="196"/>
        <v>19134.622350879687</v>
      </c>
    </row>
    <row r="819" spans="31:56" x14ac:dyDescent="0.25">
      <c r="AE819" s="71">
        <v>757</v>
      </c>
      <c r="AF819" s="17">
        <v>3.1415926535897936</v>
      </c>
      <c r="AG819" s="18">
        <v>-26786.202893495145</v>
      </c>
      <c r="AH819" s="20">
        <v>6806.6553132619556</v>
      </c>
      <c r="AN819" s="23">
        <v>814</v>
      </c>
      <c r="AO819" s="58">
        <v>407</v>
      </c>
      <c r="AP819" s="45">
        <f t="shared" si="197"/>
        <v>6158.0544692639742</v>
      </c>
      <c r="AQ819" s="45">
        <f t="shared" si="198"/>
        <v>-133.51563074172091</v>
      </c>
      <c r="AR819" s="45">
        <f t="shared" si="199"/>
        <v>-1595.4085900809996</v>
      </c>
      <c r="AS819" s="45">
        <f t="shared" si="200"/>
        <v>-146.36223662685796</v>
      </c>
      <c r="AT819" s="45">
        <f t="shared" si="186"/>
        <v>291.81393015377489</v>
      </c>
      <c r="AU819" s="45">
        <f t="shared" si="187"/>
        <v>-141.72860372380796</v>
      </c>
      <c r="AV819" s="64">
        <f t="shared" si="188"/>
        <v>1107.4794316101259</v>
      </c>
      <c r="AW819" s="64">
        <f t="shared" si="189"/>
        <v>610.74951733835667</v>
      </c>
      <c r="AX819" s="64">
        <f t="shared" si="190"/>
        <v>-194.37562065557944</v>
      </c>
      <c r="AY819" s="64">
        <f t="shared" si="191"/>
        <v>75.300263345764819</v>
      </c>
      <c r="AZ819" s="64">
        <f t="shared" si="192"/>
        <v>-621.28988080077147</v>
      </c>
      <c r="BA819" s="64">
        <f t="shared" si="193"/>
        <v>-827.77838440792948</v>
      </c>
      <c r="BB819" s="65">
        <f t="shared" si="194"/>
        <v>15807.277341801821</v>
      </c>
      <c r="BC819" s="65">
        <f t="shared" si="195"/>
        <v>28052.307439058695</v>
      </c>
      <c r="BD819" s="66">
        <f t="shared" si="196"/>
        <v>18588.021332042379</v>
      </c>
    </row>
    <row r="820" spans="31:56" x14ac:dyDescent="0.25">
      <c r="AE820" s="71">
        <v>758</v>
      </c>
      <c r="AF820" s="17">
        <v>3.2044245066615891</v>
      </c>
      <c r="AG820" s="18">
        <v>-26572.300100328976</v>
      </c>
      <c r="AH820" s="20">
        <v>6386.8474442371353</v>
      </c>
      <c r="AN820" s="23">
        <v>815</v>
      </c>
      <c r="AO820" s="58">
        <v>407.5</v>
      </c>
      <c r="AP820" s="45">
        <f t="shared" si="197"/>
        <v>5433.3036567619183</v>
      </c>
      <c r="AQ820" s="45">
        <f t="shared" si="198"/>
        <v>-242.12889998610189</v>
      </c>
      <c r="AR820" s="45">
        <f t="shared" si="199"/>
        <v>-1449.5016250041122</v>
      </c>
      <c r="AS820" s="45">
        <f t="shared" si="200"/>
        <v>-217.22653848876195</v>
      </c>
      <c r="AT820" s="45">
        <f t="shared" si="186"/>
        <v>241.00562918133369</v>
      </c>
      <c r="AU820" s="45">
        <f t="shared" si="187"/>
        <v>-230.95496066617625</v>
      </c>
      <c r="AV820" s="64">
        <f t="shared" si="188"/>
        <v>1062.475835516422</v>
      </c>
      <c r="AW820" s="64">
        <f t="shared" si="189"/>
        <v>564.70078581043731</v>
      </c>
      <c r="AX820" s="64">
        <f t="shared" si="190"/>
        <v>-201.57967021392236</v>
      </c>
      <c r="AY820" s="64">
        <f t="shared" si="191"/>
        <v>81.177223132739499</v>
      </c>
      <c r="AZ820" s="64">
        <f t="shared" si="192"/>
        <v>-619.89053612116595</v>
      </c>
      <c r="BA820" s="64">
        <f t="shared" si="193"/>
        <v>-876.83296960935309</v>
      </c>
      <c r="BB820" s="65">
        <f t="shared" si="194"/>
        <v>16496.339056290813</v>
      </c>
      <c r="BC820" s="65">
        <f t="shared" si="195"/>
        <v>27418.135226542847</v>
      </c>
      <c r="BD820" s="66">
        <f t="shared" si="196"/>
        <v>18073.422050038753</v>
      </c>
    </row>
    <row r="821" spans="31:56" x14ac:dyDescent="0.25">
      <c r="AE821" s="71">
        <v>759</v>
      </c>
      <c r="AF821" s="17">
        <v>3.267256359733385</v>
      </c>
      <c r="AG821" s="18">
        <v>-26332.459441265113</v>
      </c>
      <c r="AH821" s="20">
        <v>5981.2990376575244</v>
      </c>
      <c r="AN821" s="23">
        <v>816</v>
      </c>
      <c r="AO821" s="58">
        <v>408</v>
      </c>
      <c r="AP821" s="45">
        <f t="shared" si="197"/>
        <v>4768.8042515551961</v>
      </c>
      <c r="AQ821" s="45">
        <f t="shared" si="198"/>
        <v>-408.48090939702695</v>
      </c>
      <c r="AR821" s="45">
        <f t="shared" si="199"/>
        <v>-1328.9988104134454</v>
      </c>
      <c r="AS821" s="45">
        <f t="shared" si="200"/>
        <v>-332.70401882185007</v>
      </c>
      <c r="AT821" s="45">
        <f t="shared" si="186"/>
        <v>189.94050188722383</v>
      </c>
      <c r="AU821" s="45">
        <f t="shared" si="187"/>
        <v>-310.14817913567742</v>
      </c>
      <c r="AV821" s="64">
        <f t="shared" si="188"/>
        <v>1017.6699921659155</v>
      </c>
      <c r="AW821" s="64">
        <f t="shared" si="189"/>
        <v>528.40393085566745</v>
      </c>
      <c r="AX821" s="64">
        <f t="shared" si="190"/>
        <v>-207.85465391561215</v>
      </c>
      <c r="AY821" s="64">
        <f t="shared" si="191"/>
        <v>87.3458070578492</v>
      </c>
      <c r="AZ821" s="64">
        <f t="shared" si="192"/>
        <v>-619.87483636307945</v>
      </c>
      <c r="BA821" s="64">
        <f t="shared" si="193"/>
        <v>-925.89791704919412</v>
      </c>
      <c r="BB821" s="65">
        <f t="shared" si="194"/>
        <v>17161.975242428834</v>
      </c>
      <c r="BC821" s="65">
        <f t="shared" si="195"/>
        <v>26866.896711253074</v>
      </c>
      <c r="BD821" s="66">
        <f t="shared" si="196"/>
        <v>17559.668729125668</v>
      </c>
    </row>
    <row r="822" spans="31:56" x14ac:dyDescent="0.25">
      <c r="AE822" s="71">
        <v>760</v>
      </c>
      <c r="AF822" s="17">
        <v>3.330088212805181</v>
      </c>
      <c r="AG822" s="18">
        <v>-26067.627457812105</v>
      </c>
      <c r="AH822" s="20">
        <v>5591.6106078064495</v>
      </c>
      <c r="AN822" s="23">
        <v>817</v>
      </c>
      <c r="AO822" s="58">
        <v>408.5</v>
      </c>
      <c r="AP822" s="45">
        <f t="shared" si="197"/>
        <v>4151.7899718202798</v>
      </c>
      <c r="AQ822" s="45">
        <f t="shared" si="198"/>
        <v>-652.36996359187128</v>
      </c>
      <c r="AR822" s="45">
        <f t="shared" si="199"/>
        <v>-1234.0285594698335</v>
      </c>
      <c r="AS822" s="45">
        <f t="shared" si="200"/>
        <v>-487.77810838968878</v>
      </c>
      <c r="AT822" s="45">
        <f t="shared" si="186"/>
        <v>136.21472434293969</v>
      </c>
      <c r="AU822" s="45">
        <f t="shared" si="187"/>
        <v>-382.78081007493438</v>
      </c>
      <c r="AV822" s="64">
        <f t="shared" si="188"/>
        <v>972.2907367262809</v>
      </c>
      <c r="AW822" s="64">
        <f t="shared" si="189"/>
        <v>500.14946696641897</v>
      </c>
      <c r="AX822" s="64">
        <f t="shared" si="190"/>
        <v>-212.97286257678198</v>
      </c>
      <c r="AY822" s="64">
        <f t="shared" si="191"/>
        <v>93.933647444769733</v>
      </c>
      <c r="AZ822" s="64">
        <f t="shared" si="192"/>
        <v>-623.10314980655926</v>
      </c>
      <c r="BA822" s="64">
        <f t="shared" si="193"/>
        <v>-976.8639244861231</v>
      </c>
      <c r="BB822" s="65">
        <f t="shared" si="194"/>
        <v>17822.090144552945</v>
      </c>
      <c r="BC822" s="65">
        <f t="shared" si="195"/>
        <v>26396.627524821291</v>
      </c>
      <c r="BD822" s="66">
        <f t="shared" si="196"/>
        <v>17017.92429616347</v>
      </c>
    </row>
    <row r="823" spans="31:56" x14ac:dyDescent="0.25">
      <c r="AE823" s="71">
        <v>761</v>
      </c>
      <c r="AF823" s="17">
        <v>3.3929200658769769</v>
      </c>
      <c r="AG823" s="18">
        <v>-25778.849320818419</v>
      </c>
      <c r="AH823" s="20">
        <v>5219.3200768848255</v>
      </c>
      <c r="AN823" s="23">
        <v>818</v>
      </c>
      <c r="AO823" s="58">
        <v>409</v>
      </c>
      <c r="AP823" s="45">
        <f t="shared" si="197"/>
        <v>3568.8293731710978</v>
      </c>
      <c r="AQ823" s="45">
        <f t="shared" si="198"/>
        <v>-991.95422030544933</v>
      </c>
      <c r="AR823" s="45">
        <f t="shared" si="199"/>
        <v>-1165.9211972983635</v>
      </c>
      <c r="AS823" s="45">
        <f t="shared" si="200"/>
        <v>-679.16851342715597</v>
      </c>
      <c r="AT823" s="45">
        <f t="shared" si="186"/>
        <v>77.542724562590706</v>
      </c>
      <c r="AU823" s="45">
        <f t="shared" si="187"/>
        <v>-452.63079922999486</v>
      </c>
      <c r="AV823" s="64">
        <f t="shared" si="188"/>
        <v>925.53167176807267</v>
      </c>
      <c r="AW823" s="64">
        <f t="shared" si="189"/>
        <v>478.3330880432884</v>
      </c>
      <c r="AX823" s="64">
        <f t="shared" si="190"/>
        <v>-216.69194309317129</v>
      </c>
      <c r="AY823" s="64">
        <f t="shared" si="191"/>
        <v>101.0600857885841</v>
      </c>
      <c r="AZ823" s="64">
        <f t="shared" si="192"/>
        <v>-631.29700411231067</v>
      </c>
      <c r="BA823" s="64">
        <f t="shared" si="193"/>
        <v>-1032.0239730618673</v>
      </c>
      <c r="BB823" s="65">
        <f t="shared" si="194"/>
        <v>18495.855066682601</v>
      </c>
      <c r="BC823" s="65">
        <f t="shared" si="195"/>
        <v>26006.014219848137</v>
      </c>
      <c r="BD823" s="66">
        <f t="shared" si="196"/>
        <v>16421.028694711491</v>
      </c>
    </row>
    <row r="824" spans="31:56" x14ac:dyDescent="0.25">
      <c r="AE824" s="71">
        <v>762</v>
      </c>
      <c r="AF824" s="17">
        <v>3.4557519189487729</v>
      </c>
      <c r="AG824" s="18">
        <v>-25467.264705660586</v>
      </c>
      <c r="AH824" s="20">
        <v>4865.8967055348348</v>
      </c>
      <c r="AN824" s="23">
        <v>819</v>
      </c>
      <c r="AO824" s="58">
        <v>409.5</v>
      </c>
      <c r="AP824" s="45">
        <f t="shared" si="197"/>
        <v>3005.2544556625635</v>
      </c>
      <c r="AQ824" s="45">
        <f t="shared" si="198"/>
        <v>-1444.696176826526</v>
      </c>
      <c r="AR824" s="45">
        <f t="shared" si="199"/>
        <v>-1127.1498350170682</v>
      </c>
      <c r="AS824" s="45">
        <f t="shared" si="200"/>
        <v>-905.4839130421534</v>
      </c>
      <c r="AT824" s="45">
        <f t="shared" si="186"/>
        <v>11.697413283916944</v>
      </c>
      <c r="AU824" s="45">
        <f t="shared" si="187"/>
        <v>-523.91270920990689</v>
      </c>
      <c r="AV824" s="64">
        <f t="shared" si="188"/>
        <v>876.58015576076764</v>
      </c>
      <c r="AW824" s="64">
        <f t="shared" si="189"/>
        <v>461.36278695433816</v>
      </c>
      <c r="AX824" s="64">
        <f t="shared" si="190"/>
        <v>-218.748834377637</v>
      </c>
      <c r="AY824" s="64">
        <f t="shared" si="191"/>
        <v>108.82357129811189</v>
      </c>
      <c r="AZ824" s="64">
        <f t="shared" si="192"/>
        <v>-646.13390809921373</v>
      </c>
      <c r="BA824" s="64">
        <f t="shared" si="193"/>
        <v>-1094.099067462357</v>
      </c>
      <c r="BB824" s="65">
        <f t="shared" si="194"/>
        <v>19204.920354235062</v>
      </c>
      <c r="BC824" s="65">
        <f t="shared" si="195"/>
        <v>25694.801091848327</v>
      </c>
      <c r="BD824" s="66">
        <f t="shared" si="196"/>
        <v>15742.628771537704</v>
      </c>
    </row>
    <row r="825" spans="31:56" x14ac:dyDescent="0.25">
      <c r="AE825" s="71">
        <v>763</v>
      </c>
      <c r="AF825" s="17">
        <v>3.5185837720205688</v>
      </c>
      <c r="AG825" s="18">
        <v>-25134.103294465163</v>
      </c>
      <c r="AH825" s="20">
        <v>4532.7352943394135</v>
      </c>
      <c r="AN825" s="23">
        <v>820</v>
      </c>
      <c r="AO825" s="58">
        <v>410</v>
      </c>
      <c r="AP825" s="45">
        <f t="shared" si="197"/>
        <v>2444.6038914750088</v>
      </c>
      <c r="AQ825" s="45">
        <f t="shared" si="198"/>
        <v>-2028.4163106500794</v>
      </c>
      <c r="AR825" s="45">
        <f t="shared" si="199"/>
        <v>-1121.3011283751098</v>
      </c>
      <c r="AS825" s="45">
        <f t="shared" si="200"/>
        <v>-1167.4402676471068</v>
      </c>
      <c r="AT825" s="45">
        <f t="shared" si="186"/>
        <v>-63.533314843748599</v>
      </c>
      <c r="AU825" s="45">
        <f t="shared" si="187"/>
        <v>-601.4131136819052</v>
      </c>
      <c r="AV825" s="64">
        <f t="shared" si="188"/>
        <v>824.67169332610558</v>
      </c>
      <c r="AW825" s="64">
        <f t="shared" si="189"/>
        <v>447.60113443433443</v>
      </c>
      <c r="AX825" s="64">
        <f t="shared" si="190"/>
        <v>-218.84748900282125</v>
      </c>
      <c r="AY825" s="64">
        <f t="shared" si="191"/>
        <v>117.28381213562839</v>
      </c>
      <c r="AZ825" s="64">
        <f t="shared" si="192"/>
        <v>-669.35751916703293</v>
      </c>
      <c r="BA825" s="64">
        <f t="shared" si="193"/>
        <v>-1166.298060251868</v>
      </c>
      <c r="BB825" s="65">
        <f t="shared" si="194"/>
        <v>19974.550055414937</v>
      </c>
      <c r="BC825" s="65">
        <f t="shared" si="195"/>
        <v>25464.544817992093</v>
      </c>
      <c r="BD825" s="66">
        <f t="shared" si="196"/>
        <v>14956.072696760126</v>
      </c>
    </row>
    <row r="826" spans="31:56" x14ac:dyDescent="0.25">
      <c r="AE826" s="71">
        <v>764</v>
      </c>
      <c r="AF826" s="17">
        <v>3.5814156250923643</v>
      </c>
      <c r="AG826" s="18">
        <v>-24780.679923115171</v>
      </c>
      <c r="AH826" s="20">
        <v>4221.15067918158</v>
      </c>
      <c r="AN826" s="23">
        <v>821</v>
      </c>
      <c r="AO826" s="58">
        <v>410.5</v>
      </c>
      <c r="AP826" s="45">
        <f t="shared" si="197"/>
        <v>1868.0699985765168</v>
      </c>
      <c r="AQ826" s="45">
        <f t="shared" si="198"/>
        <v>-2762.489722894109</v>
      </c>
      <c r="AR826" s="45">
        <f t="shared" si="199"/>
        <v>-1153.067785796984</v>
      </c>
      <c r="AS826" s="45">
        <f t="shared" si="200"/>
        <v>-1468.1468244880593</v>
      </c>
      <c r="AT826" s="45">
        <f t="shared" si="186"/>
        <v>-150.30772089715174</v>
      </c>
      <c r="AU826" s="45">
        <f t="shared" si="187"/>
        <v>-690.54385778868505</v>
      </c>
      <c r="AV826" s="64">
        <f t="shared" si="188"/>
        <v>769.17715395163373</v>
      </c>
      <c r="AW826" s="64">
        <f t="shared" si="189"/>
        <v>435.34652057965542</v>
      </c>
      <c r="AX826" s="64">
        <f t="shared" si="190"/>
        <v>-216.64125874761729</v>
      </c>
      <c r="AY826" s="64">
        <f t="shared" si="191"/>
        <v>126.43465282950378</v>
      </c>
      <c r="AZ826" s="64">
        <f t="shared" si="192"/>
        <v>-702.84361610116821</v>
      </c>
      <c r="BA826" s="64">
        <f t="shared" si="193"/>
        <v>-1252.3250311978443</v>
      </c>
      <c r="BB826" s="65">
        <f t="shared" si="194"/>
        <v>20834.720561817674</v>
      </c>
      <c r="BC826" s="65">
        <f t="shared" si="195"/>
        <v>25319.826804099986</v>
      </c>
      <c r="BD826" s="66">
        <f t="shared" si="196"/>
        <v>14033.069631681414</v>
      </c>
    </row>
    <row r="827" spans="31:56" x14ac:dyDescent="0.25">
      <c r="AE827" s="71">
        <v>765</v>
      </c>
      <c r="AF827" s="17">
        <v>3.6442474781641603</v>
      </c>
      <c r="AG827" s="18">
        <v>-24408.389392193549</v>
      </c>
      <c r="AH827" s="20">
        <v>3932.3725421878953</v>
      </c>
      <c r="AN827" s="23">
        <v>822</v>
      </c>
      <c r="AO827" s="58">
        <v>411</v>
      </c>
      <c r="AP827" s="45">
        <f t="shared" si="197"/>
        <v>1253.9591754537369</v>
      </c>
      <c r="AQ827" s="45">
        <f t="shared" si="198"/>
        <v>-3669.1990995853103</v>
      </c>
      <c r="AR827" s="45">
        <f t="shared" si="199"/>
        <v>-1228.2216462455599</v>
      </c>
      <c r="AS827" s="45">
        <f t="shared" si="200"/>
        <v>-1813.418753382402</v>
      </c>
      <c r="AT827" s="45">
        <f t="shared" si="186"/>
        <v>-250.45578876901283</v>
      </c>
      <c r="AU827" s="45">
        <f t="shared" si="187"/>
        <v>-797.02578835420229</v>
      </c>
      <c r="AV827" s="64">
        <f t="shared" si="188"/>
        <v>709.72125060511598</v>
      </c>
      <c r="AW827" s="64">
        <f t="shared" si="189"/>
        <v>422.86358103069426</v>
      </c>
      <c r="AX827" s="64">
        <f t="shared" si="190"/>
        <v>-211.71412299838522</v>
      </c>
      <c r="AY827" s="64">
        <f t="shared" si="191"/>
        <v>136.16110182432587</v>
      </c>
      <c r="AZ827" s="64">
        <f t="shared" si="192"/>
        <v>-748.46291637574359</v>
      </c>
      <c r="BA827" s="64">
        <f t="shared" si="193"/>
        <v>-1356.0504712092225</v>
      </c>
      <c r="BB827" s="65">
        <f t="shared" si="194"/>
        <v>21821.206545966528</v>
      </c>
      <c r="BC827" s="65">
        <f t="shared" si="195"/>
        <v>25270.096649121821</v>
      </c>
      <c r="BD827" s="66">
        <f t="shared" si="196"/>
        <v>12942.142574283453</v>
      </c>
    </row>
    <row r="828" spans="31:56" x14ac:dyDescent="0.25">
      <c r="AE828" s="71">
        <v>766</v>
      </c>
      <c r="AF828" s="17">
        <v>3.7070793312359562</v>
      </c>
      <c r="AG828" s="18">
        <v>-24018.700962342471</v>
      </c>
      <c r="AH828" s="20">
        <v>3667.5405587348851</v>
      </c>
      <c r="AN828" s="23">
        <v>823</v>
      </c>
      <c r="AO828" s="58">
        <v>411.5</v>
      </c>
      <c r="AP828" s="45">
        <f t="shared" si="197"/>
        <v>577.23440513870366</v>
      </c>
      <c r="AQ828" s="45">
        <f t="shared" si="198"/>
        <v>-4775.1649233650624</v>
      </c>
      <c r="AR828" s="45">
        <f t="shared" si="199"/>
        <v>-1353.4495406300664</v>
      </c>
      <c r="AS828" s="45">
        <f t="shared" si="200"/>
        <v>-2211.9316475595033</v>
      </c>
      <c r="AT828" s="45">
        <f t="shared" si="186"/>
        <v>-364.50058272644424</v>
      </c>
      <c r="AU828" s="45">
        <f t="shared" si="187"/>
        <v>-925.29914843658094</v>
      </c>
      <c r="AV828" s="64">
        <f t="shared" si="188"/>
        <v>646.32296706170678</v>
      </c>
      <c r="AW828" s="64">
        <f t="shared" si="189"/>
        <v>408.47535206521411</v>
      </c>
      <c r="AX828" s="64">
        <f t="shared" si="190"/>
        <v>-203.57248831913125</v>
      </c>
      <c r="AY828" s="64">
        <f t="shared" si="191"/>
        <v>146.17207684740359</v>
      </c>
      <c r="AZ828" s="64">
        <f t="shared" si="192"/>
        <v>-807.25106146901976</v>
      </c>
      <c r="BA828" s="64">
        <f t="shared" si="193"/>
        <v>-1479.9465773491986</v>
      </c>
      <c r="BB828" s="65">
        <f t="shared" si="194"/>
        <v>22976.585848396619</v>
      </c>
      <c r="BC828" s="65">
        <f t="shared" si="195"/>
        <v>25332.352324185398</v>
      </c>
      <c r="BD828" s="66">
        <f t="shared" si="196"/>
        <v>11647.008025851406</v>
      </c>
    </row>
    <row r="829" spans="31:56" x14ac:dyDescent="0.25">
      <c r="AE829" s="71">
        <v>767</v>
      </c>
      <c r="AF829" s="17">
        <v>3.7699111843077522</v>
      </c>
      <c r="AG829" s="18">
        <v>-23613.152555762863</v>
      </c>
      <c r="AH829" s="20">
        <v>3427.6998996710236</v>
      </c>
      <c r="AN829" s="23">
        <v>824</v>
      </c>
      <c r="AO829" s="58">
        <v>412</v>
      </c>
      <c r="AP829" s="45">
        <f t="shared" si="197"/>
        <v>-190.61551085794059</v>
      </c>
      <c r="AQ829" s="45">
        <f t="shared" si="198"/>
        <v>-6112.4555342539597</v>
      </c>
      <c r="AR829" s="45">
        <f t="shared" si="199"/>
        <v>-1535.6998319932886</v>
      </c>
      <c r="AS829" s="45">
        <f t="shared" si="200"/>
        <v>-2674.5812217777939</v>
      </c>
      <c r="AT829" s="45">
        <f t="shared" si="186"/>
        <v>-488.48354650064607</v>
      </c>
      <c r="AU829" s="45">
        <f t="shared" si="187"/>
        <v>-1072.8323667724403</v>
      </c>
      <c r="AV829" s="64">
        <f t="shared" si="188"/>
        <v>579.54348095669457</v>
      </c>
      <c r="AW829" s="64">
        <f t="shared" si="189"/>
        <v>390.72656603496199</v>
      </c>
      <c r="AX829" s="64">
        <f t="shared" si="190"/>
        <v>-191.67496015078709</v>
      </c>
      <c r="AY829" s="64">
        <f t="shared" si="191"/>
        <v>155.90359580088159</v>
      </c>
      <c r="AZ829" s="64">
        <f t="shared" si="192"/>
        <v>-876.35206730655352</v>
      </c>
      <c r="BA829" s="64">
        <f t="shared" si="193"/>
        <v>-1619.4625286082839</v>
      </c>
      <c r="BB829" s="65">
        <f t="shared" si="194"/>
        <v>24350.767962824881</v>
      </c>
      <c r="BC829" s="65">
        <f t="shared" si="195"/>
        <v>25534.739810344123</v>
      </c>
      <c r="BD829" s="66">
        <f t="shared" si="196"/>
        <v>10105.376083798825</v>
      </c>
    </row>
    <row r="830" spans="31:56" x14ac:dyDescent="0.25">
      <c r="AE830" s="71">
        <v>768</v>
      </c>
      <c r="AF830" s="17">
        <v>3.8327430373795481</v>
      </c>
      <c r="AG830" s="18">
        <v>-23193.344686738041</v>
      </c>
      <c r="AH830" s="20">
        <v>3213.7971065048514</v>
      </c>
      <c r="AN830" s="23">
        <v>825</v>
      </c>
      <c r="AO830" s="58">
        <v>412.5</v>
      </c>
      <c r="AP830" s="45">
        <f t="shared" si="197"/>
        <v>-1080.5863134797464</v>
      </c>
      <c r="AQ830" s="45">
        <f t="shared" si="198"/>
        <v>-7717.9542368359671</v>
      </c>
      <c r="AR830" s="45">
        <f t="shared" si="199"/>
        <v>-1779.9416052436118</v>
      </c>
      <c r="AS830" s="45">
        <f t="shared" si="200"/>
        <v>-3210.9974051640138</v>
      </c>
      <c r="AT830" s="45">
        <f t="shared" si="186"/>
        <v>-604.09628114133102</v>
      </c>
      <c r="AU830" s="45">
        <f t="shared" si="187"/>
        <v>-1211.8990504365183</v>
      </c>
      <c r="AV830" s="64">
        <f t="shared" si="188"/>
        <v>510.63176120903262</v>
      </c>
      <c r="AW830" s="64">
        <f t="shared" si="189"/>
        <v>368.62213689877672</v>
      </c>
      <c r="AX830" s="64">
        <f t="shared" si="190"/>
        <v>-175.55567874587189</v>
      </c>
      <c r="AY830" s="64">
        <f t="shared" si="191"/>
        <v>164.40718161642624</v>
      </c>
      <c r="AZ830" s="64">
        <f t="shared" si="192"/>
        <v>-939.17236360449169</v>
      </c>
      <c r="BA830" s="64">
        <f t="shared" si="193"/>
        <v>-1744.9283689517213</v>
      </c>
      <c r="BB830" s="65">
        <f t="shared" si="194"/>
        <v>25999.562505444268</v>
      </c>
      <c r="BC830" s="65">
        <f t="shared" si="195"/>
        <v>25920.457491724632</v>
      </c>
      <c r="BD830" s="66">
        <f t="shared" si="196"/>
        <v>8269.8243114891829</v>
      </c>
    </row>
    <row r="831" spans="31:56" x14ac:dyDescent="0.25">
      <c r="AE831" s="71">
        <v>769</v>
      </c>
      <c r="AF831" s="17">
        <v>3.8955748904513436</v>
      </c>
      <c r="AG831" s="18">
        <v>-22760.934145135085</v>
      </c>
      <c r="AH831" s="20">
        <v>3026.6763558381144</v>
      </c>
      <c r="AN831" s="23">
        <v>826</v>
      </c>
      <c r="AO831" s="58">
        <v>413</v>
      </c>
      <c r="AP831" s="45">
        <f t="shared" si="197"/>
        <v>-2121.5811863868848</v>
      </c>
      <c r="AQ831" s="45">
        <f t="shared" si="198"/>
        <v>-9626.4277020271038</v>
      </c>
      <c r="AR831" s="45">
        <f t="shared" si="199"/>
        <v>-2081.9897458142773</v>
      </c>
      <c r="AS831" s="45">
        <f t="shared" si="200"/>
        <v>-3816.946930382273</v>
      </c>
      <c r="AT831" s="45">
        <f t="shared" si="186"/>
        <v>-651.67988893219717</v>
      </c>
      <c r="AU831" s="45">
        <f t="shared" si="187"/>
        <v>-1239.2797352525208</v>
      </c>
      <c r="AV831" s="64">
        <f t="shared" si="188"/>
        <v>441.68300129490439</v>
      </c>
      <c r="AW831" s="64">
        <f t="shared" si="189"/>
        <v>341.94897395248199</v>
      </c>
      <c r="AX831" s="64">
        <f t="shared" si="190"/>
        <v>-155.13429428255958</v>
      </c>
      <c r="AY831" s="64">
        <f t="shared" si="191"/>
        <v>170.30208558059454</v>
      </c>
      <c r="AZ831" s="64">
        <f t="shared" si="192"/>
        <v>-938.22859594454201</v>
      </c>
      <c r="BA831" s="64">
        <f t="shared" si="193"/>
        <v>-1751.5307947855974</v>
      </c>
      <c r="BB831" s="65">
        <f t="shared" si="194"/>
        <v>27976.398624888578</v>
      </c>
      <c r="BC831" s="65">
        <f t="shared" si="195"/>
        <v>26548.719811280022</v>
      </c>
      <c r="BD831" s="66">
        <f t="shared" si="196"/>
        <v>6095.9473511591004</v>
      </c>
    </row>
    <row r="832" spans="31:56" x14ac:dyDescent="0.25">
      <c r="AE832" s="71">
        <v>770</v>
      </c>
      <c r="AF832" s="17">
        <v>3.9584067435231396</v>
      </c>
      <c r="AG832" s="18">
        <v>-22317.627457812108</v>
      </c>
      <c r="AH832" s="20">
        <v>2867.0761277863485</v>
      </c>
      <c r="AN832" s="23">
        <v>827</v>
      </c>
      <c r="AO832" s="58">
        <v>413.5</v>
      </c>
      <c r="AP832" s="45">
        <f t="shared" si="197"/>
        <v>-3325.4960315270728</v>
      </c>
      <c r="AQ832" s="45">
        <f t="shared" si="198"/>
        <v>-11844.721101031371</v>
      </c>
      <c r="AR832" s="45">
        <f t="shared" si="199"/>
        <v>-2407.8296902803759</v>
      </c>
      <c r="AS832" s="45">
        <f t="shared" si="200"/>
        <v>-4436.5867980085332</v>
      </c>
      <c r="AT832" s="45">
        <f t="shared" si="186"/>
        <v>-487.69048638974016</v>
      </c>
      <c r="AU832" s="45">
        <f t="shared" si="187"/>
        <v>-896.0405850318366</v>
      </c>
      <c r="AV832" s="64">
        <f t="shared" si="188"/>
        <v>375.85282096302626</v>
      </c>
      <c r="AW832" s="64">
        <f t="shared" si="189"/>
        <v>311.70904090263917</v>
      </c>
      <c r="AX832" s="64">
        <f t="shared" si="190"/>
        <v>-131.30295929761681</v>
      </c>
      <c r="AY832" s="64">
        <f t="shared" si="191"/>
        <v>172.01570319690853</v>
      </c>
      <c r="AZ832" s="64">
        <f t="shared" si="192"/>
        <v>-732.24034805514964</v>
      </c>
      <c r="BA832" s="64">
        <f t="shared" si="193"/>
        <v>-1379.7653291313843</v>
      </c>
      <c r="BB832" s="65">
        <f t="shared" si="194"/>
        <v>30303.415642357439</v>
      </c>
      <c r="BC832" s="65">
        <f t="shared" si="195"/>
        <v>27481.465073326504</v>
      </c>
      <c r="BD832" s="66">
        <f t="shared" si="196"/>
        <v>3572.0790123831616</v>
      </c>
    </row>
    <row r="833" spans="31:56" x14ac:dyDescent="0.25">
      <c r="AE833" s="71">
        <v>771</v>
      </c>
      <c r="AF833" s="17">
        <v>4.0212385965949355</v>
      </c>
      <c r="AG833" s="18">
        <v>-21865.174153736407</v>
      </c>
      <c r="AH833" s="20">
        <v>2735.6262915352663</v>
      </c>
      <c r="AN833" s="23">
        <v>828</v>
      </c>
      <c r="AO833" s="58">
        <v>414</v>
      </c>
      <c r="AP833" s="45">
        <f t="shared" si="197"/>
        <v>-4651.3334982646957</v>
      </c>
      <c r="AQ833" s="45">
        <f t="shared" si="198"/>
        <v>-14287.024646293597</v>
      </c>
      <c r="AR833" s="45">
        <f t="shared" si="199"/>
        <v>-2651.6749334752458</v>
      </c>
      <c r="AS833" s="45">
        <f t="shared" si="200"/>
        <v>-4884.6070905244515</v>
      </c>
      <c r="AT833" s="45">
        <f t="shared" si="186"/>
        <v>30.025077649244224</v>
      </c>
      <c r="AU833" s="45">
        <f t="shared" si="187"/>
        <v>79.458511019501032</v>
      </c>
      <c r="AV833" s="64">
        <f t="shared" si="188"/>
        <v>317.4775105476009</v>
      </c>
      <c r="AW833" s="64">
        <f t="shared" si="189"/>
        <v>280.58889177055767</v>
      </c>
      <c r="AX833" s="64">
        <f t="shared" si="190"/>
        <v>-106.60253376591727</v>
      </c>
      <c r="AY833" s="64">
        <f t="shared" si="191"/>
        <v>168.68295135850806</v>
      </c>
      <c r="AZ833" s="64">
        <f t="shared" si="192"/>
        <v>-180.84989913243942</v>
      </c>
      <c r="BA833" s="64">
        <f t="shared" si="193"/>
        <v>-369.81333210956467</v>
      </c>
      <c r="BB833" s="65">
        <f t="shared" si="194"/>
        <v>32899.280937140124</v>
      </c>
      <c r="BC833" s="65">
        <f t="shared" si="195"/>
        <v>28730.491286282664</v>
      </c>
      <c r="BD833" s="66">
        <f t="shared" si="196"/>
        <v>793.66377290708238</v>
      </c>
    </row>
    <row r="834" spans="31:56" x14ac:dyDescent="0.25">
      <c r="AE834" s="71">
        <v>772</v>
      </c>
      <c r="AF834" s="17">
        <v>4.0840704496667311</v>
      </c>
      <c r="AG834" s="18">
        <v>-21405.359859392935</v>
      </c>
      <c r="AH834" s="20">
        <v>2632.8456195348344</v>
      </c>
      <c r="AN834" s="23">
        <v>829</v>
      </c>
      <c r="AO834" s="58">
        <v>414.5</v>
      </c>
      <c r="AP834" s="45">
        <f t="shared" si="197"/>
        <v>-5969.6646955900078</v>
      </c>
      <c r="AQ834" s="45">
        <f t="shared" si="198"/>
        <v>-16709.463563800946</v>
      </c>
      <c r="AR834" s="45">
        <f t="shared" si="199"/>
        <v>-2636.6623946506238</v>
      </c>
      <c r="AS834" s="45">
        <f t="shared" si="200"/>
        <v>-4844.8778350147013</v>
      </c>
      <c r="AT834" s="45">
        <f t="shared" si="186"/>
        <v>665.80560285293404</v>
      </c>
      <c r="AU834" s="45">
        <f t="shared" si="187"/>
        <v>1259.6650208500835</v>
      </c>
      <c r="AV834" s="64">
        <f t="shared" si="188"/>
        <v>270.96100716208031</v>
      </c>
      <c r="AW834" s="64">
        <f t="shared" si="189"/>
        <v>252.59550737346001</v>
      </c>
      <c r="AX834" s="64">
        <f t="shared" si="190"/>
        <v>-84.813691297436449</v>
      </c>
      <c r="AY834" s="64">
        <f t="shared" si="191"/>
        <v>161.45930573079789</v>
      </c>
      <c r="AZ834" s="64">
        <f t="shared" si="192"/>
        <v>479.65828698829012</v>
      </c>
      <c r="BA834" s="64">
        <f t="shared" si="193"/>
        <v>845.61020774582562</v>
      </c>
      <c r="BB834" s="65">
        <f t="shared" si="194"/>
        <v>35503.825293176218</v>
      </c>
      <c r="BC834" s="65">
        <f t="shared" si="195"/>
        <v>30170.279293042411</v>
      </c>
      <c r="BD834" s="66">
        <f t="shared" si="196"/>
        <v>1965.3282926362947</v>
      </c>
    </row>
    <row r="835" spans="31:56" x14ac:dyDescent="0.25">
      <c r="AE835" s="71">
        <v>773</v>
      </c>
      <c r="AF835" s="17">
        <v>4.1469023027385274</v>
      </c>
      <c r="AG835" s="18">
        <v>-20939.999251732279</v>
      </c>
      <c r="AH835" s="20">
        <v>2559.139740141416</v>
      </c>
      <c r="AN835" s="23">
        <v>830</v>
      </c>
      <c r="AO835" s="58">
        <v>415</v>
      </c>
      <c r="AP835" s="45">
        <f t="shared" si="197"/>
        <v>-7121.5444922020861</v>
      </c>
      <c r="AQ835" s="45">
        <f t="shared" si="198"/>
        <v>-18816.986226095778</v>
      </c>
      <c r="AR835" s="45">
        <f t="shared" si="199"/>
        <v>-2303.7595932241566</v>
      </c>
      <c r="AS835" s="45">
        <f t="shared" si="200"/>
        <v>-4215.0453245896597</v>
      </c>
      <c r="AT835" s="45">
        <f t="shared" si="186"/>
        <v>1024.2352596031646</v>
      </c>
      <c r="AU835" s="45">
        <f t="shared" si="187"/>
        <v>1922.0109481136451</v>
      </c>
      <c r="AV835" s="64">
        <f t="shared" si="188"/>
        <v>237.71630526269851</v>
      </c>
      <c r="AW835" s="64">
        <f t="shared" si="189"/>
        <v>230.66447167547989</v>
      </c>
      <c r="AX835" s="64">
        <f t="shared" si="190"/>
        <v>-68.440272726513044</v>
      </c>
      <c r="AY835" s="64">
        <f t="shared" si="191"/>
        <v>153.14277362498717</v>
      </c>
      <c r="AZ835" s="64">
        <f t="shared" si="192"/>
        <v>854.95922706697922</v>
      </c>
      <c r="BA835" s="64">
        <f t="shared" si="193"/>
        <v>1538.2037028131781</v>
      </c>
      <c r="BB835" s="65">
        <f t="shared" si="194"/>
        <v>37791.029883651121</v>
      </c>
      <c r="BC835" s="65">
        <f t="shared" si="195"/>
        <v>31563.797480995916</v>
      </c>
      <c r="BD835" s="66">
        <f t="shared" si="196"/>
        <v>4366.9594551126638</v>
      </c>
    </row>
    <row r="836" spans="31:56" x14ac:dyDescent="0.25">
      <c r="AE836" s="71">
        <v>774</v>
      </c>
      <c r="AF836" s="17">
        <v>4.209734155810323</v>
      </c>
      <c r="AG836" s="18">
        <v>-20470.92889646985</v>
      </c>
      <c r="AH836" s="20">
        <v>2514.799536787963</v>
      </c>
      <c r="AN836" s="23">
        <v>831</v>
      </c>
      <c r="AO836" s="58">
        <v>415.5</v>
      </c>
      <c r="AP836" s="45">
        <f t="shared" si="197"/>
        <v>-8017.3654739133726</v>
      </c>
      <c r="AQ836" s="45">
        <f t="shared" si="198"/>
        <v>-20444.006151362195</v>
      </c>
      <c r="AR836" s="45">
        <f t="shared" si="199"/>
        <v>-1791.6419634225742</v>
      </c>
      <c r="AS836" s="45">
        <f t="shared" si="200"/>
        <v>-3254.0398505328371</v>
      </c>
      <c r="AT836" s="45">
        <f t="shared" si="186"/>
        <v>1125.0580124754724</v>
      </c>
      <c r="AU836" s="45">
        <f t="shared" si="187"/>
        <v>2105.4231524072052</v>
      </c>
      <c r="AV836" s="64">
        <f t="shared" si="188"/>
        <v>215.76246322236565</v>
      </c>
      <c r="AW836" s="64">
        <f t="shared" si="189"/>
        <v>215.19752116353064</v>
      </c>
      <c r="AX836" s="64">
        <f t="shared" si="190"/>
        <v>-57.458575814804675</v>
      </c>
      <c r="AY836" s="64">
        <f t="shared" si="191"/>
        <v>145.98369263004744</v>
      </c>
      <c r="AZ836" s="64">
        <f t="shared" si="192"/>
        <v>966.75412506791145</v>
      </c>
      <c r="BA836" s="64">
        <f t="shared" si="193"/>
        <v>1744.2419386136271</v>
      </c>
      <c r="BB836" s="65">
        <f t="shared" si="194"/>
        <v>39570.699360590042</v>
      </c>
      <c r="BC836" s="65">
        <f t="shared" si="195"/>
        <v>32717.289629948606</v>
      </c>
      <c r="BD836" s="66">
        <f t="shared" si="196"/>
        <v>6224.2828807207898</v>
      </c>
    </row>
    <row r="837" spans="31:56" x14ac:dyDescent="0.25">
      <c r="AE837" s="71">
        <v>775</v>
      </c>
      <c r="AF837" s="17">
        <v>4.2725660088821193</v>
      </c>
      <c r="AG837" s="18">
        <v>-20000</v>
      </c>
      <c r="AH837" s="20">
        <v>2500</v>
      </c>
      <c r="AN837" s="23">
        <v>832</v>
      </c>
      <c r="AO837" s="58">
        <v>416</v>
      </c>
      <c r="AP837" s="45">
        <f t="shared" si="197"/>
        <v>-8631.9219525057924</v>
      </c>
      <c r="AQ837" s="45">
        <f t="shared" si="198"/>
        <v>-21544.67028852681</v>
      </c>
      <c r="AR837" s="45">
        <f t="shared" si="199"/>
        <v>-1229.112957184838</v>
      </c>
      <c r="AS837" s="45">
        <f t="shared" si="200"/>
        <v>-2201.3282743292348</v>
      </c>
      <c r="AT837" s="45">
        <f t="shared" si="186"/>
        <v>1127.4308383537584</v>
      </c>
      <c r="AU837" s="45">
        <f t="shared" si="187"/>
        <v>2104.6703516860307</v>
      </c>
      <c r="AV837" s="64">
        <f t="shared" si="188"/>
        <v>202.45584596319208</v>
      </c>
      <c r="AW837" s="64">
        <f t="shared" si="189"/>
        <v>205.37438261181975</v>
      </c>
      <c r="AX837" s="64">
        <f t="shared" si="190"/>
        <v>-50.800326526246408</v>
      </c>
      <c r="AY837" s="64">
        <f t="shared" si="191"/>
        <v>140.96310248091319</v>
      </c>
      <c r="AZ837" s="64">
        <f t="shared" si="192"/>
        <v>975.77531891681281</v>
      </c>
      <c r="BA837" s="64">
        <f t="shared" si="193"/>
        <v>1758.3328665932977</v>
      </c>
      <c r="BB837" s="65">
        <f t="shared" si="194"/>
        <v>40784.553777914683</v>
      </c>
      <c r="BC837" s="65">
        <f t="shared" si="195"/>
        <v>33530.574437456118</v>
      </c>
      <c r="BD837" s="66">
        <f t="shared" si="196"/>
        <v>7484.8891945451724</v>
      </c>
    </row>
    <row r="838" spans="31:56" x14ac:dyDescent="0.25">
      <c r="AE838" s="71">
        <v>776</v>
      </c>
      <c r="AF838" s="17">
        <v>4.3353978619539149</v>
      </c>
      <c r="AG838" s="18">
        <v>-19529.071103530147</v>
      </c>
      <c r="AH838" s="20">
        <v>2514.799536787963</v>
      </c>
      <c r="AN838" s="23">
        <v>833</v>
      </c>
      <c r="AO838" s="58">
        <v>416.5</v>
      </c>
      <c r="AP838" s="45">
        <f t="shared" si="197"/>
        <v>-8964.6207215097729</v>
      </c>
      <c r="AQ838" s="45">
        <f t="shared" si="198"/>
        <v>-22119.166837769921</v>
      </c>
      <c r="AR838" s="45">
        <f t="shared" si="199"/>
        <v>-665.39753800795881</v>
      </c>
      <c r="AS838" s="45">
        <f t="shared" si="200"/>
        <v>-1148.9930984862194</v>
      </c>
      <c r="AT838" s="45">
        <f t="shared" ref="AT838:AT901" si="201">AV838+AX838+AZ838</f>
        <v>1115.4898228385737</v>
      </c>
      <c r="AU838" s="45">
        <f t="shared" ref="AU838:AU901" si="202">AW838+AY838+BA838</f>
        <v>2075.2876797202289</v>
      </c>
      <c r="AV838" s="64">
        <f t="shared" ref="AV838:AV901" si="203">$K$22*(($K$18-AP838)/((BB838^2+$K$23^2)^(3/2)))</f>
        <v>195.93186510019601</v>
      </c>
      <c r="AW838" s="64">
        <f t="shared" ref="AW838:AW901" si="204">$K$22*(($L$18-AQ838)/((BB838^2+$K$23^2)^(3/2)))</f>
        <v>200.35955785633493</v>
      </c>
      <c r="AX838" s="64">
        <f t="shared" ref="AX838:AX901" si="205">$K$30*(($K$26-AP838)/((BC838^2+$K$31^2)^(3/2)))</f>
        <v>-47.533025983994584</v>
      </c>
      <c r="AY838" s="64">
        <f t="shared" ref="AY838:AY901" si="206">$K$30*(($L$26-AQ838)/((BC838^2+$K$31^2)^(3/2)))</f>
        <v>138.3478676496245</v>
      </c>
      <c r="AZ838" s="64">
        <f t="shared" ref="AZ838:AZ901" si="207">$K$38*(($K$34-AP838)/((BD838^2+$K$39^2)^(3/2)))</f>
        <v>967.09098372237213</v>
      </c>
      <c r="BA838" s="64">
        <f t="shared" ref="BA838:BA901" si="208">$K$38*(($L$34-AQ838)/((BD838^2+$K$39^2)^(3/2)))</f>
        <v>1736.5802542142694</v>
      </c>
      <c r="BB838" s="65">
        <f t="shared" ref="BB838:BB901" si="209">SQRT(($K$18-AP838)^2+($L$18-AQ838)^2)</f>
        <v>41427.578950556148</v>
      </c>
      <c r="BC838" s="65">
        <f t="shared" ref="BC838:BC901" si="210">SQRT(($K$26-AP838)^2+($L$26-AQ838)^2)</f>
        <v>33962.044611192512</v>
      </c>
      <c r="BD838" s="66">
        <f t="shared" ref="BD838:BD901" si="211">SQRT(($K$34-AP838)^2+($L$34-AQ838)^2)</f>
        <v>8148.6657760290827</v>
      </c>
    </row>
    <row r="839" spans="31:56" x14ac:dyDescent="0.25">
      <c r="AE839" s="71">
        <v>777</v>
      </c>
      <c r="AF839" s="17">
        <v>4.3982297150257104</v>
      </c>
      <c r="AG839" s="18">
        <v>-19060.000748267717</v>
      </c>
      <c r="AH839" s="20">
        <v>2559.139740141416</v>
      </c>
      <c r="AN839" s="23">
        <v>834</v>
      </c>
      <c r="AO839" s="58">
        <v>417</v>
      </c>
      <c r="AP839" s="45">
        <f t="shared" ref="AP839:AP902" si="212">AP838+AR838*$K$5+AT838*$K$5^2</f>
        <v>-9018.4470348041086</v>
      </c>
      <c r="AQ839" s="45">
        <f t="shared" ref="AQ839:AQ902" si="213">AQ838+AS838*$K$5+AU838*$K$5^2</f>
        <v>-22174.841467082973</v>
      </c>
      <c r="AR839" s="45">
        <f t="shared" ref="AR839:AR902" si="214">AR838+AT838*$K$5</f>
        <v>-107.65262658867198</v>
      </c>
      <c r="AS839" s="45">
        <f t="shared" ref="AS839:AS902" si="215">AS838+AU838*$K$5</f>
        <v>-111.34925862610498</v>
      </c>
      <c r="AT839" s="45">
        <f t="shared" si="201"/>
        <v>1117.5901293724812</v>
      </c>
      <c r="AU839" s="45">
        <f t="shared" si="202"/>
        <v>2068.853907803908</v>
      </c>
      <c r="AV839" s="64">
        <f t="shared" si="203"/>
        <v>195.25941215577856</v>
      </c>
      <c r="AW839" s="64">
        <f t="shared" si="204"/>
        <v>199.67616095130768</v>
      </c>
      <c r="AX839" s="64">
        <f t="shared" si="205"/>
        <v>-47.160238473899966</v>
      </c>
      <c r="AY839" s="64">
        <f t="shared" si="206"/>
        <v>138.17473733055854</v>
      </c>
      <c r="AZ839" s="64">
        <f t="shared" si="207"/>
        <v>969.49095569060262</v>
      </c>
      <c r="BA839" s="64">
        <f t="shared" si="208"/>
        <v>1731.0030095220418</v>
      </c>
      <c r="BB839" s="65">
        <f t="shared" si="209"/>
        <v>41505.01758110986</v>
      </c>
      <c r="BC839" s="65">
        <f t="shared" si="210"/>
        <v>33997.278258109502</v>
      </c>
      <c r="BD839" s="66">
        <f t="shared" si="211"/>
        <v>8223.519115883375</v>
      </c>
    </row>
    <row r="840" spans="31:56" x14ac:dyDescent="0.25">
      <c r="AE840" s="71">
        <v>778</v>
      </c>
      <c r="AF840" s="17">
        <v>4.4610615680975068</v>
      </c>
      <c r="AG840" s="18">
        <v>-18594.640140607062</v>
      </c>
      <c r="AH840" s="20">
        <v>2632.8456195348354</v>
      </c>
      <c r="AN840" s="23">
        <v>835</v>
      </c>
      <c r="AO840" s="58">
        <v>417.5</v>
      </c>
      <c r="AP840" s="45">
        <f t="shared" si="212"/>
        <v>-8792.8758157553239</v>
      </c>
      <c r="AQ840" s="45">
        <f t="shared" si="213"/>
        <v>-21713.30261944505</v>
      </c>
      <c r="AR840" s="45">
        <f t="shared" si="214"/>
        <v>451.14243809756863</v>
      </c>
      <c r="AS840" s="45">
        <f t="shared" si="215"/>
        <v>923.07769527584901</v>
      </c>
      <c r="AT840" s="45">
        <f t="shared" si="201"/>
        <v>1137.0102396102625</v>
      </c>
      <c r="AU840" s="45">
        <f t="shared" si="202"/>
        <v>2089.4560685128995</v>
      </c>
      <c r="AV840" s="64">
        <f t="shared" si="203"/>
        <v>200.33591817137136</v>
      </c>
      <c r="AW840" s="64">
        <f t="shared" si="204"/>
        <v>203.26117615115774</v>
      </c>
      <c r="AX840" s="64">
        <f t="shared" si="205"/>
        <v>-49.634082092006949</v>
      </c>
      <c r="AY840" s="64">
        <f t="shared" si="206"/>
        <v>140.45179117717441</v>
      </c>
      <c r="AZ840" s="64">
        <f t="shared" si="207"/>
        <v>986.30840353089798</v>
      </c>
      <c r="BA840" s="64">
        <f t="shared" si="208"/>
        <v>1745.7431011845672</v>
      </c>
      <c r="BB840" s="65">
        <f t="shared" si="209"/>
        <v>41017.639469827889</v>
      </c>
      <c r="BC840" s="65">
        <f t="shared" si="210"/>
        <v>33635.296869710874</v>
      </c>
      <c r="BD840" s="66">
        <f t="shared" si="211"/>
        <v>7710.6639800985613</v>
      </c>
    </row>
    <row r="841" spans="31:56" x14ac:dyDescent="0.25">
      <c r="AE841" s="71">
        <v>779</v>
      </c>
      <c r="AF841" s="17">
        <v>4.5238934211693023</v>
      </c>
      <c r="AG841" s="18">
        <v>-18134.825846263589</v>
      </c>
      <c r="AH841" s="20">
        <v>2735.6262915352672</v>
      </c>
      <c r="AN841" s="23">
        <v>836</v>
      </c>
      <c r="AO841" s="58">
        <v>418</v>
      </c>
      <c r="AP841" s="45">
        <f t="shared" si="212"/>
        <v>-8283.0520368039743</v>
      </c>
      <c r="AQ841" s="45">
        <f t="shared" si="213"/>
        <v>-20729.399754678903</v>
      </c>
      <c r="AR841" s="45">
        <f t="shared" si="214"/>
        <v>1019.6475579026999</v>
      </c>
      <c r="AS841" s="45">
        <f t="shared" si="215"/>
        <v>1967.8057295322988</v>
      </c>
      <c r="AT841" s="45">
        <f t="shared" si="201"/>
        <v>1155.4201837486066</v>
      </c>
      <c r="AU841" s="45">
        <f t="shared" si="202"/>
        <v>2099.8773442076399</v>
      </c>
      <c r="AV841" s="64">
        <f t="shared" si="203"/>
        <v>211.86898083626423</v>
      </c>
      <c r="AW841" s="64">
        <f t="shared" si="204"/>
        <v>211.46707038054024</v>
      </c>
      <c r="AX841" s="64">
        <f t="shared" si="205"/>
        <v>-55.354589817071421</v>
      </c>
      <c r="AY841" s="64">
        <f t="shared" si="206"/>
        <v>145.17546071622917</v>
      </c>
      <c r="AZ841" s="64">
        <f t="shared" si="207"/>
        <v>998.90579272941375</v>
      </c>
      <c r="BA841" s="64">
        <f t="shared" si="208"/>
        <v>1743.2348131108704</v>
      </c>
      <c r="BB841" s="65">
        <f t="shared" si="209"/>
        <v>39960.355892134226</v>
      </c>
      <c r="BC841" s="65">
        <f t="shared" si="210"/>
        <v>32887.427367538243</v>
      </c>
      <c r="BD841" s="66">
        <f t="shared" si="211"/>
        <v>6603.3667341196042</v>
      </c>
    </row>
    <row r="842" spans="31:56" x14ac:dyDescent="0.25">
      <c r="AE842" s="71">
        <v>780</v>
      </c>
      <c r="AF842" s="17">
        <v>4.5867252742410987</v>
      </c>
      <c r="AG842" s="18">
        <v>-17682.372542187895</v>
      </c>
      <c r="AH842" s="20">
        <v>2867.0761277863476</v>
      </c>
      <c r="AN842" s="23">
        <v>837</v>
      </c>
      <c r="AO842" s="58">
        <v>418.5</v>
      </c>
      <c r="AP842" s="45">
        <f t="shared" si="212"/>
        <v>-7484.3732119154729</v>
      </c>
      <c r="AQ842" s="45">
        <f t="shared" si="213"/>
        <v>-19220.527553860844</v>
      </c>
      <c r="AR842" s="45">
        <f t="shared" si="214"/>
        <v>1597.3576497770032</v>
      </c>
      <c r="AS842" s="45">
        <f t="shared" si="215"/>
        <v>3017.7444016361187</v>
      </c>
      <c r="AT842" s="45">
        <f t="shared" si="201"/>
        <v>1108.5313915014651</v>
      </c>
      <c r="AU842" s="45">
        <f t="shared" si="202"/>
        <v>1977.9176573986308</v>
      </c>
      <c r="AV842" s="64">
        <f t="shared" si="203"/>
        <v>231.46929203138507</v>
      </c>
      <c r="AW842" s="64">
        <f t="shared" si="204"/>
        <v>225.03629782307982</v>
      </c>
      <c r="AX842" s="64">
        <f t="shared" si="205"/>
        <v>-65.178762922060159</v>
      </c>
      <c r="AY842" s="64">
        <f t="shared" si="206"/>
        <v>152.17438727909754</v>
      </c>
      <c r="AZ842" s="64">
        <f t="shared" si="207"/>
        <v>942.24086239214023</v>
      </c>
      <c r="BA842" s="64">
        <f t="shared" si="208"/>
        <v>1600.7069722964534</v>
      </c>
      <c r="BB842" s="65">
        <f t="shared" si="209"/>
        <v>38332.45835592199</v>
      </c>
      <c r="BC842" s="65">
        <f t="shared" si="210"/>
        <v>31788.050340097296</v>
      </c>
      <c r="BD842" s="66">
        <f t="shared" si="211"/>
        <v>4897.4445468000758</v>
      </c>
    </row>
    <row r="843" spans="31:56" x14ac:dyDescent="0.25">
      <c r="AE843" s="71">
        <v>781</v>
      </c>
      <c r="AF843" s="17">
        <v>4.6495571273128942</v>
      </c>
      <c r="AG843" s="18">
        <v>-17239.065854864912</v>
      </c>
      <c r="AH843" s="20">
        <v>3026.6763558381153</v>
      </c>
      <c r="AN843" s="23">
        <v>838</v>
      </c>
      <c r="AO843" s="58">
        <v>419</v>
      </c>
      <c r="AP843" s="45">
        <f t="shared" si="212"/>
        <v>-6408.5615391516048</v>
      </c>
      <c r="AQ843" s="45">
        <f t="shared" si="213"/>
        <v>-17217.175938693126</v>
      </c>
      <c r="AR843" s="45">
        <f t="shared" si="214"/>
        <v>2151.6233455277356</v>
      </c>
      <c r="AS843" s="45">
        <f t="shared" si="215"/>
        <v>4006.703230335434</v>
      </c>
      <c r="AT843" s="45">
        <f t="shared" si="201"/>
        <v>848.66539396273254</v>
      </c>
      <c r="AU843" s="45">
        <f t="shared" si="202"/>
        <v>1455.8943502169307</v>
      </c>
      <c r="AV843" s="64">
        <f t="shared" si="203"/>
        <v>261.62368035684187</v>
      </c>
      <c r="AW843" s="64">
        <f t="shared" si="204"/>
        <v>244.86750357536587</v>
      </c>
      <c r="AX843" s="64">
        <f t="shared" si="205"/>
        <v>-80.238749772260007</v>
      </c>
      <c r="AY843" s="64">
        <f t="shared" si="206"/>
        <v>160.679988063313</v>
      </c>
      <c r="AZ843" s="64">
        <f t="shared" si="207"/>
        <v>667.28046337815067</v>
      </c>
      <c r="BA843" s="64">
        <f t="shared" si="208"/>
        <v>1050.3468585782518</v>
      </c>
      <c r="BB843" s="65">
        <f t="shared" si="209"/>
        <v>36171.133642055902</v>
      </c>
      <c r="BC843" s="65">
        <f t="shared" si="210"/>
        <v>30422.062150893144</v>
      </c>
      <c r="BD843" s="66">
        <f t="shared" si="211"/>
        <v>2626.7688807157901</v>
      </c>
    </row>
    <row r="844" spans="31:56" x14ac:dyDescent="0.25">
      <c r="AE844" s="71">
        <v>782</v>
      </c>
      <c r="AF844" s="17">
        <v>4.7123889803846897</v>
      </c>
      <c r="AG844" s="18">
        <v>-16806.655313261956</v>
      </c>
      <c r="AH844" s="20">
        <v>3213.7971065048532</v>
      </c>
      <c r="AN844" s="23">
        <v>839</v>
      </c>
      <c r="AO844" s="58">
        <v>419.5</v>
      </c>
      <c r="AP844" s="45">
        <f t="shared" si="212"/>
        <v>-5120.5835178970538</v>
      </c>
      <c r="AQ844" s="45">
        <f t="shared" si="213"/>
        <v>-14849.850735971177</v>
      </c>
      <c r="AR844" s="45">
        <f t="shared" si="214"/>
        <v>2575.9560425091017</v>
      </c>
      <c r="AS844" s="45">
        <f t="shared" si="215"/>
        <v>4734.6504054438992</v>
      </c>
      <c r="AT844" s="45">
        <f t="shared" si="201"/>
        <v>266.80310519624965</v>
      </c>
      <c r="AU844" s="45">
        <f t="shared" si="202"/>
        <v>361.19857205850781</v>
      </c>
      <c r="AV844" s="64">
        <f t="shared" si="203"/>
        <v>304.7013622490104</v>
      </c>
      <c r="AW844" s="64">
        <f t="shared" si="204"/>
        <v>271.09362170909321</v>
      </c>
      <c r="AX844" s="64">
        <f t="shared" si="205"/>
        <v>-101.00053373147097</v>
      </c>
      <c r="AY844" s="64">
        <f t="shared" si="206"/>
        <v>168.67920798502655</v>
      </c>
      <c r="AZ844" s="64">
        <f t="shared" si="207"/>
        <v>63.102276678710219</v>
      </c>
      <c r="BA844" s="64">
        <f t="shared" si="208"/>
        <v>-78.574257635611943</v>
      </c>
      <c r="BB844" s="65">
        <f t="shared" si="209"/>
        <v>33623.794315928004</v>
      </c>
      <c r="BC844" s="65">
        <f t="shared" si="210"/>
        <v>28963.979637610642</v>
      </c>
      <c r="BD844" s="66">
        <f t="shared" si="211"/>
        <v>192.57514449384789</v>
      </c>
    </row>
    <row r="845" spans="31:56" x14ac:dyDescent="0.25">
      <c r="AE845" s="71">
        <v>783</v>
      </c>
      <c r="AF845" s="17">
        <v>4.7752208334564861</v>
      </c>
      <c r="AG845" s="18">
        <v>-16386.847444237133</v>
      </c>
      <c r="AH845" s="20">
        <v>3427.6998996710245</v>
      </c>
      <c r="AN845" s="23">
        <v>840</v>
      </c>
      <c r="AO845" s="58">
        <v>420</v>
      </c>
      <c r="AP845" s="45">
        <f t="shared" si="212"/>
        <v>-3765.9047203434402</v>
      </c>
      <c r="AQ845" s="45">
        <f t="shared" si="213"/>
        <v>-12392.2258902346</v>
      </c>
      <c r="AR845" s="45">
        <f t="shared" si="214"/>
        <v>2709.3575951072266</v>
      </c>
      <c r="AS845" s="45">
        <f t="shared" si="215"/>
        <v>4915.2496914731528</v>
      </c>
      <c r="AT845" s="45">
        <f t="shared" si="201"/>
        <v>-338.38476799368783</v>
      </c>
      <c r="AU845" s="45">
        <f t="shared" si="202"/>
        <v>-736.35597075164833</v>
      </c>
      <c r="AV845" s="64">
        <f t="shared" si="203"/>
        <v>360.30921415217477</v>
      </c>
      <c r="AW845" s="64">
        <f t="shared" si="204"/>
        <v>301.5812931418838</v>
      </c>
      <c r="AX845" s="64">
        <f t="shared" si="205"/>
        <v>-125.55040995865183</v>
      </c>
      <c r="AY845" s="64">
        <f t="shared" si="206"/>
        <v>173.17584330853865</v>
      </c>
      <c r="AZ845" s="64">
        <f t="shared" si="207"/>
        <v>-573.14357218721079</v>
      </c>
      <c r="BA845" s="64">
        <f t="shared" si="208"/>
        <v>-1211.1131072020708</v>
      </c>
      <c r="BB845" s="65">
        <f t="shared" si="209"/>
        <v>30992.238996957967</v>
      </c>
      <c r="BC845" s="65">
        <f t="shared" si="210"/>
        <v>27657.867413599699</v>
      </c>
      <c r="BD845" s="66">
        <f t="shared" si="211"/>
        <v>2885.043668098167</v>
      </c>
    </row>
    <row r="846" spans="31:56" x14ac:dyDescent="0.25">
      <c r="AE846" s="71">
        <v>784</v>
      </c>
      <c r="AF846" s="17">
        <v>4.8380526865282816</v>
      </c>
      <c r="AG846" s="18">
        <v>-15981.299037657525</v>
      </c>
      <c r="AH846" s="20">
        <v>3667.5405587348878</v>
      </c>
      <c r="AN846" s="23">
        <v>841</v>
      </c>
      <c r="AO846" s="58">
        <v>420.5</v>
      </c>
      <c r="AP846" s="45">
        <f t="shared" si="212"/>
        <v>-2495.8221147882487</v>
      </c>
      <c r="AQ846" s="45">
        <f t="shared" si="213"/>
        <v>-10118.690037185936</v>
      </c>
      <c r="AR846" s="45">
        <f t="shared" si="214"/>
        <v>2540.1652111103826</v>
      </c>
      <c r="AS846" s="45">
        <f t="shared" si="215"/>
        <v>4547.0717060973284</v>
      </c>
      <c r="AT846" s="45">
        <f t="shared" si="201"/>
        <v>-609.06183489554678</v>
      </c>
      <c r="AU846" s="45">
        <f t="shared" si="202"/>
        <v>-1217.4818981563221</v>
      </c>
      <c r="AV846" s="64">
        <f t="shared" si="203"/>
        <v>424.53727208383776</v>
      </c>
      <c r="AW846" s="64">
        <f t="shared" si="204"/>
        <v>332.49687732730428</v>
      </c>
      <c r="AX846" s="64">
        <f t="shared" si="205"/>
        <v>-149.99566678498414</v>
      </c>
      <c r="AY846" s="64">
        <f t="shared" si="206"/>
        <v>172.39977488560675</v>
      </c>
      <c r="AZ846" s="64">
        <f t="shared" si="207"/>
        <v>-883.60344019440038</v>
      </c>
      <c r="BA846" s="64">
        <f t="shared" si="208"/>
        <v>-1722.3785503692332</v>
      </c>
      <c r="BB846" s="65">
        <f t="shared" si="209"/>
        <v>28574.118555900044</v>
      </c>
      <c r="BC846" s="65">
        <f t="shared" si="210"/>
        <v>26667.544548561287</v>
      </c>
      <c r="BD846" s="66">
        <f t="shared" si="211"/>
        <v>5486.1729679122809</v>
      </c>
    </row>
    <row r="847" spans="31:56" x14ac:dyDescent="0.25">
      <c r="AE847" s="71">
        <v>785</v>
      </c>
      <c r="AF847" s="17">
        <v>4.900884539600078</v>
      </c>
      <c r="AG847" s="18">
        <v>-15591.610607806448</v>
      </c>
      <c r="AH847" s="20">
        <v>3932.3725421878971</v>
      </c>
      <c r="AN847" s="23">
        <v>842</v>
      </c>
      <c r="AO847" s="58">
        <v>421</v>
      </c>
      <c r="AP847" s="45">
        <f t="shared" si="212"/>
        <v>-1378.004967956944</v>
      </c>
      <c r="AQ847" s="45">
        <f t="shared" si="213"/>
        <v>-8149.5246586763515</v>
      </c>
      <c r="AR847" s="45">
        <f t="shared" si="214"/>
        <v>2235.6342936626093</v>
      </c>
      <c r="AS847" s="45">
        <f t="shared" si="215"/>
        <v>3938.3307570191673</v>
      </c>
      <c r="AT847" s="45">
        <f t="shared" si="201"/>
        <v>-614.98849012870539</v>
      </c>
      <c r="AU847" s="45">
        <f t="shared" si="202"/>
        <v>-1243.7764898545709</v>
      </c>
      <c r="AV847" s="64">
        <f t="shared" si="203"/>
        <v>492.90562097778604</v>
      </c>
      <c r="AW847" s="64">
        <f t="shared" si="204"/>
        <v>360.82593681936208</v>
      </c>
      <c r="AX847" s="64">
        <f t="shared" si="205"/>
        <v>-171.256347990416</v>
      </c>
      <c r="AY847" s="64">
        <f t="shared" si="206"/>
        <v>166.91129524299441</v>
      </c>
      <c r="AZ847" s="64">
        <f t="shared" si="207"/>
        <v>-936.63776311607546</v>
      </c>
      <c r="BA847" s="64">
        <f t="shared" si="208"/>
        <v>-1771.5137219169274</v>
      </c>
      <c r="BB847" s="65">
        <f t="shared" si="209"/>
        <v>26493.899646003625</v>
      </c>
      <c r="BC847" s="65">
        <f t="shared" si="210"/>
        <v>26003.537149959757</v>
      </c>
      <c r="BD847" s="66">
        <f t="shared" si="211"/>
        <v>7749.0554530360632</v>
      </c>
    </row>
    <row r="848" spans="31:56" x14ac:dyDescent="0.25">
      <c r="AE848" s="71">
        <v>786</v>
      </c>
      <c r="AF848" s="17">
        <v>4.9637163926718735</v>
      </c>
      <c r="AG848" s="18">
        <v>-15219.320076884826</v>
      </c>
      <c r="AH848" s="20">
        <v>4221.1506791815818</v>
      </c>
      <c r="AN848" s="23">
        <v>843</v>
      </c>
      <c r="AO848" s="58">
        <v>421.5</v>
      </c>
      <c r="AP848" s="45">
        <f t="shared" si="212"/>
        <v>-413.93494365781578</v>
      </c>
      <c r="AQ848" s="45">
        <f t="shared" si="213"/>
        <v>-6491.3034026304103</v>
      </c>
      <c r="AR848" s="45">
        <f t="shared" si="214"/>
        <v>1928.1400485982565</v>
      </c>
      <c r="AS848" s="45">
        <f t="shared" si="215"/>
        <v>3316.4425120918818</v>
      </c>
      <c r="AT848" s="45">
        <f t="shared" si="201"/>
        <v>-518.64224645295917</v>
      </c>
      <c r="AU848" s="45">
        <f t="shared" si="202"/>
        <v>-1112.4911969128761</v>
      </c>
      <c r="AV848" s="64">
        <f t="shared" si="203"/>
        <v>562.03256017685385</v>
      </c>
      <c r="AW848" s="64">
        <f t="shared" si="204"/>
        <v>385.20589456637515</v>
      </c>
      <c r="AX848" s="64">
        <f t="shared" si="205"/>
        <v>-188.08199036909892</v>
      </c>
      <c r="AY848" s="64">
        <f t="shared" si="206"/>
        <v>158.3634670274441</v>
      </c>
      <c r="AZ848" s="64">
        <f t="shared" si="207"/>
        <v>-892.59281626071413</v>
      </c>
      <c r="BA848" s="64">
        <f t="shared" si="208"/>
        <v>-1656.0605585066955</v>
      </c>
      <c r="BB848" s="65">
        <f t="shared" si="209"/>
        <v>24748.440572859352</v>
      </c>
      <c r="BC848" s="65">
        <f t="shared" si="210"/>
        <v>25604.238561395996</v>
      </c>
      <c r="BD848" s="66">
        <f t="shared" si="211"/>
        <v>9665.9148810183342</v>
      </c>
    </row>
    <row r="849" spans="31:56" x14ac:dyDescent="0.25">
      <c r="AE849" s="71">
        <v>787</v>
      </c>
      <c r="AF849" s="17">
        <v>5.026548245743669</v>
      </c>
      <c r="AG849" s="18">
        <v>-14865.896705534837</v>
      </c>
      <c r="AH849" s="20">
        <v>4532.7352943394135</v>
      </c>
      <c r="AN849" s="23">
        <v>844</v>
      </c>
      <c r="AO849" s="58">
        <v>422</v>
      </c>
      <c r="AP849" s="45">
        <f t="shared" si="212"/>
        <v>420.47451902807268</v>
      </c>
      <c r="AQ849" s="45">
        <f t="shared" si="213"/>
        <v>-5111.2049458126885</v>
      </c>
      <c r="AR849" s="45">
        <f t="shared" si="214"/>
        <v>1668.8189253717769</v>
      </c>
      <c r="AS849" s="45">
        <f t="shared" si="215"/>
        <v>2760.1969136354437</v>
      </c>
      <c r="AT849" s="45">
        <f t="shared" si="201"/>
        <v>-399.72068467098461</v>
      </c>
      <c r="AU849" s="45">
        <f t="shared" si="202"/>
        <v>-958.34158279713984</v>
      </c>
      <c r="AV849" s="64">
        <f t="shared" si="203"/>
        <v>629.63980186754122</v>
      </c>
      <c r="AW849" s="64">
        <f t="shared" si="204"/>
        <v>405.5520442060423</v>
      </c>
      <c r="AX849" s="64">
        <f t="shared" si="205"/>
        <v>-200.44547900103984</v>
      </c>
      <c r="AY849" s="64">
        <f t="shared" si="206"/>
        <v>148.33018257356699</v>
      </c>
      <c r="AZ849" s="64">
        <f t="shared" si="207"/>
        <v>-828.91500753748596</v>
      </c>
      <c r="BA849" s="64">
        <f t="shared" si="208"/>
        <v>-1512.2238095767491</v>
      </c>
      <c r="BB849" s="65">
        <f t="shared" si="209"/>
        <v>23289.489222508066</v>
      </c>
      <c r="BC849" s="65">
        <f t="shared" si="210"/>
        <v>25403.627585378999</v>
      </c>
      <c r="BD849" s="66">
        <f t="shared" si="211"/>
        <v>11276.959325773594</v>
      </c>
    </row>
    <row r="850" spans="31:56" x14ac:dyDescent="0.25">
      <c r="AE850" s="71">
        <v>788</v>
      </c>
      <c r="AF850" s="17">
        <v>5.0893800988154654</v>
      </c>
      <c r="AG850" s="18">
        <v>-14532.735294339411</v>
      </c>
      <c r="AH850" s="20">
        <v>4865.8967055348376</v>
      </c>
      <c r="AN850" s="23">
        <v>845</v>
      </c>
      <c r="AO850" s="58">
        <v>422.5</v>
      </c>
      <c r="AP850" s="45">
        <f t="shared" si="212"/>
        <v>1154.9538105462148</v>
      </c>
      <c r="AQ850" s="45">
        <f t="shared" si="213"/>
        <v>-3970.6918846942517</v>
      </c>
      <c r="AR850" s="45">
        <f t="shared" si="214"/>
        <v>1468.9585830362846</v>
      </c>
      <c r="AS850" s="45">
        <f t="shared" si="215"/>
        <v>2281.0261222368736</v>
      </c>
      <c r="AT850" s="45">
        <f t="shared" si="201"/>
        <v>-285.32911152453198</v>
      </c>
      <c r="AU850" s="45">
        <f t="shared" si="202"/>
        <v>-820.69717142911975</v>
      </c>
      <c r="AV850" s="64">
        <f t="shared" si="203"/>
        <v>694.31696121992934</v>
      </c>
      <c r="AW850" s="64">
        <f t="shared" si="204"/>
        <v>422.62013329147794</v>
      </c>
      <c r="AX850" s="64">
        <f t="shared" si="205"/>
        <v>-208.84138943518653</v>
      </c>
      <c r="AY850" s="64">
        <f t="shared" si="206"/>
        <v>137.9184625359907</v>
      </c>
      <c r="AZ850" s="64">
        <f t="shared" si="207"/>
        <v>-770.80468330927476</v>
      </c>
      <c r="BA850" s="64">
        <f t="shared" si="208"/>
        <v>-1381.2357672565884</v>
      </c>
      <c r="BB850" s="65">
        <f t="shared" si="209"/>
        <v>22061.562460447745</v>
      </c>
      <c r="BC850" s="65">
        <f t="shared" si="210"/>
        <v>25351.771189867697</v>
      </c>
      <c r="BD850" s="66">
        <f t="shared" si="211"/>
        <v>12630.482726812408</v>
      </c>
    </row>
    <row r="851" spans="31:56" x14ac:dyDescent="0.25">
      <c r="AE851" s="71">
        <v>789</v>
      </c>
      <c r="AF851" s="17">
        <v>5.1522119518872609</v>
      </c>
      <c r="AG851" s="18">
        <v>-14221.150679181581</v>
      </c>
      <c r="AH851" s="20">
        <v>5219.3200768848274</v>
      </c>
      <c r="AN851" s="23">
        <v>846</v>
      </c>
      <c r="AO851" s="58">
        <v>423</v>
      </c>
      <c r="AP851" s="45">
        <f t="shared" si="212"/>
        <v>1818.1008241832242</v>
      </c>
      <c r="AQ851" s="45">
        <f t="shared" si="213"/>
        <v>-3035.3531164330948</v>
      </c>
      <c r="AR851" s="45">
        <f t="shared" si="214"/>
        <v>1326.2940272740186</v>
      </c>
      <c r="AS851" s="45">
        <f t="shared" si="215"/>
        <v>1870.6775365223136</v>
      </c>
      <c r="AT851" s="45">
        <f t="shared" si="201"/>
        <v>-182.76072702460647</v>
      </c>
      <c r="AU851" s="45">
        <f t="shared" si="202"/>
        <v>-705.43322980379355</v>
      </c>
      <c r="AV851" s="64">
        <f t="shared" si="203"/>
        <v>755.35273665712896</v>
      </c>
      <c r="AW851" s="64">
        <f t="shared" si="204"/>
        <v>437.68297971487681</v>
      </c>
      <c r="AX851" s="64">
        <f t="shared" si="205"/>
        <v>-213.88453826803013</v>
      </c>
      <c r="AY851" s="64">
        <f t="shared" si="206"/>
        <v>127.78657981902479</v>
      </c>
      <c r="AZ851" s="64">
        <f t="shared" si="207"/>
        <v>-724.22892541370527</v>
      </c>
      <c r="BA851" s="64">
        <f t="shared" si="208"/>
        <v>-1270.9027893376951</v>
      </c>
      <c r="BB851" s="65">
        <f t="shared" si="209"/>
        <v>21013.688941437751</v>
      </c>
      <c r="BC851" s="65">
        <f t="shared" si="210"/>
        <v>25415.545527183291</v>
      </c>
      <c r="BD851" s="66">
        <f t="shared" si="211"/>
        <v>13770.957624550852</v>
      </c>
    </row>
    <row r="852" spans="31:56" x14ac:dyDescent="0.25">
      <c r="AE852" s="71">
        <v>790</v>
      </c>
      <c r="AF852" s="17">
        <v>5.2150438049590573</v>
      </c>
      <c r="AG852" s="18">
        <v>-13932.372542187892</v>
      </c>
      <c r="AH852" s="20">
        <v>5591.6106078064558</v>
      </c>
      <c r="AN852" s="23">
        <v>847</v>
      </c>
      <c r="AO852" s="58">
        <v>423.5</v>
      </c>
      <c r="AP852" s="45">
        <f t="shared" si="212"/>
        <v>2435.557656064082</v>
      </c>
      <c r="AQ852" s="45">
        <f t="shared" si="213"/>
        <v>-2276.3726556228862</v>
      </c>
      <c r="AR852" s="45">
        <f t="shared" si="214"/>
        <v>1234.9136637617153</v>
      </c>
      <c r="AS852" s="45">
        <f t="shared" si="215"/>
        <v>1517.9609216204169</v>
      </c>
      <c r="AT852" s="45">
        <f t="shared" si="201"/>
        <v>-92.764254621183568</v>
      </c>
      <c r="AU852" s="45">
        <f t="shared" si="202"/>
        <v>-608.82208866706617</v>
      </c>
      <c r="AV852" s="64">
        <f t="shared" si="203"/>
        <v>812.59588067416007</v>
      </c>
      <c r="AW852" s="64">
        <f t="shared" si="204"/>
        <v>452.29105441183498</v>
      </c>
      <c r="AX852" s="64">
        <f t="shared" si="205"/>
        <v>-216.14127838789906</v>
      </c>
      <c r="AY852" s="64">
        <f t="shared" si="206"/>
        <v>118.26899604768168</v>
      </c>
      <c r="AZ852" s="64">
        <f t="shared" si="207"/>
        <v>-689.21885690744455</v>
      </c>
      <c r="BA852" s="64">
        <f t="shared" si="208"/>
        <v>-1179.3821391265828</v>
      </c>
      <c r="BB852" s="65">
        <f t="shared" si="209"/>
        <v>20101.917748191587</v>
      </c>
      <c r="BC852" s="65">
        <f t="shared" si="210"/>
        <v>25574.666623795922</v>
      </c>
      <c r="BD852" s="66">
        <f t="shared" si="211"/>
        <v>14736.967478258008</v>
      </c>
    </row>
    <row r="853" spans="31:56" x14ac:dyDescent="0.25">
      <c r="AE853" s="71">
        <v>791</v>
      </c>
      <c r="AF853" s="17">
        <v>5.2778756580308528</v>
      </c>
      <c r="AG853" s="18">
        <v>-13667.540558734885</v>
      </c>
      <c r="AH853" s="20">
        <v>5981.2990376575272</v>
      </c>
      <c r="AN853" s="23">
        <v>848</v>
      </c>
      <c r="AO853" s="58">
        <v>424</v>
      </c>
      <c r="AP853" s="45">
        <f t="shared" si="212"/>
        <v>3029.8234242896442</v>
      </c>
      <c r="AQ853" s="45">
        <f t="shared" si="213"/>
        <v>-1669.5977169794442</v>
      </c>
      <c r="AR853" s="45">
        <f t="shared" si="214"/>
        <v>1188.5315364511234</v>
      </c>
      <c r="AS853" s="45">
        <f t="shared" si="215"/>
        <v>1213.5498772868839</v>
      </c>
      <c r="AT853" s="45">
        <f t="shared" si="201"/>
        <v>-14.008038261828005</v>
      </c>
      <c r="AU853" s="45">
        <f t="shared" si="202"/>
        <v>-525.12157149522056</v>
      </c>
      <c r="AV853" s="64">
        <f t="shared" si="203"/>
        <v>866.31845751245953</v>
      </c>
      <c r="AW853" s="64">
        <f t="shared" si="204"/>
        <v>468.10306980267131</v>
      </c>
      <c r="AX853" s="64">
        <f t="shared" si="205"/>
        <v>-216.08334673021412</v>
      </c>
      <c r="AY853" s="64">
        <f t="shared" si="206"/>
        <v>109.49305529718639</v>
      </c>
      <c r="AZ853" s="64">
        <f t="shared" si="207"/>
        <v>-664.24314904407345</v>
      </c>
      <c r="BA853" s="64">
        <f t="shared" si="208"/>
        <v>-1102.7176965950782</v>
      </c>
      <c r="BB853" s="65">
        <f t="shared" si="209"/>
        <v>19289.075024531972</v>
      </c>
      <c r="BC853" s="65">
        <f t="shared" si="210"/>
        <v>25817.67374939291</v>
      </c>
      <c r="BD853" s="66">
        <f t="shared" si="211"/>
        <v>15562.059287010517</v>
      </c>
    </row>
    <row r="854" spans="31:56" x14ac:dyDescent="0.25">
      <c r="AE854" s="71">
        <v>792</v>
      </c>
      <c r="AF854" s="17">
        <v>5.3407075111026492</v>
      </c>
      <c r="AG854" s="18">
        <v>-13427.699899671024</v>
      </c>
      <c r="AH854" s="20">
        <v>6386.8474442371353</v>
      </c>
      <c r="AN854" s="23">
        <v>849</v>
      </c>
      <c r="AO854" s="58">
        <v>424.5</v>
      </c>
      <c r="AP854" s="45">
        <f t="shared" si="212"/>
        <v>3620.5871829497491</v>
      </c>
      <c r="AQ854" s="45">
        <f t="shared" si="213"/>
        <v>-1194.1031712098072</v>
      </c>
      <c r="AR854" s="45">
        <f t="shared" si="214"/>
        <v>1181.5275173202094</v>
      </c>
      <c r="AS854" s="45">
        <f t="shared" si="215"/>
        <v>950.98909153927366</v>
      </c>
      <c r="AT854" s="45">
        <f t="shared" si="201"/>
        <v>55.485396949670871</v>
      </c>
      <c r="AU854" s="45">
        <f t="shared" si="202"/>
        <v>-448.73759198949563</v>
      </c>
      <c r="AV854" s="64">
        <f t="shared" si="203"/>
        <v>917.08471245960129</v>
      </c>
      <c r="AW854" s="64">
        <f t="shared" si="204"/>
        <v>486.78357374101165</v>
      </c>
      <c r="AX854" s="64">
        <f t="shared" si="205"/>
        <v>-214.09335232555785</v>
      </c>
      <c r="AY854" s="64">
        <f t="shared" si="206"/>
        <v>101.46162140848098</v>
      </c>
      <c r="AZ854" s="64">
        <f t="shared" si="207"/>
        <v>-647.5059631843726</v>
      </c>
      <c r="BA854" s="64">
        <f t="shared" si="208"/>
        <v>-1036.9827871389882</v>
      </c>
      <c r="BB854" s="65">
        <f t="shared" si="209"/>
        <v>18543.80204227252</v>
      </c>
      <c r="BC854" s="65">
        <f t="shared" si="210"/>
        <v>26138.861579552758</v>
      </c>
      <c r="BD854" s="66">
        <f t="shared" si="211"/>
        <v>16276.280614011193</v>
      </c>
    </row>
    <row r="855" spans="31:56" x14ac:dyDescent="0.25">
      <c r="AE855" s="71">
        <v>793</v>
      </c>
      <c r="AF855" s="17">
        <v>5.4035393641744447</v>
      </c>
      <c r="AG855" s="18">
        <v>-13213.797106504851</v>
      </c>
      <c r="AH855" s="20">
        <v>6806.6553132619583</v>
      </c>
      <c r="AN855" s="23">
        <v>850</v>
      </c>
      <c r="AO855" s="58">
        <v>425</v>
      </c>
      <c r="AP855" s="45">
        <f t="shared" si="212"/>
        <v>4225.2222908472722</v>
      </c>
      <c r="AQ855" s="45">
        <f t="shared" si="213"/>
        <v>-830.79302343754432</v>
      </c>
      <c r="AR855" s="45">
        <f t="shared" si="214"/>
        <v>1209.2702157950448</v>
      </c>
      <c r="AS855" s="45">
        <f t="shared" si="215"/>
        <v>726.62029554452579</v>
      </c>
      <c r="AT855" s="45">
        <f t="shared" si="201"/>
        <v>117.89943671584251</v>
      </c>
      <c r="AU855" s="45">
        <f t="shared" si="202"/>
        <v>-374.70259989161696</v>
      </c>
      <c r="AV855" s="64">
        <f t="shared" si="203"/>
        <v>965.63857337914317</v>
      </c>
      <c r="AW855" s="64">
        <f t="shared" si="204"/>
        <v>509.96186688587102</v>
      </c>
      <c r="AX855" s="64">
        <f t="shared" si="205"/>
        <v>-210.48598289187274</v>
      </c>
      <c r="AY855" s="64">
        <f t="shared" si="206"/>
        <v>94.105642774556216</v>
      </c>
      <c r="AZ855" s="64">
        <f t="shared" si="207"/>
        <v>-637.25315377142795</v>
      </c>
      <c r="BA855" s="64">
        <f t="shared" si="208"/>
        <v>-978.77010955204423</v>
      </c>
      <c r="BB855" s="65">
        <f t="shared" si="209"/>
        <v>17839.442933358023</v>
      </c>
      <c r="BC855" s="65">
        <f t="shared" si="210"/>
        <v>26536.154064926344</v>
      </c>
      <c r="BD855" s="66">
        <f t="shared" si="211"/>
        <v>16907.724644676811</v>
      </c>
    </row>
    <row r="856" spans="31:56" x14ac:dyDescent="0.25">
      <c r="AE856" s="71">
        <v>794</v>
      </c>
      <c r="AF856" s="17">
        <v>5.4663712172462402</v>
      </c>
      <c r="AG856" s="18">
        <v>-13026.676355838114</v>
      </c>
      <c r="AH856" s="20">
        <v>7239.0658548649162</v>
      </c>
      <c r="AN856" s="23">
        <v>851</v>
      </c>
      <c r="AO856" s="58">
        <v>425.5</v>
      </c>
      <c r="AP856" s="45">
        <f t="shared" si="212"/>
        <v>4859.3322579237547</v>
      </c>
      <c r="AQ856" s="45">
        <f t="shared" si="213"/>
        <v>-561.15852563818567</v>
      </c>
      <c r="AR856" s="45">
        <f t="shared" si="214"/>
        <v>1268.2199341529661</v>
      </c>
      <c r="AS856" s="45">
        <f t="shared" si="215"/>
        <v>539.26899559871731</v>
      </c>
      <c r="AT856" s="45">
        <f t="shared" si="201"/>
        <v>175.51882617897127</v>
      </c>
      <c r="AU856" s="45">
        <f t="shared" si="202"/>
        <v>-298.66043703856167</v>
      </c>
      <c r="AV856" s="64">
        <f t="shared" si="203"/>
        <v>1012.8198552696748</v>
      </c>
      <c r="AW856" s="64">
        <f t="shared" si="204"/>
        <v>539.24315296566772</v>
      </c>
      <c r="AX856" s="64">
        <f t="shared" si="205"/>
        <v>-205.52932704005303</v>
      </c>
      <c r="AY856" s="64">
        <f t="shared" si="206"/>
        <v>87.31641630663114</v>
      </c>
      <c r="AZ856" s="64">
        <f t="shared" si="207"/>
        <v>-631.77170205065045</v>
      </c>
      <c r="BA856" s="64">
        <f t="shared" si="208"/>
        <v>-925.22000631086053</v>
      </c>
      <c r="BB856" s="65">
        <f t="shared" si="209"/>
        <v>17152.903440858561</v>
      </c>
      <c r="BC856" s="65">
        <f t="shared" si="210"/>
        <v>27009.710655864284</v>
      </c>
      <c r="BD856" s="66">
        <f t="shared" si="211"/>
        <v>17483.894751853397</v>
      </c>
    </row>
    <row r="857" spans="31:56" x14ac:dyDescent="0.25">
      <c r="AE857" s="71">
        <v>795</v>
      </c>
      <c r="AF857" s="17">
        <v>5.5292030703180366</v>
      </c>
      <c r="AG857" s="18">
        <v>-12867.076127786346</v>
      </c>
      <c r="AH857" s="20">
        <v>7682.3725421878989</v>
      </c>
      <c r="AN857" s="23">
        <v>852</v>
      </c>
      <c r="AO857" s="58">
        <v>426</v>
      </c>
      <c r="AP857" s="45">
        <f t="shared" si="212"/>
        <v>5537.3219315449805</v>
      </c>
      <c r="AQ857" s="45">
        <f t="shared" si="213"/>
        <v>-366.18913709846743</v>
      </c>
      <c r="AR857" s="45">
        <f t="shared" si="214"/>
        <v>1355.9793472424517</v>
      </c>
      <c r="AS857" s="45">
        <f t="shared" si="215"/>
        <v>389.93877707943648</v>
      </c>
      <c r="AT857" s="45">
        <f t="shared" si="201"/>
        <v>230.74166346624168</v>
      </c>
      <c r="AU857" s="45">
        <f t="shared" si="202"/>
        <v>-216.73000114164938</v>
      </c>
      <c r="AV857" s="64">
        <f t="shared" si="203"/>
        <v>1059.5116357259458</v>
      </c>
      <c r="AW857" s="64">
        <f t="shared" si="204"/>
        <v>576.26387589689182</v>
      </c>
      <c r="AX857" s="64">
        <f t="shared" si="205"/>
        <v>-199.46066644937824</v>
      </c>
      <c r="AY857" s="64">
        <f t="shared" si="206"/>
        <v>80.965694028859929</v>
      </c>
      <c r="AZ857" s="64">
        <f t="shared" si="207"/>
        <v>-629.3093058103259</v>
      </c>
      <c r="BA857" s="64">
        <f t="shared" si="208"/>
        <v>-873.95957106740116</v>
      </c>
      <c r="BB857" s="65">
        <f t="shared" si="209"/>
        <v>16463.474373666566</v>
      </c>
      <c r="BC857" s="65">
        <f t="shared" si="210"/>
        <v>27561.071979541481</v>
      </c>
      <c r="BD857" s="66">
        <f t="shared" si="211"/>
        <v>18032.847081373307</v>
      </c>
    </row>
    <row r="858" spans="31:56" x14ac:dyDescent="0.25">
      <c r="AE858" s="71">
        <v>796</v>
      </c>
      <c r="AF858" s="17">
        <v>5.5920349233898321</v>
      </c>
      <c r="AG858" s="18">
        <v>-12735.626291535267</v>
      </c>
      <c r="AH858" s="20">
        <v>8134.8258462635913</v>
      </c>
      <c r="AN858" s="23">
        <v>853</v>
      </c>
      <c r="AO858" s="58">
        <v>426.5</v>
      </c>
      <c r="AP858" s="45">
        <f t="shared" si="212"/>
        <v>6272.9970210327665</v>
      </c>
      <c r="AQ858" s="45">
        <f t="shared" si="213"/>
        <v>-225.40224884416153</v>
      </c>
      <c r="AR858" s="45">
        <f t="shared" si="214"/>
        <v>1471.3501789755726</v>
      </c>
      <c r="AS858" s="45">
        <f t="shared" si="215"/>
        <v>281.57377650861179</v>
      </c>
      <c r="AT858" s="45">
        <f t="shared" si="201"/>
        <v>286.11835793097077</v>
      </c>
      <c r="AU858" s="45">
        <f t="shared" si="202"/>
        <v>-125.35767575494685</v>
      </c>
      <c r="AV858" s="64">
        <f t="shared" si="203"/>
        <v>1106.6110824166453</v>
      </c>
      <c r="AW858" s="64">
        <f t="shared" si="204"/>
        <v>622.78821952587782</v>
      </c>
      <c r="AX858" s="64">
        <f t="shared" si="205"/>
        <v>-192.49547108340758</v>
      </c>
      <c r="AY858" s="64">
        <f t="shared" si="206"/>
        <v>74.918884257202961</v>
      </c>
      <c r="AZ858" s="64">
        <f t="shared" si="207"/>
        <v>-627.99725340226701</v>
      </c>
      <c r="BA858" s="64">
        <f t="shared" si="208"/>
        <v>-823.06477953802766</v>
      </c>
      <c r="BB858" s="65">
        <f t="shared" si="209"/>
        <v>15751.585656403668</v>
      </c>
      <c r="BC858" s="65">
        <f t="shared" si="210"/>
        <v>28192.715790038106</v>
      </c>
      <c r="BD858" s="66">
        <f t="shared" si="211"/>
        <v>18584.111508077884</v>
      </c>
    </row>
    <row r="859" spans="31:56" x14ac:dyDescent="0.25">
      <c r="AE859" s="71">
        <v>797</v>
      </c>
      <c r="AF859" s="17">
        <v>5.6548667764616285</v>
      </c>
      <c r="AG859" s="18">
        <v>-12632.845619534834</v>
      </c>
      <c r="AH859" s="20">
        <v>8594.6401406070654</v>
      </c>
      <c r="AN859" s="23">
        <v>854</v>
      </c>
      <c r="AO859" s="58">
        <v>427</v>
      </c>
      <c r="AP859" s="45">
        <f t="shared" si="212"/>
        <v>7080.2017000032947</v>
      </c>
      <c r="AQ859" s="45">
        <f t="shared" si="213"/>
        <v>-115.95477952859235</v>
      </c>
      <c r="AR859" s="45">
        <f t="shared" si="214"/>
        <v>1614.409357941058</v>
      </c>
      <c r="AS859" s="45">
        <f t="shared" si="215"/>
        <v>218.89493863113836</v>
      </c>
      <c r="AT859" s="45">
        <f t="shared" si="201"/>
        <v>344.35182681237154</v>
      </c>
      <c r="AU859" s="45">
        <f t="shared" si="202"/>
        <v>-21.178522090913248</v>
      </c>
      <c r="AV859" s="64">
        <f t="shared" si="203"/>
        <v>1154.9994010664536</v>
      </c>
      <c r="AW859" s="64">
        <f t="shared" si="204"/>
        <v>680.84833870099681</v>
      </c>
      <c r="AX859" s="64">
        <f t="shared" si="205"/>
        <v>-184.83013728372742</v>
      </c>
      <c r="AY859" s="64">
        <f t="shared" si="206"/>
        <v>69.044290414425575</v>
      </c>
      <c r="AZ859" s="64">
        <f t="shared" si="207"/>
        <v>-625.81743697035461</v>
      </c>
      <c r="BA859" s="64">
        <f t="shared" si="208"/>
        <v>-771.07115120633557</v>
      </c>
      <c r="BB859" s="65">
        <f t="shared" si="209"/>
        <v>14997.46496300032</v>
      </c>
      <c r="BC859" s="65">
        <f t="shared" si="210"/>
        <v>28907.955050717937</v>
      </c>
      <c r="BD859" s="66">
        <f t="shared" si="211"/>
        <v>19169.40466571146</v>
      </c>
    </row>
    <row r="860" spans="31:56" x14ac:dyDescent="0.25">
      <c r="AE860" s="71">
        <v>798</v>
      </c>
      <c r="AF860" s="17">
        <v>5.717698629533424</v>
      </c>
      <c r="AG860" s="18">
        <v>-12559.139740141416</v>
      </c>
      <c r="AH860" s="20">
        <v>9060.0007482677211</v>
      </c>
      <c r="AN860" s="23">
        <v>855</v>
      </c>
      <c r="AO860" s="58">
        <v>427.5</v>
      </c>
      <c r="AP860" s="45">
        <f t="shared" si="212"/>
        <v>7973.4943356769163</v>
      </c>
      <c r="AQ860" s="45">
        <f t="shared" si="213"/>
        <v>-11.801940735751486</v>
      </c>
      <c r="AR860" s="45">
        <f t="shared" si="214"/>
        <v>1786.5852713472439</v>
      </c>
      <c r="AS860" s="45">
        <f t="shared" si="215"/>
        <v>208.30567758568174</v>
      </c>
      <c r="AT860" s="45">
        <f t="shared" si="201"/>
        <v>408.16989175163724</v>
      </c>
      <c r="AU860" s="45">
        <f t="shared" si="202"/>
        <v>99.125831214784398</v>
      </c>
      <c r="AV860" s="64">
        <f t="shared" si="203"/>
        <v>1205.4517349855328</v>
      </c>
      <c r="AW860" s="64">
        <f t="shared" si="204"/>
        <v>752.92981478317654</v>
      </c>
      <c r="AX860" s="64">
        <f t="shared" si="205"/>
        <v>-176.63980150740989</v>
      </c>
      <c r="AY860" s="64">
        <f t="shared" si="206"/>
        <v>63.219942647192696</v>
      </c>
      <c r="AZ860" s="64">
        <f t="shared" si="207"/>
        <v>-620.64204172648567</v>
      </c>
      <c r="BA860" s="64">
        <f t="shared" si="208"/>
        <v>-717.02392621558488</v>
      </c>
      <c r="BB860" s="65">
        <f t="shared" si="209"/>
        <v>14179.704048069432</v>
      </c>
      <c r="BC860" s="65">
        <f t="shared" si="210"/>
        <v>29711.152173025344</v>
      </c>
      <c r="BD860" s="66">
        <f t="shared" si="211"/>
        <v>19823.15909086071</v>
      </c>
    </row>
    <row r="861" spans="31:56" x14ac:dyDescent="0.25">
      <c r="AE861" s="71">
        <v>799</v>
      </c>
      <c r="AF861" s="17">
        <v>5.7805304826052195</v>
      </c>
      <c r="AG861" s="18">
        <v>-12514.799536787963</v>
      </c>
      <c r="AH861" s="20">
        <v>9529.0711035301501</v>
      </c>
      <c r="AN861" s="23">
        <v>856</v>
      </c>
      <c r="AO861" s="58">
        <v>428</v>
      </c>
      <c r="AP861" s="45">
        <f t="shared" si="212"/>
        <v>8968.8294442884489</v>
      </c>
      <c r="AQ861" s="45">
        <f t="shared" si="213"/>
        <v>117.13235586078548</v>
      </c>
      <c r="AR861" s="45">
        <f t="shared" si="214"/>
        <v>1990.6702172230625</v>
      </c>
      <c r="AS861" s="45">
        <f t="shared" si="215"/>
        <v>257.86859319307393</v>
      </c>
      <c r="AT861" s="45">
        <f t="shared" si="201"/>
        <v>479.90810189096521</v>
      </c>
      <c r="AU861" s="45">
        <f t="shared" si="202"/>
        <v>238.97658176069399</v>
      </c>
      <c r="AV861" s="64">
        <f t="shared" si="203"/>
        <v>1258.3461921599915</v>
      </c>
      <c r="AW861" s="64">
        <f t="shared" si="204"/>
        <v>842.1774770233834</v>
      </c>
      <c r="AX861" s="64">
        <f t="shared" si="205"/>
        <v>-168.07304813412088</v>
      </c>
      <c r="AY861" s="64">
        <f t="shared" si="206"/>
        <v>57.338999231950339</v>
      </c>
      <c r="AZ861" s="64">
        <f t="shared" si="207"/>
        <v>-610.36504213490537</v>
      </c>
      <c r="BA861" s="64">
        <f t="shared" si="208"/>
        <v>-660.53989449463973</v>
      </c>
      <c r="BB861" s="65">
        <f t="shared" si="209"/>
        <v>13273.788399702446</v>
      </c>
      <c r="BC861" s="65">
        <f t="shared" si="210"/>
        <v>30608.236673219963</v>
      </c>
      <c r="BD861" s="66">
        <f t="shared" si="211"/>
        <v>20582.902776533563</v>
      </c>
    </row>
    <row r="862" spans="31:56" x14ac:dyDescent="0.25">
      <c r="AE862" s="71">
        <v>800</v>
      </c>
      <c r="AF862" s="17">
        <v>5.8433623356770159</v>
      </c>
      <c r="AG862" s="18">
        <v>-12500</v>
      </c>
      <c r="AH862" s="20">
        <v>10000.000000000005</v>
      </c>
      <c r="AN862" s="23">
        <v>857</v>
      </c>
      <c r="AO862" s="58">
        <v>428.5</v>
      </c>
      <c r="AP862" s="45">
        <f t="shared" si="212"/>
        <v>10084.141578372721</v>
      </c>
      <c r="AQ862" s="45">
        <f t="shared" si="213"/>
        <v>305.81079789749595</v>
      </c>
      <c r="AR862" s="45">
        <f t="shared" si="214"/>
        <v>2230.6242681685453</v>
      </c>
      <c r="AS862" s="45">
        <f t="shared" si="215"/>
        <v>377.35688407342093</v>
      </c>
      <c r="AT862" s="45">
        <f t="shared" si="201"/>
        <v>560.45863672052462</v>
      </c>
      <c r="AU862" s="45">
        <f t="shared" si="202"/>
        <v>401.96162975634422</v>
      </c>
      <c r="AV862" s="64">
        <f t="shared" si="203"/>
        <v>1312.8312885828145</v>
      </c>
      <c r="AW862" s="64">
        <f t="shared" si="204"/>
        <v>952.49006983651884</v>
      </c>
      <c r="AX862" s="64">
        <f t="shared" si="205"/>
        <v>-159.24580659610749</v>
      </c>
      <c r="AY862" s="64">
        <f t="shared" si="206"/>
        <v>51.314709271740917</v>
      </c>
      <c r="AZ862" s="64">
        <f t="shared" si="207"/>
        <v>-593.12684526618239</v>
      </c>
      <c r="BA862" s="64">
        <f t="shared" si="208"/>
        <v>-601.84314935191549</v>
      </c>
      <c r="BB862" s="65">
        <f t="shared" si="209"/>
        <v>12250.739019071661</v>
      </c>
      <c r="BC862" s="65">
        <f t="shared" si="210"/>
        <v>31607.481373778188</v>
      </c>
      <c r="BD862" s="66">
        <f t="shared" si="211"/>
        <v>21489.513054916537</v>
      </c>
    </row>
    <row r="863" spans="31:56" x14ac:dyDescent="0.25">
      <c r="AE863" s="71">
        <v>801</v>
      </c>
      <c r="AF863" s="17">
        <v>5.9061941887488114</v>
      </c>
      <c r="AG863" s="18" cm="1">
        <f t="array" ref="AG863:AG962">COS(AF63:AF162)*$AL$36+$K$26</f>
        <v>-12514.799536787963</v>
      </c>
      <c r="AH863" s="20" cm="1">
        <f t="array" ref="AH863:AH962">SIN(AF63:AF162)*$AL$36+$L$26</f>
        <v>10470.92889646985</v>
      </c>
      <c r="AN863" s="23">
        <v>858</v>
      </c>
      <c r="AO863" s="58">
        <v>429</v>
      </c>
      <c r="AP863" s="45">
        <f t="shared" si="212"/>
        <v>11339.568371637126</v>
      </c>
      <c r="AQ863" s="45">
        <f t="shared" si="213"/>
        <v>594.97964737329244</v>
      </c>
      <c r="AR863" s="45">
        <f t="shared" si="214"/>
        <v>2510.8535865288077</v>
      </c>
      <c r="AS863" s="45">
        <f t="shared" si="215"/>
        <v>578.33769895159298</v>
      </c>
      <c r="AT863" s="45">
        <f t="shared" si="201"/>
        <v>646.76910947411136</v>
      </c>
      <c r="AU863" s="45">
        <f t="shared" si="202"/>
        <v>591.36065404750161</v>
      </c>
      <c r="AV863" s="64">
        <f t="shared" si="203"/>
        <v>1364.6125849628284</v>
      </c>
      <c r="AW863" s="64">
        <f t="shared" si="204"/>
        <v>1088.0147869027273</v>
      </c>
      <c r="AX863" s="64">
        <f t="shared" si="205"/>
        <v>-150.23740135170414</v>
      </c>
      <c r="AY863" s="64">
        <f t="shared" si="206"/>
        <v>45.086320292697522</v>
      </c>
      <c r="AZ863" s="64">
        <f t="shared" si="207"/>
        <v>-567.6060741370128</v>
      </c>
      <c r="BA863" s="64">
        <f t="shared" si="208"/>
        <v>-541.74045314792329</v>
      </c>
      <c r="BB863" s="65">
        <f t="shared" si="209"/>
        <v>11076.20792779447</v>
      </c>
      <c r="BC863" s="65">
        <f t="shared" si="210"/>
        <v>32720.375204967331</v>
      </c>
      <c r="BD863" s="66">
        <f t="shared" si="211"/>
        <v>22587.272628039704</v>
      </c>
    </row>
    <row r="864" spans="31:56" x14ac:dyDescent="0.25">
      <c r="AE864" s="71">
        <v>802</v>
      </c>
      <c r="AF864" s="17">
        <v>5.9690260418206078</v>
      </c>
      <c r="AG864" s="18">
        <v>-12559.139740141416</v>
      </c>
      <c r="AH864" s="20">
        <v>10939.999251732283</v>
      </c>
      <c r="AN864" s="23">
        <v>859</v>
      </c>
      <c r="AO864" s="58">
        <v>429.5</v>
      </c>
      <c r="AP864" s="45">
        <f t="shared" si="212"/>
        <v>12756.687442270057</v>
      </c>
      <c r="AQ864" s="45">
        <f t="shared" si="213"/>
        <v>1031.9886603609643</v>
      </c>
      <c r="AR864" s="45">
        <f t="shared" si="214"/>
        <v>2834.2381412658633</v>
      </c>
      <c r="AS864" s="45">
        <f t="shared" si="215"/>
        <v>874.01802597534379</v>
      </c>
      <c r="AT864" s="45">
        <f t="shared" si="201"/>
        <v>725.89175433822106</v>
      </c>
      <c r="AU864" s="45">
        <f t="shared" si="202"/>
        <v>807.52952483144486</v>
      </c>
      <c r="AV864" s="64">
        <f t="shared" si="203"/>
        <v>1400.3098417812575</v>
      </c>
      <c r="AW864" s="64">
        <f t="shared" si="204"/>
        <v>1250.4251146781733</v>
      </c>
      <c r="AX864" s="64">
        <f t="shared" si="205"/>
        <v>-141.09294227569927</v>
      </c>
      <c r="AY864" s="64">
        <f t="shared" si="206"/>
        <v>38.627932342105566</v>
      </c>
      <c r="AZ864" s="64">
        <f t="shared" si="207"/>
        <v>-533.32514516733727</v>
      </c>
      <c r="BA864" s="64">
        <f t="shared" si="208"/>
        <v>-481.52352218883397</v>
      </c>
      <c r="BB864" s="65">
        <f t="shared" si="209"/>
        <v>9710.8571969042696</v>
      </c>
      <c r="BC864" s="65">
        <f t="shared" si="210"/>
        <v>33962.123013416982</v>
      </c>
      <c r="BD864" s="66">
        <f t="shared" si="211"/>
        <v>23923.306822603219</v>
      </c>
    </row>
    <row r="865" spans="31:56" x14ac:dyDescent="0.25">
      <c r="AE865" s="71">
        <v>803</v>
      </c>
      <c r="AF865" s="17">
        <v>6.0318578948924033</v>
      </c>
      <c r="AG865" s="18">
        <v>-12632.845619534834</v>
      </c>
      <c r="AH865" s="20">
        <v>11405.359859392935</v>
      </c>
      <c r="AN865" s="23">
        <v>860</v>
      </c>
      <c r="AO865" s="58">
        <v>430</v>
      </c>
      <c r="AP865" s="45">
        <f t="shared" si="212"/>
        <v>14355.279451487544</v>
      </c>
      <c r="AQ865" s="45">
        <f t="shared" si="213"/>
        <v>1670.8800545564975</v>
      </c>
      <c r="AR865" s="45">
        <f t="shared" si="214"/>
        <v>3197.184018434974</v>
      </c>
      <c r="AS865" s="45">
        <f t="shared" si="215"/>
        <v>1277.7827883910663</v>
      </c>
      <c r="AT865" s="45">
        <f t="shared" si="201"/>
        <v>761.14295214619733</v>
      </c>
      <c r="AU865" s="45">
        <f t="shared" si="202"/>
        <v>1038.2374799220875</v>
      </c>
      <c r="AV865" s="64">
        <f t="shared" si="203"/>
        <v>1383.888836058816</v>
      </c>
      <c r="AW865" s="64">
        <f t="shared" si="204"/>
        <v>1429.0971443525018</v>
      </c>
      <c r="AX865" s="64">
        <f t="shared" si="205"/>
        <v>-131.83881779893485</v>
      </c>
      <c r="AY865" s="64">
        <f t="shared" si="206"/>
        <v>31.963102744176741</v>
      </c>
      <c r="AZ865" s="64">
        <f t="shared" si="207"/>
        <v>-490.90706611368392</v>
      </c>
      <c r="BA865" s="64">
        <f t="shared" si="208"/>
        <v>-422.82276717459098</v>
      </c>
      <c r="BB865" s="65">
        <f t="shared" si="209"/>
        <v>8114.2781200280551</v>
      </c>
      <c r="BC865" s="65">
        <f t="shared" si="210"/>
        <v>35350.522842744307</v>
      </c>
      <c r="BD865" s="66">
        <f t="shared" si="211"/>
        <v>25544.962016777114</v>
      </c>
    </row>
    <row r="866" spans="31:56" x14ac:dyDescent="0.25">
      <c r="AE866" s="71">
        <v>804</v>
      </c>
      <c r="AF866" s="17">
        <v>6.0946897479641988</v>
      </c>
      <c r="AG866" s="18">
        <v>-12735.626291535267</v>
      </c>
      <c r="AH866" s="20">
        <v>11865.174153736411</v>
      </c>
      <c r="AN866" s="23">
        <v>861</v>
      </c>
      <c r="AO866" s="58">
        <v>430.5</v>
      </c>
      <c r="AP866" s="45">
        <f t="shared" si="212"/>
        <v>16144.157198741581</v>
      </c>
      <c r="AQ866" s="45">
        <f t="shared" si="213"/>
        <v>2569.3308187325524</v>
      </c>
      <c r="AR866" s="45">
        <f t="shared" si="214"/>
        <v>3577.7554945080728</v>
      </c>
      <c r="AS866" s="45">
        <f t="shared" si="215"/>
        <v>1796.9015283521101</v>
      </c>
      <c r="AT866" s="45">
        <f t="shared" si="201"/>
        <v>664.81265144717054</v>
      </c>
      <c r="AU866" s="45">
        <f t="shared" si="202"/>
        <v>1230.0437936398087</v>
      </c>
      <c r="AV866" s="64">
        <f t="shared" si="203"/>
        <v>1229.5813583456747</v>
      </c>
      <c r="AW866" s="64">
        <f t="shared" si="204"/>
        <v>1572.3304143720104</v>
      </c>
      <c r="AX866" s="64">
        <f t="shared" si="205"/>
        <v>-122.52314163370811</v>
      </c>
      <c r="AY866" s="64">
        <f t="shared" si="206"/>
        <v>25.188827270853043</v>
      </c>
      <c r="AZ866" s="64">
        <f t="shared" si="207"/>
        <v>-442.24556526479614</v>
      </c>
      <c r="BA866" s="64">
        <f t="shared" si="208"/>
        <v>-367.47544800305496</v>
      </c>
      <c r="BB866" s="65">
        <f t="shared" si="209"/>
        <v>6259.3148413478102</v>
      </c>
      <c r="BC866" s="65">
        <f t="shared" si="210"/>
        <v>36900.0669930121</v>
      </c>
      <c r="BD866" s="66">
        <f t="shared" si="211"/>
        <v>27491.03070208829</v>
      </c>
    </row>
    <row r="867" spans="31:56" x14ac:dyDescent="0.25">
      <c r="AE867" s="71">
        <v>805</v>
      </c>
      <c r="AF867" s="17">
        <v>6.1575216010359952</v>
      </c>
      <c r="AG867" s="18">
        <v>-12867.076127786349</v>
      </c>
      <c r="AH867" s="20">
        <v>12317.627457812105</v>
      </c>
      <c r="AN867" s="23">
        <v>862</v>
      </c>
      <c r="AO867" s="58">
        <v>431</v>
      </c>
      <c r="AP867" s="45">
        <f t="shared" si="212"/>
        <v>18099.238108857407</v>
      </c>
      <c r="AQ867" s="45">
        <f t="shared" si="213"/>
        <v>3775.2925313185597</v>
      </c>
      <c r="AR867" s="45">
        <f t="shared" si="214"/>
        <v>3910.1618202316581</v>
      </c>
      <c r="AS867" s="45">
        <f t="shared" si="215"/>
        <v>2411.9234251720145</v>
      </c>
      <c r="AT867" s="45">
        <f t="shared" si="201"/>
        <v>277.63827051266287</v>
      </c>
      <c r="AU867" s="45">
        <f t="shared" si="202"/>
        <v>1232.5077748417712</v>
      </c>
      <c r="AV867" s="64">
        <f t="shared" si="203"/>
        <v>781.52930642572767</v>
      </c>
      <c r="AW867" s="64">
        <f t="shared" si="204"/>
        <v>1531.4743304788601</v>
      </c>
      <c r="AX867" s="64">
        <f t="shared" si="205"/>
        <v>-113.29861034716076</v>
      </c>
      <c r="AY867" s="64">
        <f t="shared" si="206"/>
        <v>18.510887383210992</v>
      </c>
      <c r="AZ867" s="64">
        <f t="shared" si="207"/>
        <v>-390.59242556590402</v>
      </c>
      <c r="BA867" s="64">
        <f t="shared" si="208"/>
        <v>-317.47744302029992</v>
      </c>
      <c r="BB867" s="65">
        <f t="shared" si="209"/>
        <v>4181.6673103047387</v>
      </c>
      <c r="BC867" s="65">
        <f t="shared" si="210"/>
        <v>38604.39000354844</v>
      </c>
      <c r="BD867" s="66">
        <f t="shared" si="211"/>
        <v>29767.203611462679</v>
      </c>
    </row>
    <row r="868" spans="31:56" x14ac:dyDescent="0.25">
      <c r="AE868" s="71">
        <v>806</v>
      </c>
      <c r="AF868" s="17">
        <v>6.2203534541077907</v>
      </c>
      <c r="AG868" s="18">
        <v>-13026.676355838115</v>
      </c>
      <c r="AH868" s="20">
        <v>12760.934145135085</v>
      </c>
      <c r="AN868" s="23">
        <v>863</v>
      </c>
      <c r="AO868" s="58">
        <v>431.5</v>
      </c>
      <c r="AP868" s="45">
        <f t="shared" si="212"/>
        <v>20123.728586601403</v>
      </c>
      <c r="AQ868" s="45">
        <f t="shared" si="213"/>
        <v>5289.3811876150094</v>
      </c>
      <c r="AR868" s="45">
        <f t="shared" si="214"/>
        <v>4048.9809554879894</v>
      </c>
      <c r="AS868" s="45">
        <f t="shared" si="215"/>
        <v>3028.1773125929003</v>
      </c>
      <c r="AT868" s="45">
        <f t="shared" si="201"/>
        <v>-505.32217756105968</v>
      </c>
      <c r="AU868" s="45">
        <f t="shared" si="202"/>
        <v>814.60697435296674</v>
      </c>
      <c r="AV868" s="64">
        <f t="shared" si="203"/>
        <v>-60.296503061903167</v>
      </c>
      <c r="AW868" s="64">
        <f t="shared" si="204"/>
        <v>1077.2982028727165</v>
      </c>
      <c r="AX868" s="64">
        <f t="shared" si="205"/>
        <v>-104.54477638954133</v>
      </c>
      <c r="AY868" s="64">
        <f t="shared" si="206"/>
        <v>12.273799264049636</v>
      </c>
      <c r="AZ868" s="64">
        <f t="shared" si="207"/>
        <v>-340.48089810961517</v>
      </c>
      <c r="BA868" s="64">
        <f t="shared" si="208"/>
        <v>-274.96502778379937</v>
      </c>
      <c r="BB868" s="65">
        <f t="shared" si="209"/>
        <v>2214.0786564195969</v>
      </c>
      <c r="BC868" s="65">
        <f t="shared" si="210"/>
        <v>40399.301049484129</v>
      </c>
      <c r="BD868" s="66">
        <f t="shared" si="211"/>
        <v>32293.354224508152</v>
      </c>
    </row>
    <row r="869" spans="31:56" x14ac:dyDescent="0.25">
      <c r="AE869" s="71">
        <v>807</v>
      </c>
      <c r="AF869" s="17">
        <v>6.2831853071795871</v>
      </c>
      <c r="AG869" s="18">
        <v>-13213.797106504855</v>
      </c>
      <c r="AH869" s="20">
        <v>13193.344686738044</v>
      </c>
      <c r="AN869" s="23">
        <v>864</v>
      </c>
      <c r="AO869" s="58">
        <v>432</v>
      </c>
      <c r="AP869" s="45">
        <f t="shared" si="212"/>
        <v>22021.888519955133</v>
      </c>
      <c r="AQ869" s="45">
        <f t="shared" si="213"/>
        <v>7007.1215874997015</v>
      </c>
      <c r="AR869" s="45">
        <f t="shared" si="214"/>
        <v>3796.3198667074594</v>
      </c>
      <c r="AS869" s="45">
        <f t="shared" si="215"/>
        <v>3435.4807997693838</v>
      </c>
      <c r="AT869" s="45">
        <f t="shared" si="201"/>
        <v>-1387.1989193605918</v>
      </c>
      <c r="AU869" s="45">
        <f t="shared" si="202"/>
        <v>7.2886319768288388</v>
      </c>
      <c r="AV869" s="64">
        <f t="shared" si="203"/>
        <v>-993.42711335159538</v>
      </c>
      <c r="AW869" s="64">
        <f t="shared" si="204"/>
        <v>242.1690284755926</v>
      </c>
      <c r="AX869" s="64">
        <f t="shared" si="205"/>
        <v>-96.895534917442376</v>
      </c>
      <c r="AY869" s="64">
        <f t="shared" si="206"/>
        <v>6.9010833386122128</v>
      </c>
      <c r="AZ869" s="64">
        <f t="shared" si="207"/>
        <v>-296.87627109155409</v>
      </c>
      <c r="BA869" s="64">
        <f t="shared" si="208"/>
        <v>-241.78147983737597</v>
      </c>
      <c r="BB869" s="65">
        <f t="shared" si="209"/>
        <v>2081.0964217534884</v>
      </c>
      <c r="BC869" s="65">
        <f t="shared" si="210"/>
        <v>42128.332936107821</v>
      </c>
      <c r="BD869" s="66">
        <f t="shared" si="211"/>
        <v>34849.61778487503</v>
      </c>
    </row>
    <row r="870" spans="31:56" x14ac:dyDescent="0.25">
      <c r="AE870" s="71">
        <v>808</v>
      </c>
      <c r="AF870" s="17" cm="1">
        <f t="array" ref="AF870:AF970">$AL$35*AE62:AE162</f>
        <v>0</v>
      </c>
      <c r="AG870" s="18">
        <v>-13427.699899671024</v>
      </c>
      <c r="AH870" s="20">
        <v>13613.152555762865</v>
      </c>
      <c r="AN870" s="23">
        <v>865</v>
      </c>
      <c r="AO870" s="58">
        <v>432.5</v>
      </c>
      <c r="AP870" s="45">
        <f t="shared" si="212"/>
        <v>23573.248723468714</v>
      </c>
      <c r="AQ870" s="45">
        <f t="shared" si="213"/>
        <v>8726.6841453786001</v>
      </c>
      <c r="AR870" s="45">
        <f t="shared" si="214"/>
        <v>3102.7204070271637</v>
      </c>
      <c r="AS870" s="45">
        <f t="shared" si="215"/>
        <v>3439.1251157577981</v>
      </c>
      <c r="AT870" s="45">
        <f t="shared" si="201"/>
        <v>-1885.4649575002438</v>
      </c>
      <c r="AU870" s="45">
        <f t="shared" si="202"/>
        <v>-741.46809221859667</v>
      </c>
      <c r="AV870" s="64">
        <f t="shared" si="203"/>
        <v>-1531.6065735466575</v>
      </c>
      <c r="AW870" s="64">
        <f t="shared" si="204"/>
        <v>-525.795332518441</v>
      </c>
      <c r="AX870" s="64">
        <f t="shared" si="205"/>
        <v>-90.930921139717981</v>
      </c>
      <c r="AY870" s="64">
        <f t="shared" si="206"/>
        <v>2.6572217347697911</v>
      </c>
      <c r="AZ870" s="64">
        <f t="shared" si="207"/>
        <v>-262.92746281386832</v>
      </c>
      <c r="BA870" s="64">
        <f t="shared" si="208"/>
        <v>-218.3299814349254</v>
      </c>
      <c r="BB870" s="65">
        <f t="shared" si="209"/>
        <v>3777.9439424499169</v>
      </c>
      <c r="BC870" s="65">
        <f t="shared" si="210"/>
        <v>43591.849439808102</v>
      </c>
      <c r="BD870" s="66">
        <f t="shared" si="211"/>
        <v>37140.087279754291</v>
      </c>
    </row>
    <row r="871" spans="31:56" x14ac:dyDescent="0.25">
      <c r="AE871" s="71">
        <v>809</v>
      </c>
      <c r="AF871" s="17">
        <v>6.2831853071795868E-2</v>
      </c>
      <c r="AG871" s="18">
        <v>-13667.540558734887</v>
      </c>
      <c r="AH871" s="20">
        <v>14018.700962342475</v>
      </c>
      <c r="AN871" s="23">
        <v>866</v>
      </c>
      <c r="AO871" s="58">
        <v>433</v>
      </c>
      <c r="AP871" s="45">
        <f t="shared" si="212"/>
        <v>24653.242687607235</v>
      </c>
      <c r="AQ871" s="45">
        <f t="shared" si="213"/>
        <v>10260.87968020285</v>
      </c>
      <c r="AR871" s="45">
        <f t="shared" si="214"/>
        <v>2159.9879282770416</v>
      </c>
      <c r="AS871" s="45">
        <f t="shared" si="215"/>
        <v>3068.3910696485</v>
      </c>
      <c r="AT871" s="45">
        <f t="shared" si="201"/>
        <v>-1983.1439104791782</v>
      </c>
      <c r="AU871" s="45">
        <f t="shared" si="202"/>
        <v>-1187.339839065578</v>
      </c>
      <c r="AV871" s="64">
        <f t="shared" si="203"/>
        <v>-1657.6081780670802</v>
      </c>
      <c r="AW871" s="64">
        <f t="shared" si="204"/>
        <v>-983.49839967550679</v>
      </c>
      <c r="AX871" s="64">
        <f t="shared" si="205"/>
        <v>-86.845941434487358</v>
      </c>
      <c r="AY871" s="64">
        <f t="shared" si="206"/>
        <v>-0.50738401210518125</v>
      </c>
      <c r="AZ871" s="64">
        <f t="shared" si="207"/>
        <v>-238.68979097761078</v>
      </c>
      <c r="BA871" s="64">
        <f t="shared" si="208"/>
        <v>-203.334055377966</v>
      </c>
      <c r="BB871" s="65">
        <f t="shared" si="209"/>
        <v>5410.6491401981693</v>
      </c>
      <c r="BC871" s="65">
        <f t="shared" si="210"/>
        <v>44654.004755742702</v>
      </c>
      <c r="BD871" s="66">
        <f t="shared" si="211"/>
        <v>38954.163373223884</v>
      </c>
    </row>
    <row r="872" spans="31:56" x14ac:dyDescent="0.25">
      <c r="AE872" s="71">
        <v>810</v>
      </c>
      <c r="AF872" s="17">
        <v>0.12566370614359174</v>
      </c>
      <c r="AG872" s="18">
        <v>-13932.372542187895</v>
      </c>
      <c r="AH872" s="20">
        <v>14408.389392193549</v>
      </c>
      <c r="AN872" s="23">
        <v>867</v>
      </c>
      <c r="AO872" s="58">
        <v>433.5</v>
      </c>
      <c r="AP872" s="45">
        <f t="shared" si="212"/>
        <v>25237.450674125961</v>
      </c>
      <c r="AQ872" s="45">
        <f t="shared" si="213"/>
        <v>11498.240255260705</v>
      </c>
      <c r="AR872" s="45">
        <f t="shared" si="214"/>
        <v>1168.4159730374527</v>
      </c>
      <c r="AS872" s="45">
        <f t="shared" si="215"/>
        <v>2474.7211501157108</v>
      </c>
      <c r="AT872" s="45">
        <f t="shared" si="201"/>
        <v>-1903.8808097180954</v>
      </c>
      <c r="AU872" s="45">
        <f t="shared" si="202"/>
        <v>-1416.8023127524284</v>
      </c>
      <c r="AV872" s="64">
        <f t="shared" si="203"/>
        <v>-1596.6821101423109</v>
      </c>
      <c r="AW872" s="64">
        <f t="shared" si="204"/>
        <v>-1218.8981023083256</v>
      </c>
      <c r="AX872" s="64">
        <f t="shared" si="205"/>
        <v>-84.563820637541298</v>
      </c>
      <c r="AY872" s="64">
        <f t="shared" si="206"/>
        <v>-2.8007086679240309</v>
      </c>
      <c r="AZ872" s="64">
        <f t="shared" si="207"/>
        <v>-222.63487893824333</v>
      </c>
      <c r="BA872" s="64">
        <f t="shared" si="208"/>
        <v>-195.1035017761788</v>
      </c>
      <c r="BB872" s="65">
        <f t="shared" si="209"/>
        <v>6589.1437002610346</v>
      </c>
      <c r="BC872" s="65">
        <f t="shared" si="210"/>
        <v>45262.25433356654</v>
      </c>
      <c r="BD872" s="66">
        <f t="shared" si="211"/>
        <v>40205.225529720876</v>
      </c>
    </row>
    <row r="873" spans="31:56" x14ac:dyDescent="0.25">
      <c r="AE873" s="71">
        <v>811</v>
      </c>
      <c r="AF873" s="17">
        <v>0.1884955592153876</v>
      </c>
      <c r="AG873" s="18">
        <v>-14221.150679181581</v>
      </c>
      <c r="AH873" s="20">
        <v>14780.679923115173</v>
      </c>
      <c r="AN873" s="23">
        <v>868</v>
      </c>
      <c r="AO873" s="58">
        <v>434</v>
      </c>
      <c r="AP873" s="45">
        <f t="shared" si="212"/>
        <v>25345.688458215162</v>
      </c>
      <c r="AQ873" s="45">
        <f t="shared" si="213"/>
        <v>12381.400252130454</v>
      </c>
      <c r="AR873" s="45">
        <f t="shared" si="214"/>
        <v>216.47556817840496</v>
      </c>
      <c r="AS873" s="45">
        <f t="shared" si="215"/>
        <v>1766.3199937394966</v>
      </c>
      <c r="AT873" s="45">
        <f t="shared" si="201"/>
        <v>-1784.8999929534834</v>
      </c>
      <c r="AU873" s="45">
        <f t="shared" si="202"/>
        <v>-1555.2989497792323</v>
      </c>
      <c r="AV873" s="64">
        <f t="shared" si="203"/>
        <v>-1487.6671738534142</v>
      </c>
      <c r="AW873" s="64">
        <f t="shared" si="204"/>
        <v>-1358.4590599129087</v>
      </c>
      <c r="AX873" s="64">
        <f t="shared" si="205"/>
        <v>-83.970448340133558</v>
      </c>
      <c r="AY873" s="64">
        <f t="shared" si="206"/>
        <v>-4.4098403541268496</v>
      </c>
      <c r="AZ873" s="64">
        <f t="shared" si="207"/>
        <v>-213.26237075993583</v>
      </c>
      <c r="BA873" s="64">
        <f t="shared" si="208"/>
        <v>-192.43004951219689</v>
      </c>
      <c r="BB873" s="65">
        <f t="shared" si="209"/>
        <v>7239.092036560528</v>
      </c>
      <c r="BC873" s="65">
        <f t="shared" si="210"/>
        <v>45408.176894809978</v>
      </c>
      <c r="BD873" s="66">
        <f t="shared" si="211"/>
        <v>40872.997049034981</v>
      </c>
    </row>
    <row r="874" spans="31:56" x14ac:dyDescent="0.25">
      <c r="AE874" s="71">
        <v>812</v>
      </c>
      <c r="AF874" s="17">
        <v>0.25132741228718347</v>
      </c>
      <c r="AG874" s="18">
        <v>-14532.735294339414</v>
      </c>
      <c r="AH874" s="20">
        <v>15134.103294465165</v>
      </c>
      <c r="AN874" s="23">
        <v>869</v>
      </c>
      <c r="AO874" s="58">
        <v>434.5</v>
      </c>
      <c r="AP874" s="45">
        <f t="shared" si="212"/>
        <v>25007.701244065996</v>
      </c>
      <c r="AQ874" s="45">
        <f t="shared" si="213"/>
        <v>12875.735511555395</v>
      </c>
      <c r="AR874" s="45">
        <f t="shared" si="214"/>
        <v>-675.97442829833676</v>
      </c>
      <c r="AS874" s="45">
        <f t="shared" si="215"/>
        <v>988.67051884988041</v>
      </c>
      <c r="AT874" s="45">
        <f t="shared" si="201"/>
        <v>-1667.0163081145786</v>
      </c>
      <c r="AU874" s="45">
        <f t="shared" si="202"/>
        <v>-1673.3840822812674</v>
      </c>
      <c r="AV874" s="64">
        <f t="shared" si="203"/>
        <v>-1372.331900555597</v>
      </c>
      <c r="AW874" s="64">
        <f t="shared" si="204"/>
        <v>-1473.1895877772147</v>
      </c>
      <c r="AX874" s="64">
        <f t="shared" si="205"/>
        <v>-85.027073754469527</v>
      </c>
      <c r="AY874" s="64">
        <f t="shared" si="206"/>
        <v>-5.4327452564933116</v>
      </c>
      <c r="AZ874" s="64">
        <f t="shared" si="207"/>
        <v>-209.65733380451206</v>
      </c>
      <c r="BA874" s="64">
        <f t="shared" si="208"/>
        <v>-194.76174924755949</v>
      </c>
      <c r="BB874" s="65">
        <f t="shared" si="209"/>
        <v>7346.8091060009092</v>
      </c>
      <c r="BC874" s="65">
        <f t="shared" si="210"/>
        <v>45099.479221023386</v>
      </c>
      <c r="BD874" s="66">
        <f t="shared" si="211"/>
        <v>40957.523902981615</v>
      </c>
    </row>
    <row r="875" spans="31:56" x14ac:dyDescent="0.25">
      <c r="AE875" s="71">
        <v>813</v>
      </c>
      <c r="AF875" s="17">
        <v>0.31415926535897931</v>
      </c>
      <c r="AG875" s="18">
        <v>-14865.896705534837</v>
      </c>
      <c r="AH875" s="20">
        <v>15467.264705660586</v>
      </c>
      <c r="AN875" s="23">
        <v>870</v>
      </c>
      <c r="AO875" s="58">
        <v>435</v>
      </c>
      <c r="AP875" s="45">
        <f t="shared" si="212"/>
        <v>24252.959952888184</v>
      </c>
      <c r="AQ875" s="45">
        <f t="shared" si="213"/>
        <v>12951.724750410018</v>
      </c>
      <c r="AR875" s="45">
        <f t="shared" si="214"/>
        <v>-1509.4825823556262</v>
      </c>
      <c r="AS875" s="45">
        <f t="shared" si="215"/>
        <v>151.9784777092467</v>
      </c>
      <c r="AT875" s="45">
        <f t="shared" si="201"/>
        <v>-1538.561695188534</v>
      </c>
      <c r="AU875" s="45">
        <f t="shared" si="202"/>
        <v>-1796.4944846131534</v>
      </c>
      <c r="AV875" s="64">
        <f t="shared" si="203"/>
        <v>-1239.192352919413</v>
      </c>
      <c r="AW875" s="64">
        <f t="shared" si="204"/>
        <v>-1588.4785410080738</v>
      </c>
      <c r="AX875" s="64">
        <f t="shared" si="205"/>
        <v>-87.798535754118376</v>
      </c>
      <c r="AY875" s="64">
        <f t="shared" si="206"/>
        <v>-5.85626614154374</v>
      </c>
      <c r="AZ875" s="64">
        <f t="shared" si="207"/>
        <v>-211.57080651500274</v>
      </c>
      <c r="BA875" s="64">
        <f t="shared" si="208"/>
        <v>-202.15967746353601</v>
      </c>
      <c r="BB875" s="65">
        <f t="shared" si="209"/>
        <v>6914.4031640557268</v>
      </c>
      <c r="BC875" s="65">
        <f t="shared" si="210"/>
        <v>44351.292468135674</v>
      </c>
      <c r="BD875" s="66">
        <f t="shared" si="211"/>
        <v>40460.28401442535</v>
      </c>
    </row>
    <row r="876" spans="31:56" x14ac:dyDescent="0.25">
      <c r="AE876" s="71">
        <v>814</v>
      </c>
      <c r="AF876" s="17">
        <v>0.37699111843077521</v>
      </c>
      <c r="AG876" s="18">
        <v>-15219.320076884827</v>
      </c>
      <c r="AH876" s="20">
        <v>15778.849320818419</v>
      </c>
      <c r="AN876" s="23">
        <v>871</v>
      </c>
      <c r="AO876" s="58">
        <v>435.5</v>
      </c>
      <c r="AP876" s="45">
        <f t="shared" si="212"/>
        <v>23113.57823791324</v>
      </c>
      <c r="AQ876" s="45">
        <f t="shared" si="213"/>
        <v>12578.590368111352</v>
      </c>
      <c r="AR876" s="45">
        <f t="shared" si="214"/>
        <v>-2278.7634299498932</v>
      </c>
      <c r="AS876" s="45">
        <f t="shared" si="215"/>
        <v>-746.26876459733001</v>
      </c>
      <c r="AT876" s="45">
        <f t="shared" si="201"/>
        <v>-1345.6238606335301</v>
      </c>
      <c r="AU876" s="45">
        <f t="shared" si="202"/>
        <v>-1906.9484543879694</v>
      </c>
      <c r="AV876" s="64">
        <f t="shared" si="203"/>
        <v>-1033.7478328920131</v>
      </c>
      <c r="AW876" s="64">
        <f t="shared" si="204"/>
        <v>-1686.1570148627345</v>
      </c>
      <c r="AX876" s="64">
        <f t="shared" si="205"/>
        <v>-92.437386295602309</v>
      </c>
      <c r="AY876" s="64">
        <f t="shared" si="206"/>
        <v>-5.5286098648527604</v>
      </c>
      <c r="AZ876" s="64">
        <f t="shared" si="207"/>
        <v>-219.43864144591464</v>
      </c>
      <c r="BA876" s="64">
        <f t="shared" si="208"/>
        <v>-215.2628296603821</v>
      </c>
      <c r="BB876" s="65">
        <f t="shared" si="209"/>
        <v>5957.0504086066212</v>
      </c>
      <c r="BC876" s="65">
        <f t="shared" si="210"/>
        <v>43190.621166674406</v>
      </c>
      <c r="BD876" s="66">
        <f t="shared" si="211"/>
        <v>39382.127012533914</v>
      </c>
    </row>
    <row r="877" spans="31:56" x14ac:dyDescent="0.25">
      <c r="AE877" s="71">
        <v>815</v>
      </c>
      <c r="AF877" s="17">
        <v>0.4398229715025711</v>
      </c>
      <c r="AG877" s="18">
        <v>-15591.610607806451</v>
      </c>
      <c r="AH877" s="20">
        <v>16067.627457812105</v>
      </c>
      <c r="AN877" s="23">
        <v>872</v>
      </c>
      <c r="AO877" s="58">
        <v>436</v>
      </c>
      <c r="AP877" s="45">
        <f t="shared" si="212"/>
        <v>21637.79055777991</v>
      </c>
      <c r="AQ877" s="45">
        <f t="shared" si="213"/>
        <v>11728.718872215695</v>
      </c>
      <c r="AR877" s="45">
        <f t="shared" si="214"/>
        <v>-2951.5753602666582</v>
      </c>
      <c r="AS877" s="45">
        <f t="shared" si="215"/>
        <v>-1699.7429917913146</v>
      </c>
      <c r="AT877" s="45">
        <f t="shared" si="201"/>
        <v>-981.3143671278815</v>
      </c>
      <c r="AU877" s="45">
        <f t="shared" si="202"/>
        <v>-1911.8972112447234</v>
      </c>
      <c r="AV877" s="64">
        <f t="shared" si="203"/>
        <v>-647.78104668292235</v>
      </c>
      <c r="AW877" s="64">
        <f t="shared" si="204"/>
        <v>-1672.5483757122877</v>
      </c>
      <c r="AX877" s="64">
        <f t="shared" si="205"/>
        <v>-99.09912811280509</v>
      </c>
      <c r="AY877" s="64">
        <f t="shared" si="206"/>
        <v>-4.1144001805522654</v>
      </c>
      <c r="AZ877" s="64">
        <f t="shared" si="207"/>
        <v>-234.434192332154</v>
      </c>
      <c r="BA877" s="64">
        <f t="shared" si="208"/>
        <v>-235.23443535188338</v>
      </c>
      <c r="BB877" s="65">
        <f t="shared" si="209"/>
        <v>4534.8011214810967</v>
      </c>
      <c r="BC877" s="65">
        <f t="shared" si="210"/>
        <v>41673.661603855981</v>
      </c>
      <c r="BD877" s="66">
        <f t="shared" si="211"/>
        <v>37735.8754814313</v>
      </c>
    </row>
    <row r="878" spans="31:56" x14ac:dyDescent="0.25">
      <c r="AE878" s="71">
        <v>816</v>
      </c>
      <c r="AF878" s="17">
        <v>0.50265482457436694</v>
      </c>
      <c r="AG878" s="18">
        <v>-15981.299037657525</v>
      </c>
      <c r="AH878" s="20">
        <v>16332.459441265113</v>
      </c>
      <c r="AN878" s="23">
        <v>873</v>
      </c>
      <c r="AO878" s="58">
        <v>436.5</v>
      </c>
      <c r="AP878" s="45">
        <f t="shared" si="212"/>
        <v>19916.67428586461</v>
      </c>
      <c r="AQ878" s="45">
        <f t="shared" si="213"/>
        <v>10400.873073508857</v>
      </c>
      <c r="AR878" s="45">
        <f t="shared" si="214"/>
        <v>-3442.2325438305988</v>
      </c>
      <c r="AS878" s="45">
        <f t="shared" si="215"/>
        <v>-2655.6915974136764</v>
      </c>
      <c r="AT878" s="45">
        <f t="shared" si="201"/>
        <v>-327.4467110174092</v>
      </c>
      <c r="AU878" s="45">
        <f t="shared" si="202"/>
        <v>-1609.9013966931166</v>
      </c>
      <c r="AV878" s="64">
        <f t="shared" si="203"/>
        <v>38.645728527553452</v>
      </c>
      <c r="AW878" s="64">
        <f t="shared" si="204"/>
        <v>-1345.3992498589296</v>
      </c>
      <c r="AX878" s="64">
        <f t="shared" si="205"/>
        <v>-107.69322845041798</v>
      </c>
      <c r="AY878" s="64">
        <f t="shared" si="206"/>
        <v>-1.0815358808661704</v>
      </c>
      <c r="AZ878" s="64">
        <f t="shared" si="207"/>
        <v>-258.39921109454468</v>
      </c>
      <c r="BA878" s="64">
        <f t="shared" si="208"/>
        <v>-263.42061095332076</v>
      </c>
      <c r="BB878" s="65">
        <f t="shared" si="209"/>
        <v>2902.0695655419595</v>
      </c>
      <c r="BC878" s="65">
        <f t="shared" si="210"/>
        <v>39918.687168603996</v>
      </c>
      <c r="BD878" s="66">
        <f t="shared" si="211"/>
        <v>35581.526251193522</v>
      </c>
    </row>
    <row r="879" spans="31:56" x14ac:dyDescent="0.25">
      <c r="AE879" s="71">
        <v>817</v>
      </c>
      <c r="AF879" s="17">
        <v>0.56548667764616278</v>
      </c>
      <c r="AG879" s="18">
        <v>-16386.847444237137</v>
      </c>
      <c r="AH879" s="20">
        <v>16572.300100328976</v>
      </c>
      <c r="AN879" s="23">
        <v>874</v>
      </c>
      <c r="AO879" s="58">
        <v>437</v>
      </c>
      <c r="AP879" s="45">
        <f t="shared" si="212"/>
        <v>18113.696336194957</v>
      </c>
      <c r="AQ879" s="45">
        <f t="shared" si="213"/>
        <v>8670.5519256287407</v>
      </c>
      <c r="AR879" s="45">
        <f t="shared" si="214"/>
        <v>-3605.9558993393034</v>
      </c>
      <c r="AS879" s="45">
        <f t="shared" si="215"/>
        <v>-3460.6422957602344</v>
      </c>
      <c r="AT879" s="45">
        <f t="shared" si="201"/>
        <v>508.34779735496795</v>
      </c>
      <c r="AU879" s="45">
        <f t="shared" si="202"/>
        <v>-866.33175872132756</v>
      </c>
      <c r="AV879" s="64">
        <f t="shared" si="203"/>
        <v>918.90596070703748</v>
      </c>
      <c r="AW879" s="64">
        <f t="shared" si="204"/>
        <v>-570.23010791783133</v>
      </c>
      <c r="AX879" s="64">
        <f t="shared" si="205"/>
        <v>-117.42289187049694</v>
      </c>
      <c r="AY879" s="64">
        <f t="shared" si="206"/>
        <v>4.0958409309696879</v>
      </c>
      <c r="AZ879" s="64">
        <f t="shared" si="207"/>
        <v>-293.13527148157254</v>
      </c>
      <c r="BA879" s="64">
        <f t="shared" si="208"/>
        <v>-300.19749173446587</v>
      </c>
      <c r="BB879" s="65">
        <f t="shared" si="209"/>
        <v>2219.9849825342253</v>
      </c>
      <c r="BC879" s="65">
        <f t="shared" si="210"/>
        <v>38136.875600789986</v>
      </c>
      <c r="BD879" s="66">
        <f t="shared" si="211"/>
        <v>33083.802483779262</v>
      </c>
    </row>
    <row r="880" spans="31:56" x14ac:dyDescent="0.25">
      <c r="AE880" s="71">
        <v>818</v>
      </c>
      <c r="AF880" s="17">
        <v>0.62831853071795862</v>
      </c>
      <c r="AG880" s="18">
        <v>-16806.655313261956</v>
      </c>
      <c r="AH880" s="20">
        <v>16786.202893495145</v>
      </c>
      <c r="AN880" s="23">
        <v>875</v>
      </c>
      <c r="AO880" s="58">
        <v>437.5</v>
      </c>
      <c r="AP880" s="45">
        <f t="shared" si="212"/>
        <v>16437.805335864046</v>
      </c>
      <c r="AQ880" s="45">
        <f t="shared" si="213"/>
        <v>6723.647838068292</v>
      </c>
      <c r="AR880" s="45">
        <f t="shared" si="214"/>
        <v>-3351.7820006618194</v>
      </c>
      <c r="AS880" s="45">
        <f t="shared" si="215"/>
        <v>-3893.8081751208983</v>
      </c>
      <c r="AT880" s="45">
        <f t="shared" si="201"/>
        <v>1081.2896501873611</v>
      </c>
      <c r="AU880" s="45">
        <f t="shared" si="202"/>
        <v>5.1414076008168763</v>
      </c>
      <c r="AV880" s="64">
        <f t="shared" si="203"/>
        <v>1546.7412679737938</v>
      </c>
      <c r="AW880" s="64">
        <f t="shared" si="204"/>
        <v>337.10002977384056</v>
      </c>
      <c r="AX880" s="64">
        <f t="shared" si="205"/>
        <v>-126.62510385705656</v>
      </c>
      <c r="AY880" s="64">
        <f t="shared" si="206"/>
        <v>11.38565917878041</v>
      </c>
      <c r="AZ880" s="64">
        <f t="shared" si="207"/>
        <v>-338.82651392937635</v>
      </c>
      <c r="BA880" s="64">
        <f t="shared" si="208"/>
        <v>-343.34428135180411</v>
      </c>
      <c r="BB880" s="65">
        <f t="shared" si="209"/>
        <v>3645.8131472326854</v>
      </c>
      <c r="BC880" s="65">
        <f t="shared" si="210"/>
        <v>36584.807518740847</v>
      </c>
      <c r="BD880" s="66">
        <f t="shared" si="211"/>
        <v>30520.425505074632</v>
      </c>
    </row>
    <row r="881" spans="31:56" x14ac:dyDescent="0.25">
      <c r="AE881" s="71">
        <v>819</v>
      </c>
      <c r="AF881" s="17">
        <v>0.69115038378975457</v>
      </c>
      <c r="AG881" s="18">
        <v>-17239.065854864915</v>
      </c>
      <c r="AH881" s="20">
        <v>16973.323644161886</v>
      </c>
      <c r="AN881" s="23">
        <v>876</v>
      </c>
      <c r="AO881" s="58">
        <v>438</v>
      </c>
      <c r="AP881" s="45">
        <f t="shared" si="212"/>
        <v>15032.236748079977</v>
      </c>
      <c r="AQ881" s="45">
        <f t="shared" si="213"/>
        <v>4778.0291024080479</v>
      </c>
      <c r="AR881" s="45">
        <f t="shared" si="214"/>
        <v>-2811.1371755681389</v>
      </c>
      <c r="AS881" s="45">
        <f t="shared" si="215"/>
        <v>-3891.2374713204899</v>
      </c>
      <c r="AT881" s="45">
        <f t="shared" si="201"/>
        <v>1186.333084848678</v>
      </c>
      <c r="AU881" s="45">
        <f t="shared" si="202"/>
        <v>570.34299446248269</v>
      </c>
      <c r="AV881" s="64">
        <f t="shared" si="203"/>
        <v>1713.4264468598637</v>
      </c>
      <c r="AW881" s="64">
        <f t="shared" si="204"/>
        <v>938.83236519259503</v>
      </c>
      <c r="AX881" s="64">
        <f t="shared" si="205"/>
        <v>-133.68441097792928</v>
      </c>
      <c r="AY881" s="64">
        <f t="shared" si="206"/>
        <v>19.927248968101633</v>
      </c>
      <c r="AZ881" s="64">
        <f t="shared" si="207"/>
        <v>-393.40895103325636</v>
      </c>
      <c r="BA881" s="64">
        <f t="shared" si="208"/>
        <v>-388.41661969821399</v>
      </c>
      <c r="BB881" s="65">
        <f t="shared" si="209"/>
        <v>5664.6091916799114</v>
      </c>
      <c r="BC881" s="65">
        <f t="shared" si="210"/>
        <v>35419.296882191527</v>
      </c>
      <c r="BD881" s="66">
        <f t="shared" si="211"/>
        <v>28150.682839086257</v>
      </c>
    </row>
    <row r="882" spans="31:56" x14ac:dyDescent="0.25">
      <c r="AE882" s="71">
        <v>820</v>
      </c>
      <c r="AF882" s="17">
        <v>0.75398223686155041</v>
      </c>
      <c r="AG882" s="18">
        <v>-17682.372542187895</v>
      </c>
      <c r="AH882" s="20">
        <v>17132.923872213651</v>
      </c>
      <c r="AN882" s="23">
        <v>877</v>
      </c>
      <c r="AO882" s="58">
        <v>438.5</v>
      </c>
      <c r="AP882" s="45">
        <f t="shared" si="212"/>
        <v>13923.251431508077</v>
      </c>
      <c r="AQ882" s="45">
        <f t="shared" si="213"/>
        <v>2974.9961153634235</v>
      </c>
      <c r="AR882" s="45">
        <f t="shared" si="214"/>
        <v>-2217.9706331438001</v>
      </c>
      <c r="AS882" s="45">
        <f t="shared" si="215"/>
        <v>-3606.0659740892488</v>
      </c>
      <c r="AT882" s="45">
        <f t="shared" si="201"/>
        <v>1019.4172763859407</v>
      </c>
      <c r="AU882" s="45">
        <f t="shared" si="202"/>
        <v>797.29822272441379</v>
      </c>
      <c r="AV882" s="64">
        <f t="shared" si="203"/>
        <v>1611.2106092469601</v>
      </c>
      <c r="AW882" s="64">
        <f t="shared" si="204"/>
        <v>1199.775535162468</v>
      </c>
      <c r="AX882" s="64">
        <f t="shared" si="205"/>
        <v>-137.99862425210085</v>
      </c>
      <c r="AY882" s="64">
        <f t="shared" si="206"/>
        <v>28.577475051377018</v>
      </c>
      <c r="AZ882" s="64">
        <f t="shared" si="207"/>
        <v>-453.79470860891854</v>
      </c>
      <c r="BA882" s="64">
        <f t="shared" si="208"/>
        <v>-431.05478748943119</v>
      </c>
      <c r="BB882" s="65">
        <f t="shared" si="209"/>
        <v>7576.4459557661166</v>
      </c>
      <c r="BC882" s="65">
        <f t="shared" si="210"/>
        <v>34643.003150195771</v>
      </c>
      <c r="BD882" s="66">
        <f t="shared" si="211"/>
        <v>26099.61551608381</v>
      </c>
    </row>
    <row r="883" spans="31:56" x14ac:dyDescent="0.25">
      <c r="AE883" s="71">
        <v>821</v>
      </c>
      <c r="AF883" s="17">
        <v>0.81681408993334625</v>
      </c>
      <c r="AG883" s="18">
        <v>-18134.825846263589</v>
      </c>
      <c r="AH883" s="20">
        <v>17264.373708464733</v>
      </c>
      <c r="AN883" s="23">
        <v>878</v>
      </c>
      <c r="AO883" s="58">
        <v>439</v>
      </c>
      <c r="AP883" s="45">
        <f t="shared" si="212"/>
        <v>13069.120434032662</v>
      </c>
      <c r="AQ883" s="45">
        <f t="shared" si="213"/>
        <v>1371.2876839999026</v>
      </c>
      <c r="AR883" s="45">
        <f t="shared" si="214"/>
        <v>-1708.2619949508298</v>
      </c>
      <c r="AS883" s="45">
        <f t="shared" si="215"/>
        <v>-3207.4168627270419</v>
      </c>
      <c r="AT883" s="45">
        <f t="shared" si="201"/>
        <v>778.45080780736623</v>
      </c>
      <c r="AU883" s="45">
        <f t="shared" si="202"/>
        <v>837.29260240256076</v>
      </c>
      <c r="AV883" s="64">
        <f t="shared" si="203"/>
        <v>1435.2458936796465</v>
      </c>
      <c r="AW883" s="64">
        <f t="shared" si="204"/>
        <v>1269.1331744206027</v>
      </c>
      <c r="AX883" s="64">
        <f t="shared" si="205"/>
        <v>-139.88400642149662</v>
      </c>
      <c r="AY883" s="64">
        <f t="shared" si="206"/>
        <v>36.499877625363652</v>
      </c>
      <c r="AZ883" s="64">
        <f t="shared" si="207"/>
        <v>-516.91107945078363</v>
      </c>
      <c r="BA883" s="64">
        <f t="shared" si="208"/>
        <v>-468.34044964340575</v>
      </c>
      <c r="BB883" s="65">
        <f t="shared" si="209"/>
        <v>9251.9298641005098</v>
      </c>
      <c r="BC883" s="65">
        <f t="shared" si="210"/>
        <v>34176.328101667808</v>
      </c>
      <c r="BD883" s="66">
        <f t="shared" si="211"/>
        <v>24382.620320463171</v>
      </c>
    </row>
    <row r="884" spans="31:56" x14ac:dyDescent="0.25">
      <c r="AE884" s="71">
        <v>822</v>
      </c>
      <c r="AF884" s="17">
        <v>0.87964594300514221</v>
      </c>
      <c r="AG884" s="18">
        <v>-18594.640140607065</v>
      </c>
      <c r="AH884" s="20">
        <v>17367.154380465166</v>
      </c>
      <c r="AN884" s="23">
        <v>879</v>
      </c>
      <c r="AO884" s="58">
        <v>439.5</v>
      </c>
      <c r="AP884" s="45">
        <f t="shared" si="212"/>
        <v>12409.602138509088</v>
      </c>
      <c r="AQ884" s="45">
        <f t="shared" si="213"/>
        <v>-23.097596762978185</v>
      </c>
      <c r="AR884" s="45">
        <f t="shared" si="214"/>
        <v>-1319.0365910471467</v>
      </c>
      <c r="AS884" s="45">
        <f t="shared" si="215"/>
        <v>-2788.7705615257614</v>
      </c>
      <c r="AT884" s="45">
        <f t="shared" si="201"/>
        <v>547.54905257402811</v>
      </c>
      <c r="AU884" s="45">
        <f t="shared" si="202"/>
        <v>800.72279737015879</v>
      </c>
      <c r="AV884" s="64">
        <f t="shared" si="203"/>
        <v>1267.6521371544472</v>
      </c>
      <c r="AW884" s="64">
        <f t="shared" si="204"/>
        <v>1256.412499131485</v>
      </c>
      <c r="AX884" s="64">
        <f t="shared" si="205"/>
        <v>-140.04861993647427</v>
      </c>
      <c r="AY884" s="64">
        <f t="shared" si="206"/>
        <v>43.311885777435876</v>
      </c>
      <c r="AZ884" s="64">
        <f t="shared" si="207"/>
        <v>-580.05446464394481</v>
      </c>
      <c r="BA884" s="64">
        <f t="shared" si="208"/>
        <v>-499.00158753876207</v>
      </c>
      <c r="BB884" s="65">
        <f t="shared" si="209"/>
        <v>10686.961080969029</v>
      </c>
      <c r="BC884" s="65">
        <f t="shared" si="210"/>
        <v>33924.103469519847</v>
      </c>
      <c r="BD884" s="66">
        <f t="shared" si="211"/>
        <v>22965.231377394546</v>
      </c>
    </row>
    <row r="885" spans="31:56" x14ac:dyDescent="0.25">
      <c r="AE885" s="71">
        <v>823</v>
      </c>
      <c r="AF885" s="17">
        <v>0.94247779607693805</v>
      </c>
      <c r="AG885" s="18">
        <v>-19060.000748267717</v>
      </c>
      <c r="AH885" s="20">
        <v>17440.860259858586</v>
      </c>
      <c r="AN885" s="23">
        <v>880</v>
      </c>
      <c r="AO885" s="58">
        <v>440</v>
      </c>
      <c r="AP885" s="45">
        <f t="shared" si="212"/>
        <v>11886.971106129022</v>
      </c>
      <c r="AQ885" s="45">
        <f t="shared" si="213"/>
        <v>-1217.302178183319</v>
      </c>
      <c r="AR885" s="45">
        <f t="shared" si="214"/>
        <v>-1045.2620647601325</v>
      </c>
      <c r="AS885" s="45">
        <f t="shared" si="215"/>
        <v>-2388.4091628406823</v>
      </c>
      <c r="AT885" s="45">
        <f t="shared" si="201"/>
        <v>349.41910947372651</v>
      </c>
      <c r="AU885" s="45">
        <f t="shared" si="202"/>
        <v>739.60243857676392</v>
      </c>
      <c r="AV885" s="64">
        <f t="shared" si="203"/>
        <v>1129.700362731118</v>
      </c>
      <c r="AW885" s="64">
        <f t="shared" si="204"/>
        <v>1213.8425194282406</v>
      </c>
      <c r="AX885" s="64">
        <f t="shared" si="205"/>
        <v>-139.22157875121661</v>
      </c>
      <c r="AY885" s="64">
        <f t="shared" si="206"/>
        <v>48.975818787503741</v>
      </c>
      <c r="AZ885" s="64">
        <f t="shared" si="207"/>
        <v>-641.05967450617493</v>
      </c>
      <c r="BA885" s="64">
        <f t="shared" si="208"/>
        <v>-523.21589963898055</v>
      </c>
      <c r="BB885" s="65">
        <f t="shared" si="209"/>
        <v>11908.50935669721</v>
      </c>
      <c r="BC885" s="65">
        <f t="shared" si="210"/>
        <v>33802.467283909667</v>
      </c>
      <c r="BD885" s="66">
        <f t="shared" si="211"/>
        <v>21797.535465890331</v>
      </c>
    </row>
    <row r="886" spans="31:56" x14ac:dyDescent="0.25">
      <c r="AE886" s="71">
        <v>824</v>
      </c>
      <c r="AF886" s="17">
        <v>1.0053096491487339</v>
      </c>
      <c r="AG886" s="18">
        <v>-19529.07110353015</v>
      </c>
      <c r="AH886" s="20">
        <v>17485.200463212037</v>
      </c>
      <c r="AN886" s="23">
        <v>881</v>
      </c>
      <c r="AO886" s="58">
        <v>440.5</v>
      </c>
      <c r="AP886" s="45">
        <f t="shared" si="212"/>
        <v>11451.694851117387</v>
      </c>
      <c r="AQ886" s="45">
        <f t="shared" si="213"/>
        <v>-2226.6061499594693</v>
      </c>
      <c r="AR886" s="45">
        <f t="shared" si="214"/>
        <v>-870.55251002326918</v>
      </c>
      <c r="AS886" s="45">
        <f t="shared" si="215"/>
        <v>-2018.6079435523002</v>
      </c>
      <c r="AT886" s="45">
        <f t="shared" si="201"/>
        <v>185.5826963646025</v>
      </c>
      <c r="AU886" s="45">
        <f t="shared" si="202"/>
        <v>674.2571766369515</v>
      </c>
      <c r="AV886" s="64">
        <f t="shared" si="203"/>
        <v>1022.0068557853386</v>
      </c>
      <c r="AW886" s="64">
        <f t="shared" si="204"/>
        <v>1162.8805939481235</v>
      </c>
      <c r="AX886" s="64">
        <f t="shared" si="205"/>
        <v>-137.99940241121286</v>
      </c>
      <c r="AY886" s="64">
        <f t="shared" si="206"/>
        <v>53.646213668250795</v>
      </c>
      <c r="AZ886" s="64">
        <f t="shared" si="207"/>
        <v>-698.42475700952332</v>
      </c>
      <c r="BA886" s="64">
        <f t="shared" si="208"/>
        <v>-542.2696309794228</v>
      </c>
      <c r="BB886" s="65">
        <f t="shared" si="209"/>
        <v>12949.146231116643</v>
      </c>
      <c r="BC886" s="65">
        <f t="shared" si="210"/>
        <v>33744.614488152481</v>
      </c>
      <c r="BD886" s="66">
        <f t="shared" si="211"/>
        <v>20828.294551463776</v>
      </c>
    </row>
    <row r="887" spans="31:56" x14ac:dyDescent="0.25">
      <c r="AE887" s="71">
        <v>825</v>
      </c>
      <c r="AF887" s="17">
        <v>1.0681415022205298</v>
      </c>
      <c r="AG887" s="18">
        <v>-20000</v>
      </c>
      <c r="AH887" s="20">
        <v>17500</v>
      </c>
      <c r="AN887" s="23">
        <v>882</v>
      </c>
      <c r="AO887" s="58">
        <v>441</v>
      </c>
      <c r="AP887" s="45">
        <f t="shared" si="212"/>
        <v>11062.814270196903</v>
      </c>
      <c r="AQ887" s="45">
        <f t="shared" si="213"/>
        <v>-3067.3458275763815</v>
      </c>
      <c r="AR887" s="45">
        <f t="shared" si="214"/>
        <v>-777.76116184096793</v>
      </c>
      <c r="AS887" s="45">
        <f t="shared" si="215"/>
        <v>-1681.4793552338244</v>
      </c>
      <c r="AT887" s="45">
        <f t="shared" si="201"/>
        <v>51.875157013146804</v>
      </c>
      <c r="AU887" s="45">
        <f t="shared" si="202"/>
        <v>610.90690087392909</v>
      </c>
      <c r="AV887" s="64">
        <f t="shared" si="203"/>
        <v>940.04256548141507</v>
      </c>
      <c r="AW887" s="64">
        <f t="shared" si="204"/>
        <v>1111.508161787199</v>
      </c>
      <c r="AX887" s="64">
        <f t="shared" si="205"/>
        <v>-136.81895782728802</v>
      </c>
      <c r="AY887" s="64">
        <f t="shared" si="206"/>
        <v>57.556299379258654</v>
      </c>
      <c r="AZ887" s="64">
        <f t="shared" si="207"/>
        <v>-751.34845064098022</v>
      </c>
      <c r="BA887" s="64">
        <f t="shared" si="208"/>
        <v>-558.15756029252861</v>
      </c>
      <c r="BB887" s="65">
        <f t="shared" si="209"/>
        <v>13839.873070537607</v>
      </c>
      <c r="BC887" s="65">
        <f t="shared" si="210"/>
        <v>33699.465238520126</v>
      </c>
      <c r="BD887" s="66">
        <f t="shared" si="211"/>
        <v>20010.05342015608</v>
      </c>
    </row>
    <row r="888" spans="31:56" x14ac:dyDescent="0.25">
      <c r="AE888" s="71">
        <v>826</v>
      </c>
      <c r="AF888" s="17">
        <v>1.1309733552923256</v>
      </c>
      <c r="AG888" s="18">
        <v>-20470.92889646985</v>
      </c>
      <c r="AH888" s="20">
        <v>17485.200463212037</v>
      </c>
      <c r="AN888" s="23">
        <v>883</v>
      </c>
      <c r="AO888" s="58">
        <v>441.5</v>
      </c>
      <c r="AP888" s="45">
        <f t="shared" si="212"/>
        <v>10686.902478529706</v>
      </c>
      <c r="AQ888" s="45">
        <f t="shared" si="213"/>
        <v>-3755.3587799748111</v>
      </c>
      <c r="AR888" s="45">
        <f t="shared" si="214"/>
        <v>-751.82358333439447</v>
      </c>
      <c r="AS888" s="45">
        <f t="shared" si="215"/>
        <v>-1376.0259047968598</v>
      </c>
      <c r="AT888" s="45">
        <f t="shared" si="201"/>
        <v>-56.801000243789076</v>
      </c>
      <c r="AU888" s="45">
        <f t="shared" si="202"/>
        <v>549.86684693462723</v>
      </c>
      <c r="AV888" s="64">
        <f t="shared" si="203"/>
        <v>878.83872338066146</v>
      </c>
      <c r="AW888" s="64">
        <f t="shared" si="204"/>
        <v>1062.1219329637977</v>
      </c>
      <c r="AX888" s="64">
        <f t="shared" si="205"/>
        <v>-135.98163827764824</v>
      </c>
      <c r="AY888" s="64">
        <f t="shared" si="206"/>
        <v>60.953568816745147</v>
      </c>
      <c r="AZ888" s="64">
        <f t="shared" si="207"/>
        <v>-799.6580853468023</v>
      </c>
      <c r="BA888" s="64">
        <f t="shared" si="208"/>
        <v>-573.2086548459157</v>
      </c>
      <c r="BB888" s="65">
        <f t="shared" si="209"/>
        <v>14608.794841134986</v>
      </c>
      <c r="BC888" s="65">
        <f t="shared" si="210"/>
        <v>33628.795382716628</v>
      </c>
      <c r="BD888" s="66">
        <f t="shared" si="211"/>
        <v>19300.799608772457</v>
      </c>
    </row>
    <row r="889" spans="31:56" x14ac:dyDescent="0.25">
      <c r="AE889" s="71">
        <v>827</v>
      </c>
      <c r="AF889" s="17">
        <v>1.1938052083641215</v>
      </c>
      <c r="AG889" s="18">
        <v>-20939.999251732283</v>
      </c>
      <c r="AH889" s="20">
        <v>17440.860259858582</v>
      </c>
      <c r="AN889" s="23">
        <v>884</v>
      </c>
      <c r="AO889" s="58">
        <v>442</v>
      </c>
      <c r="AP889" s="45">
        <f t="shared" si="212"/>
        <v>10296.790436801562</v>
      </c>
      <c r="AQ889" s="45">
        <f t="shared" si="213"/>
        <v>-4305.9050206395841</v>
      </c>
      <c r="AR889" s="45">
        <f t="shared" si="214"/>
        <v>-780.22408345628901</v>
      </c>
      <c r="AS889" s="45">
        <f t="shared" si="215"/>
        <v>-1101.0924813295462</v>
      </c>
      <c r="AT889" s="45">
        <f t="shared" si="201"/>
        <v>-145.26363903621393</v>
      </c>
      <c r="AU889" s="45">
        <f t="shared" si="202"/>
        <v>489.09338521140421</v>
      </c>
      <c r="AV889" s="64">
        <f t="shared" si="203"/>
        <v>834.08136436579173</v>
      </c>
      <c r="AW889" s="64">
        <f t="shared" si="204"/>
        <v>1014.8276508976223</v>
      </c>
      <c r="AX889" s="64">
        <f t="shared" si="205"/>
        <v>-135.68931806695423</v>
      </c>
      <c r="AY889" s="64">
        <f t="shared" si="206"/>
        <v>64.071423691906105</v>
      </c>
      <c r="AZ889" s="64">
        <f t="shared" si="207"/>
        <v>-843.65568533505143</v>
      </c>
      <c r="BA889" s="64">
        <f t="shared" si="208"/>
        <v>-589.80568937812427</v>
      </c>
      <c r="BB889" s="65">
        <f t="shared" si="209"/>
        <v>15281.7430021483</v>
      </c>
      <c r="BC889" s="65">
        <f t="shared" si="210"/>
        <v>33504.543411767772</v>
      </c>
      <c r="BD889" s="66">
        <f t="shared" si="211"/>
        <v>18664.28313906016</v>
      </c>
    </row>
    <row r="890" spans="31:56" x14ac:dyDescent="0.25">
      <c r="AE890" s="71">
        <v>828</v>
      </c>
      <c r="AF890" s="17">
        <v>1.2566370614359172</v>
      </c>
      <c r="AG890" s="18">
        <v>-21405.359859392935</v>
      </c>
      <c r="AH890" s="20">
        <v>17367.154380465166</v>
      </c>
      <c r="AN890" s="23">
        <v>885</v>
      </c>
      <c r="AO890" s="58">
        <v>442.5</v>
      </c>
      <c r="AP890" s="45">
        <f t="shared" si="212"/>
        <v>9870.3624853143629</v>
      </c>
      <c r="AQ890" s="45">
        <f t="shared" si="213"/>
        <v>-4734.1779150015063</v>
      </c>
      <c r="AR890" s="45">
        <f t="shared" si="214"/>
        <v>-852.85590297439603</v>
      </c>
      <c r="AS890" s="45">
        <f t="shared" si="215"/>
        <v>-856.54578872384411</v>
      </c>
      <c r="AT890" s="45">
        <f t="shared" si="201"/>
        <v>-217.86537399903636</v>
      </c>
      <c r="AU890" s="45">
        <f t="shared" si="202"/>
        <v>425.69274634172996</v>
      </c>
      <c r="AV890" s="64">
        <f t="shared" si="203"/>
        <v>802.14322184045523</v>
      </c>
      <c r="AW890" s="64">
        <f t="shared" si="204"/>
        <v>968.79704481836097</v>
      </c>
      <c r="AX890" s="64">
        <f t="shared" si="205"/>
        <v>-136.07621400303626</v>
      </c>
      <c r="AY890" s="64">
        <f t="shared" si="206"/>
        <v>67.122424379894653</v>
      </c>
      <c r="AZ890" s="64">
        <f t="shared" si="207"/>
        <v>-883.93238183645531</v>
      </c>
      <c r="BA890" s="64">
        <f t="shared" si="208"/>
        <v>-610.22672285652573</v>
      </c>
      <c r="BB890" s="65">
        <f t="shared" si="209"/>
        <v>15883.471454151237</v>
      </c>
      <c r="BC890" s="65">
        <f t="shared" si="210"/>
        <v>33306.674313641612</v>
      </c>
      <c r="BD890" s="66">
        <f t="shared" si="211"/>
        <v>18069.720073246503</v>
      </c>
    </row>
    <row r="891" spans="31:56" x14ac:dyDescent="0.25">
      <c r="AE891" s="71">
        <v>829</v>
      </c>
      <c r="AF891" s="17">
        <v>1.3194689145077132</v>
      </c>
      <c r="AG891" s="18">
        <v>-21865.174153736411</v>
      </c>
      <c r="AH891" s="20">
        <v>17264.373708464733</v>
      </c>
      <c r="AN891" s="23">
        <v>886</v>
      </c>
      <c r="AO891" s="58">
        <v>443</v>
      </c>
      <c r="AP891" s="45">
        <f t="shared" si="212"/>
        <v>9389.4681903274068</v>
      </c>
      <c r="AQ891" s="45">
        <f t="shared" si="213"/>
        <v>-5056.0276227779959</v>
      </c>
      <c r="AR891" s="45">
        <f t="shared" si="214"/>
        <v>-961.78858997391421</v>
      </c>
      <c r="AS891" s="45">
        <f t="shared" si="215"/>
        <v>-643.69941555297919</v>
      </c>
      <c r="AT891" s="45">
        <f t="shared" si="201"/>
        <v>-278.5689670659342</v>
      </c>
      <c r="AU891" s="45">
        <f t="shared" si="202"/>
        <v>356.55223540059274</v>
      </c>
      <c r="AV891" s="64">
        <f t="shared" si="203"/>
        <v>779.85824567978716</v>
      </c>
      <c r="AW891" s="64">
        <f t="shared" si="204"/>
        <v>922.84928316978892</v>
      </c>
      <c r="AX891" s="64">
        <f t="shared" si="205"/>
        <v>-137.23218032046717</v>
      </c>
      <c r="AY891" s="64">
        <f t="shared" si="206"/>
        <v>70.303126421287828</v>
      </c>
      <c r="AZ891" s="64">
        <f t="shared" si="207"/>
        <v>-921.19503242525423</v>
      </c>
      <c r="BA891" s="64">
        <f t="shared" si="208"/>
        <v>-636.60017419048404</v>
      </c>
      <c r="BB891" s="65">
        <f t="shared" si="209"/>
        <v>16438.89336141694</v>
      </c>
      <c r="BC891" s="65">
        <f t="shared" si="210"/>
        <v>33021.580947739625</v>
      </c>
      <c r="BD891" s="66">
        <f t="shared" si="211"/>
        <v>17491.122932487739</v>
      </c>
    </row>
    <row r="892" spans="31:56" x14ac:dyDescent="0.25">
      <c r="AE892" s="71">
        <v>830</v>
      </c>
      <c r="AF892" s="17">
        <v>1.3823007675795091</v>
      </c>
      <c r="AG892" s="18">
        <v>-22317.627457812108</v>
      </c>
      <c r="AH892" s="20">
        <v>17132.923872213651</v>
      </c>
      <c r="AN892" s="23">
        <v>887</v>
      </c>
      <c r="AO892" s="58">
        <v>443.5</v>
      </c>
      <c r="AP892" s="45">
        <f t="shared" si="212"/>
        <v>8838.9316535739654</v>
      </c>
      <c r="AQ892" s="45">
        <f t="shared" si="213"/>
        <v>-5288.7392717043376</v>
      </c>
      <c r="AR892" s="45">
        <f t="shared" si="214"/>
        <v>-1101.0730735068814</v>
      </c>
      <c r="AS892" s="45">
        <f t="shared" si="215"/>
        <v>-465.42329785268282</v>
      </c>
      <c r="AT892" s="45">
        <f t="shared" si="201"/>
        <v>-331.06459328465075</v>
      </c>
      <c r="AU892" s="45">
        <f t="shared" si="202"/>
        <v>278.59612231964036</v>
      </c>
      <c r="AV892" s="64">
        <f t="shared" si="203"/>
        <v>764.28119836869962</v>
      </c>
      <c r="AW892" s="64">
        <f t="shared" si="204"/>
        <v>875.7399088352422</v>
      </c>
      <c r="AX892" s="64">
        <f t="shared" si="205"/>
        <v>-139.21723195497214</v>
      </c>
      <c r="AY892" s="64">
        <f t="shared" si="206"/>
        <v>73.80495182886493</v>
      </c>
      <c r="AZ892" s="64">
        <f t="shared" si="207"/>
        <v>-956.12855969837824</v>
      </c>
      <c r="BA892" s="64">
        <f t="shared" si="208"/>
        <v>-670.94873834446673</v>
      </c>
      <c r="BB892" s="65">
        <f t="shared" si="209"/>
        <v>16974.136172224669</v>
      </c>
      <c r="BC892" s="65">
        <f t="shared" si="210"/>
        <v>32640.917993182495</v>
      </c>
      <c r="BD892" s="66">
        <f t="shared" si="211"/>
        <v>16906.348341532215</v>
      </c>
    </row>
    <row r="893" spans="31:56" x14ac:dyDescent="0.25">
      <c r="AE893" s="71">
        <v>831</v>
      </c>
      <c r="AF893" s="17">
        <v>1.4451326206513049</v>
      </c>
      <c r="AG893" s="18">
        <v>-22760.934145135085</v>
      </c>
      <c r="AH893" s="20">
        <v>16973.323644161886</v>
      </c>
      <c r="AN893" s="23">
        <v>888</v>
      </c>
      <c r="AO893" s="58">
        <v>444</v>
      </c>
      <c r="AP893" s="45">
        <f t="shared" si="212"/>
        <v>8205.6289684993608</v>
      </c>
      <c r="AQ893" s="45">
        <f t="shared" si="213"/>
        <v>-5451.8018900507695</v>
      </c>
      <c r="AR893" s="45">
        <f t="shared" si="214"/>
        <v>-1266.6053701492069</v>
      </c>
      <c r="AS893" s="45">
        <f t="shared" si="215"/>
        <v>-326.12523669286264</v>
      </c>
      <c r="AT893" s="45">
        <f t="shared" si="201"/>
        <v>-378.85322461817532</v>
      </c>
      <c r="AU893" s="45">
        <f t="shared" si="202"/>
        <v>188.88512403669904</v>
      </c>
      <c r="AV893" s="64">
        <f t="shared" si="203"/>
        <v>752.50907864655824</v>
      </c>
      <c r="AW893" s="64">
        <f t="shared" si="204"/>
        <v>826.3559354766877</v>
      </c>
      <c r="AX893" s="64">
        <f t="shared" si="205"/>
        <v>-142.06790719696858</v>
      </c>
      <c r="AY893" s="64">
        <f t="shared" si="206"/>
        <v>77.828619223252488</v>
      </c>
      <c r="AZ893" s="64">
        <f t="shared" si="207"/>
        <v>-989.29439606776498</v>
      </c>
      <c r="BA893" s="64">
        <f t="shared" si="208"/>
        <v>-715.2994306632412</v>
      </c>
      <c r="BB893" s="65">
        <f t="shared" si="209"/>
        <v>17517.316010959676</v>
      </c>
      <c r="BC893" s="65">
        <f t="shared" si="210"/>
        <v>32160.778708825241</v>
      </c>
      <c r="BD893" s="66">
        <f t="shared" si="211"/>
        <v>16295.911254069455</v>
      </c>
    </row>
    <row r="894" spans="31:56" x14ac:dyDescent="0.25">
      <c r="AE894" s="71">
        <v>832</v>
      </c>
      <c r="AF894" s="17">
        <v>1.5079644737231008</v>
      </c>
      <c r="AG894" s="18">
        <v>-23193.344686738044</v>
      </c>
      <c r="AH894" s="20">
        <v>16786.202893495145</v>
      </c>
      <c r="AN894" s="23">
        <v>889</v>
      </c>
      <c r="AO894" s="58">
        <v>444.5</v>
      </c>
      <c r="AP894" s="45">
        <f t="shared" si="212"/>
        <v>7477.6129772702134</v>
      </c>
      <c r="AQ894" s="45">
        <f t="shared" si="213"/>
        <v>-5567.6432273880255</v>
      </c>
      <c r="AR894" s="45">
        <f t="shared" si="214"/>
        <v>-1456.0319824582946</v>
      </c>
      <c r="AS894" s="45">
        <f t="shared" si="215"/>
        <v>-231.68267467451312</v>
      </c>
      <c r="AT894" s="45">
        <f t="shared" si="201"/>
        <v>-425.23711165622581</v>
      </c>
      <c r="AU894" s="45">
        <f t="shared" si="202"/>
        <v>84.643598170838914</v>
      </c>
      <c r="AV894" s="64">
        <f t="shared" si="203"/>
        <v>741.59980920955911</v>
      </c>
      <c r="AW894" s="64">
        <f t="shared" si="204"/>
        <v>773.89092883482772</v>
      </c>
      <c r="AX894" s="64">
        <f t="shared" si="205"/>
        <v>-145.79524839905963</v>
      </c>
      <c r="AY894" s="64">
        <f t="shared" si="206"/>
        <v>82.601367637082845</v>
      </c>
      <c r="AZ894" s="64">
        <f t="shared" si="207"/>
        <v>-1021.0416724667252</v>
      </c>
      <c r="BA894" s="64">
        <f t="shared" si="208"/>
        <v>-771.84869830107164</v>
      </c>
      <c r="BB894" s="65">
        <f t="shared" si="209"/>
        <v>18098.991028931185</v>
      </c>
      <c r="BC894" s="65">
        <f t="shared" si="210"/>
        <v>31581.176839755175</v>
      </c>
      <c r="BD894" s="66">
        <f t="shared" si="211"/>
        <v>15641.616920778395</v>
      </c>
    </row>
    <row r="895" spans="31:56" x14ac:dyDescent="0.25">
      <c r="AE895" s="71">
        <v>833</v>
      </c>
      <c r="AF895" s="17">
        <v>1.5707963267948968</v>
      </c>
      <c r="AG895" s="18">
        <v>-23613.152555762867</v>
      </c>
      <c r="AH895" s="20">
        <v>16572.300100328976</v>
      </c>
      <c r="AN895" s="23">
        <v>890</v>
      </c>
      <c r="AO895" s="58">
        <v>445</v>
      </c>
      <c r="AP895" s="45">
        <f t="shared" si="212"/>
        <v>6643.2877081270099</v>
      </c>
      <c r="AQ895" s="45">
        <f t="shared" si="213"/>
        <v>-5662.3236651825728</v>
      </c>
      <c r="AR895" s="45">
        <f t="shared" si="214"/>
        <v>-1668.6505382864075</v>
      </c>
      <c r="AS895" s="45">
        <f t="shared" si="215"/>
        <v>-189.36087558909367</v>
      </c>
      <c r="AT895" s="45">
        <f t="shared" si="201"/>
        <v>-473.13451210374524</v>
      </c>
      <c r="AU895" s="45">
        <f t="shared" si="202"/>
        <v>-36.775419613105441</v>
      </c>
      <c r="AV895" s="64">
        <f t="shared" si="203"/>
        <v>728.61363723507736</v>
      </c>
      <c r="AW895" s="64">
        <f t="shared" si="204"/>
        <v>718.00966514710956</v>
      </c>
      <c r="AX895" s="64">
        <f t="shared" si="205"/>
        <v>-150.37223042303771</v>
      </c>
      <c r="AY895" s="64">
        <f t="shared" si="206"/>
        <v>88.396693716692823</v>
      </c>
      <c r="AZ895" s="64">
        <f t="shared" si="207"/>
        <v>-1051.375918915785</v>
      </c>
      <c r="BA895" s="64">
        <f t="shared" si="208"/>
        <v>-843.18177847690777</v>
      </c>
      <c r="BB895" s="65">
        <f t="shared" si="209"/>
        <v>18752.293926741237</v>
      </c>
      <c r="BC895" s="65">
        <f t="shared" si="210"/>
        <v>30905.875857043266</v>
      </c>
      <c r="BD895" s="66">
        <f t="shared" si="211"/>
        <v>14925.09122210082</v>
      </c>
    </row>
    <row r="896" spans="31:56" x14ac:dyDescent="0.25">
      <c r="AE896" s="71">
        <v>834</v>
      </c>
      <c r="AF896" s="17">
        <v>1.6336281798666925</v>
      </c>
      <c r="AG896" s="18">
        <v>-24018.700962342475</v>
      </c>
      <c r="AH896" s="20">
        <v>16332.459441265113</v>
      </c>
      <c r="AN896" s="23">
        <v>891</v>
      </c>
      <c r="AO896" s="58">
        <v>445.5</v>
      </c>
      <c r="AP896" s="45">
        <f t="shared" si="212"/>
        <v>5690.6788109578702</v>
      </c>
      <c r="AQ896" s="45">
        <f t="shared" si="213"/>
        <v>-5766.1979578803966</v>
      </c>
      <c r="AR896" s="45">
        <f t="shared" si="214"/>
        <v>-1905.2177943382801</v>
      </c>
      <c r="AS896" s="45">
        <f t="shared" si="215"/>
        <v>-207.74858539564639</v>
      </c>
      <c r="AT896" s="45">
        <f t="shared" si="201"/>
        <v>-524.58849419169587</v>
      </c>
      <c r="AU896" s="45">
        <f t="shared" si="202"/>
        <v>-178.0105411006889</v>
      </c>
      <c r="AV896" s="64">
        <f t="shared" si="203"/>
        <v>710.78867911120278</v>
      </c>
      <c r="AW896" s="64">
        <f t="shared" si="204"/>
        <v>658.97348998850407</v>
      </c>
      <c r="AX896" s="64">
        <f t="shared" si="205"/>
        <v>-155.7051642258877</v>
      </c>
      <c r="AY896" s="64">
        <f t="shared" si="206"/>
        <v>95.55521908601888</v>
      </c>
      <c r="AZ896" s="64">
        <f t="shared" si="207"/>
        <v>-1079.6720090770109</v>
      </c>
      <c r="BA896" s="64">
        <f t="shared" si="208"/>
        <v>-932.53925017521181</v>
      </c>
      <c r="BB896" s="65">
        <f t="shared" si="209"/>
        <v>19512.78250657348</v>
      </c>
      <c r="BC896" s="65">
        <f t="shared" si="210"/>
        <v>30142.726748170473</v>
      </c>
      <c r="BD896" s="66">
        <f t="shared" si="211"/>
        <v>14126.348204405685</v>
      </c>
    </row>
    <row r="897" spans="31:56" x14ac:dyDescent="0.25">
      <c r="AE897" s="71">
        <v>835</v>
      </c>
      <c r="AF897" s="17">
        <v>1.6964600329384885</v>
      </c>
      <c r="AG897" s="18">
        <v>-24408.389392193549</v>
      </c>
      <c r="AH897" s="20">
        <v>16067.627457812105</v>
      </c>
      <c r="AN897" s="23">
        <v>892</v>
      </c>
      <c r="AO897" s="58">
        <v>446</v>
      </c>
      <c r="AP897" s="45">
        <f t="shared" si="212"/>
        <v>4606.9227902408065</v>
      </c>
      <c r="AQ897" s="45">
        <f t="shared" si="213"/>
        <v>-5914.5748858533916</v>
      </c>
      <c r="AR897" s="45">
        <f t="shared" si="214"/>
        <v>-2167.5120414341282</v>
      </c>
      <c r="AS897" s="45">
        <f t="shared" si="215"/>
        <v>-296.75385594599084</v>
      </c>
      <c r="AT897" s="45">
        <f t="shared" si="201"/>
        <v>-579.74431391363294</v>
      </c>
      <c r="AU897" s="45">
        <f t="shared" si="202"/>
        <v>-341.88720257390207</v>
      </c>
      <c r="AV897" s="64">
        <f t="shared" si="203"/>
        <v>685.83120170830443</v>
      </c>
      <c r="AW897" s="64">
        <f t="shared" si="204"/>
        <v>597.67997581003465</v>
      </c>
      <c r="AX897" s="64">
        <f t="shared" si="205"/>
        <v>-161.5783590205352</v>
      </c>
      <c r="AY897" s="64">
        <f t="shared" si="206"/>
        <v>104.50111606744501</v>
      </c>
      <c r="AZ897" s="64">
        <f t="shared" si="207"/>
        <v>-1103.9971566014021</v>
      </c>
      <c r="BA897" s="64">
        <f t="shared" si="208"/>
        <v>-1044.0682944513817</v>
      </c>
      <c r="BB897" s="65">
        <f t="shared" si="209"/>
        <v>20418.071538560551</v>
      </c>
      <c r="BC897" s="65">
        <f t="shared" si="210"/>
        <v>29304.851867946847</v>
      </c>
      <c r="BD897" s="66">
        <f t="shared" si="211"/>
        <v>13222.628899065954</v>
      </c>
    </row>
    <row r="898" spans="31:56" x14ac:dyDescent="0.25">
      <c r="AE898" s="71">
        <v>836</v>
      </c>
      <c r="AF898" s="17">
        <v>1.7592918860102844</v>
      </c>
      <c r="AG898" s="18">
        <v>-24780.679923115174</v>
      </c>
      <c r="AH898" s="20">
        <v>15778.849320818419</v>
      </c>
      <c r="AN898" s="23">
        <v>893</v>
      </c>
      <c r="AO898" s="58">
        <v>446.5</v>
      </c>
      <c r="AP898" s="45">
        <f t="shared" si="212"/>
        <v>3378.2306910453344</v>
      </c>
      <c r="AQ898" s="45">
        <f t="shared" si="213"/>
        <v>-6148.4236144698625</v>
      </c>
      <c r="AR898" s="45">
        <f t="shared" si="214"/>
        <v>-2457.3841983909447</v>
      </c>
      <c r="AS898" s="45">
        <f t="shared" si="215"/>
        <v>-467.69745723294187</v>
      </c>
      <c r="AT898" s="45">
        <f t="shared" si="201"/>
        <v>-634.84479744148734</v>
      </c>
      <c r="AU898" s="45">
        <f t="shared" si="202"/>
        <v>-531.48202383985483</v>
      </c>
      <c r="AV898" s="64">
        <f t="shared" si="203"/>
        <v>652.25811848899355</v>
      </c>
      <c r="AW898" s="64">
        <f t="shared" si="204"/>
        <v>535.58047531792647</v>
      </c>
      <c r="AX898" s="64">
        <f t="shared" si="205"/>
        <v>-167.55422445916165</v>
      </c>
      <c r="AY898" s="64">
        <f t="shared" si="206"/>
        <v>115.73744098593825</v>
      </c>
      <c r="AZ898" s="64">
        <f t="shared" si="207"/>
        <v>-1119.5486914713192</v>
      </c>
      <c r="BA898" s="64">
        <f t="shared" si="208"/>
        <v>-1182.7999401437196</v>
      </c>
      <c r="BB898" s="65">
        <f t="shared" si="209"/>
        <v>21507.270447923554</v>
      </c>
      <c r="BC898" s="65">
        <f t="shared" si="210"/>
        <v>28413.258445241754</v>
      </c>
      <c r="BD898" s="66">
        <f t="shared" si="211"/>
        <v>12187.910158072578</v>
      </c>
    </row>
    <row r="899" spans="31:56" x14ac:dyDescent="0.25">
      <c r="AE899" s="71">
        <v>837</v>
      </c>
      <c r="AF899" s="17">
        <v>1.8221237390820801</v>
      </c>
      <c r="AG899" s="18">
        <v>-25134.103294465167</v>
      </c>
      <c r="AH899" s="20">
        <v>15467.264705660586</v>
      </c>
      <c r="AN899" s="23">
        <v>894</v>
      </c>
      <c r="AO899" s="58">
        <v>447</v>
      </c>
      <c r="AP899" s="45">
        <f t="shared" si="212"/>
        <v>1990.8273924894904</v>
      </c>
      <c r="AQ899" s="45">
        <f t="shared" si="213"/>
        <v>-6515.1428490462968</v>
      </c>
      <c r="AR899" s="45">
        <f t="shared" si="214"/>
        <v>-2774.8065971116885</v>
      </c>
      <c r="AS899" s="45">
        <f t="shared" si="215"/>
        <v>-733.43846915286929</v>
      </c>
      <c r="AT899" s="45">
        <f t="shared" si="201"/>
        <v>-678.27485841011128</v>
      </c>
      <c r="AU899" s="45">
        <f t="shared" si="202"/>
        <v>-749.23167798279314</v>
      </c>
      <c r="AV899" s="64">
        <f t="shared" si="203"/>
        <v>609.69486826213563</v>
      </c>
      <c r="AW899" s="64">
        <f t="shared" si="204"/>
        <v>474.47824834888416</v>
      </c>
      <c r="AX899" s="64">
        <f t="shared" si="205"/>
        <v>-172.80655132073957</v>
      </c>
      <c r="AY899" s="64">
        <f t="shared" si="206"/>
        <v>129.77796739415831</v>
      </c>
      <c r="AZ899" s="64">
        <f t="shared" si="207"/>
        <v>-1115.1631753515073</v>
      </c>
      <c r="BA899" s="64">
        <f t="shared" si="208"/>
        <v>-1353.4878937258356</v>
      </c>
      <c r="BB899" s="65">
        <f t="shared" si="209"/>
        <v>22820.046605699132</v>
      </c>
      <c r="BC899" s="65">
        <f t="shared" si="210"/>
        <v>27501.753266485961</v>
      </c>
      <c r="BD899" s="66">
        <f t="shared" si="211"/>
        <v>10993.837751380161</v>
      </c>
    </row>
    <row r="900" spans="31:56" x14ac:dyDescent="0.25">
      <c r="AE900" s="71">
        <v>838</v>
      </c>
      <c r="AF900" s="17">
        <v>1.8849555921538761</v>
      </c>
      <c r="AG900" s="18">
        <v>-25467.264705660586</v>
      </c>
      <c r="AH900" s="20">
        <v>15134.103294465163</v>
      </c>
      <c r="AN900" s="23">
        <v>895</v>
      </c>
      <c r="AO900" s="58">
        <v>447.5</v>
      </c>
      <c r="AP900" s="45">
        <f t="shared" si="212"/>
        <v>433.85537933111834</v>
      </c>
      <c r="AQ900" s="45">
        <f t="shared" si="213"/>
        <v>-7069.1700031184291</v>
      </c>
      <c r="AR900" s="45">
        <f t="shared" si="214"/>
        <v>-3113.9440263167439</v>
      </c>
      <c r="AS900" s="45">
        <f t="shared" si="215"/>
        <v>-1108.0543081442659</v>
      </c>
      <c r="AT900" s="45">
        <f t="shared" si="201"/>
        <v>-682.7466451457019</v>
      </c>
      <c r="AU900" s="45">
        <f t="shared" si="202"/>
        <v>-992.51376879113832</v>
      </c>
      <c r="AV900" s="64">
        <f t="shared" si="203"/>
        <v>559.03356976102475</v>
      </c>
      <c r="AW900" s="64">
        <f t="shared" si="204"/>
        <v>416.26264515569682</v>
      </c>
      <c r="AX900" s="64">
        <f t="shared" si="205"/>
        <v>-175.88388413667525</v>
      </c>
      <c r="AY900" s="64">
        <f t="shared" si="206"/>
        <v>146.9224413800255</v>
      </c>
      <c r="AZ900" s="64">
        <f t="shared" si="207"/>
        <v>-1065.8963307700515</v>
      </c>
      <c r="BA900" s="64">
        <f t="shared" si="208"/>
        <v>-1555.6988553268607</v>
      </c>
      <c r="BB900" s="65">
        <f t="shared" si="209"/>
        <v>24394.563531588257</v>
      </c>
      <c r="BC900" s="65">
        <f t="shared" si="210"/>
        <v>26625.157469182737</v>
      </c>
      <c r="BD900" s="66">
        <f t="shared" si="211"/>
        <v>9613.7843081131305</v>
      </c>
    </row>
    <row r="901" spans="31:56" x14ac:dyDescent="0.25">
      <c r="AE901" s="71">
        <v>839</v>
      </c>
      <c r="AF901" s="17">
        <v>1.9477874452256718</v>
      </c>
      <c r="AG901" s="18">
        <v>-25778.849320818419</v>
      </c>
      <c r="AH901" s="20">
        <v>14780.679923115171</v>
      </c>
      <c r="AN901" s="23">
        <v>896</v>
      </c>
      <c r="AO901" s="58">
        <v>448</v>
      </c>
      <c r="AP901" s="45">
        <f t="shared" si="212"/>
        <v>-1293.8032951136793</v>
      </c>
      <c r="AQ901" s="45">
        <f t="shared" si="213"/>
        <v>-7871.3255993883467</v>
      </c>
      <c r="AR901" s="45">
        <f t="shared" si="214"/>
        <v>-3455.317348889595</v>
      </c>
      <c r="AS901" s="45">
        <f t="shared" si="215"/>
        <v>-1604.311192539835</v>
      </c>
      <c r="AT901" s="45">
        <f t="shared" si="201"/>
        <v>-591.41659594432895</v>
      </c>
      <c r="AU901" s="45">
        <f t="shared" si="202"/>
        <v>-1238.8653337178007</v>
      </c>
      <c r="AV901" s="64">
        <f t="shared" si="203"/>
        <v>502.40689751084875</v>
      </c>
      <c r="AW901" s="64">
        <f t="shared" si="204"/>
        <v>362.67170772587713</v>
      </c>
      <c r="AX901" s="64">
        <f t="shared" si="205"/>
        <v>-174.50743339356131</v>
      </c>
      <c r="AY901" s="64">
        <f t="shared" si="206"/>
        <v>166.71904026729635</v>
      </c>
      <c r="AZ901" s="64">
        <f t="shared" si="207"/>
        <v>-919.31606006161644</v>
      </c>
      <c r="BA901" s="64">
        <f t="shared" si="208"/>
        <v>-1768.2560817109743</v>
      </c>
      <c r="BB901" s="65">
        <f t="shared" si="209"/>
        <v>26262.210673387828</v>
      </c>
      <c r="BC901" s="65">
        <f t="shared" si="210"/>
        <v>25870.950385350228</v>
      </c>
      <c r="BD901" s="66">
        <f t="shared" si="211"/>
        <v>8034.5437160579404</v>
      </c>
    </row>
    <row r="902" spans="31:56" x14ac:dyDescent="0.25">
      <c r="AE902" s="71">
        <v>840</v>
      </c>
      <c r="AF902" s="17">
        <v>2.0106192982974678</v>
      </c>
      <c r="AG902" s="18">
        <v>-26067.627457812105</v>
      </c>
      <c r="AH902" s="20">
        <v>14408.389392193549</v>
      </c>
      <c r="AN902" s="23">
        <v>897</v>
      </c>
      <c r="AO902" s="58">
        <v>448.5</v>
      </c>
      <c r="AP902" s="45">
        <f t="shared" si="212"/>
        <v>-3169.3161185445592</v>
      </c>
      <c r="AQ902" s="45">
        <f t="shared" si="213"/>
        <v>-8983.1975290877144</v>
      </c>
      <c r="AR902" s="45">
        <f t="shared" si="214"/>
        <v>-3751.0256468617595</v>
      </c>
      <c r="AS902" s="45">
        <f t="shared" si="215"/>
        <v>-2223.7438593987354</v>
      </c>
      <c r="AT902" s="45">
        <f t="shared" ref="AT902:AT965" si="216">AV902+AX902+AZ902</f>
        <v>-304.24497579287242</v>
      </c>
      <c r="AU902" s="45">
        <f t="shared" ref="AU902:AU965" si="217">AW902+AY902+BA902</f>
        <v>-1408.7742625837266</v>
      </c>
      <c r="AV902" s="64">
        <f t="shared" ref="AV902:AV965" si="218">$K$22*(($K$18-AP902)/((BB902^2+$K$23^2)^(3/2)))</f>
        <v>443.01161311663515</v>
      </c>
      <c r="AW902" s="64">
        <f t="shared" ref="AW902:AW965" si="219">$K$22*(($L$18-AQ902)/((BB902^2+$K$23^2)^(3/2)))</f>
        <v>315.16890223775812</v>
      </c>
      <c r="AX902" s="64">
        <f t="shared" ref="AX902:AX965" si="220">$K$30*(($K$26-AP902)/((BC902^2+$K$31^2)^(3/2)))</f>
        <v>-165.82082446317108</v>
      </c>
      <c r="AY902" s="64">
        <f t="shared" ref="AY902:AY965" si="221">$K$30*(($L$26-AQ902)/((BC902^2+$K$31^2)^(3/2)))</f>
        <v>187.02801902713588</v>
      </c>
      <c r="AZ902" s="64">
        <f t="shared" ref="AZ902:AZ965" si="222">$K$38*(($K$34-AP902)/((BD902^2+$K$39^2)^(3/2)))</f>
        <v>-581.43576444633652</v>
      </c>
      <c r="BA902" s="64">
        <f t="shared" ref="BA902:BA965" si="223">$K$38*(($L$34-AQ902)/((BD902^2+$K$39^2)^(3/2)))</f>
        <v>-1910.9711838486205</v>
      </c>
      <c r="BB902" s="65">
        <f t="shared" ref="BB902:BB965" si="224">SQRT(($K$18-AP902)^2+($L$18-AQ902)^2)</f>
        <v>28434.363192868801</v>
      </c>
      <c r="BC902" s="65">
        <f t="shared" ref="BC902:BC965" si="225">SQRT(($K$26-AP902)^2+($L$26-AQ902)^2)</f>
        <v>25369.937097790487</v>
      </c>
      <c r="BD902" s="66">
        <f t="shared" ref="BD902:BD965" si="226">SQRT(($K$34-AP902)^2+($L$34-AQ902)^2)</f>
        <v>6289.1426639723277</v>
      </c>
    </row>
    <row r="903" spans="31:56" x14ac:dyDescent="0.25">
      <c r="AE903" s="71">
        <v>841</v>
      </c>
      <c r="AF903" s="17">
        <v>2.0734511513692637</v>
      </c>
      <c r="AG903" s="18">
        <v>-26332.459441265113</v>
      </c>
      <c r="AH903" s="20">
        <v>14018.700962342475</v>
      </c>
      <c r="AN903" s="23">
        <v>898</v>
      </c>
      <c r="AO903" s="58">
        <v>449</v>
      </c>
      <c r="AP903" s="45">
        <f t="shared" ref="AP903:AP966" si="227">AP902+AR902*$K$5+AT902*$K$5^2</f>
        <v>-5120.8901859236576</v>
      </c>
      <c r="AQ903" s="45">
        <f t="shared" ref="AQ903:AQ966" si="228">AQ902+AS902*$K$5+AU902*$K$5^2</f>
        <v>-10447.263024433014</v>
      </c>
      <c r="AR903" s="45">
        <f t="shared" ref="AR903:AR966" si="229">AR902+AT902*$K$5</f>
        <v>-3903.1481347581957</v>
      </c>
      <c r="AS903" s="45">
        <f t="shared" ref="AS903:AS966" si="230">AS902+AU902*$K$5</f>
        <v>-2928.1309906905985</v>
      </c>
      <c r="AT903" s="45">
        <f t="shared" si="216"/>
        <v>284.63541675772984</v>
      </c>
      <c r="AU903" s="45">
        <f t="shared" si="217"/>
        <v>-1318.5041186042149</v>
      </c>
      <c r="AV903" s="64">
        <f t="shared" si="218"/>
        <v>384.84870250091819</v>
      </c>
      <c r="AW903" s="64">
        <f t="shared" si="219"/>
        <v>274.94968678562338</v>
      </c>
      <c r="AX903" s="64">
        <f t="shared" si="220"/>
        <v>-147.92246732002829</v>
      </c>
      <c r="AY903" s="64">
        <f t="shared" si="221"/>
        <v>203.2789349840198</v>
      </c>
      <c r="AZ903" s="64">
        <f t="shared" si="222"/>
        <v>47.709181576839939</v>
      </c>
      <c r="BA903" s="64">
        <f t="shared" si="223"/>
        <v>-1796.7327403738582</v>
      </c>
      <c r="BB903" s="65">
        <f t="shared" si="224"/>
        <v>30873.344065737612</v>
      </c>
      <c r="BC903" s="65">
        <f t="shared" si="225"/>
        <v>25287.911618986818</v>
      </c>
      <c r="BD903" s="66">
        <f t="shared" si="226"/>
        <v>4554.3417093744165</v>
      </c>
    </row>
    <row r="904" spans="31:56" x14ac:dyDescent="0.25">
      <c r="AE904" s="71">
        <v>842</v>
      </c>
      <c r="AF904" s="17">
        <v>2.1362830044410597</v>
      </c>
      <c r="AG904" s="18">
        <v>-26572.300100328976</v>
      </c>
      <c r="AH904" s="20">
        <v>13613.152555762865</v>
      </c>
      <c r="AN904" s="23">
        <v>899</v>
      </c>
      <c r="AO904" s="58">
        <v>449.5</v>
      </c>
      <c r="AP904" s="45">
        <f t="shared" si="227"/>
        <v>-7001.3053991133229</v>
      </c>
      <c r="AQ904" s="45">
        <f t="shared" si="228"/>
        <v>-12240.954549429367</v>
      </c>
      <c r="AR904" s="45">
        <f t="shared" si="229"/>
        <v>-3760.8304263793307</v>
      </c>
      <c r="AS904" s="45">
        <f t="shared" si="230"/>
        <v>-3587.3830499927062</v>
      </c>
      <c r="AT904" s="45">
        <f t="shared" si="216"/>
        <v>1098.1735303090884</v>
      </c>
      <c r="AU904" s="45">
        <f t="shared" si="217"/>
        <v>-772.16567466382196</v>
      </c>
      <c r="AV904" s="64">
        <f t="shared" si="218"/>
        <v>332.27499539402555</v>
      </c>
      <c r="AW904" s="64">
        <f t="shared" si="219"/>
        <v>242.92994301678138</v>
      </c>
      <c r="AX904" s="64">
        <f t="shared" si="220"/>
        <v>-122.71562885162211</v>
      </c>
      <c r="AY904" s="64">
        <f t="shared" si="221"/>
        <v>209.96821662441371</v>
      </c>
      <c r="AZ904" s="64">
        <f t="shared" si="222"/>
        <v>888.61416376668501</v>
      </c>
      <c r="BA904" s="64">
        <f t="shared" si="223"/>
        <v>-1225.0638343050171</v>
      </c>
      <c r="BB904" s="65">
        <f t="shared" si="224"/>
        <v>33448.105772656578</v>
      </c>
      <c r="BC904" s="65">
        <f t="shared" si="225"/>
        <v>25760.941764557119</v>
      </c>
      <c r="BD904" s="66">
        <f t="shared" si="226"/>
        <v>3408.4534761141517</v>
      </c>
    </row>
    <row r="905" spans="31:56" x14ac:dyDescent="0.25">
      <c r="AE905" s="71">
        <v>843</v>
      </c>
      <c r="AF905" s="17">
        <v>2.1991148575128552</v>
      </c>
      <c r="AG905" s="18">
        <v>-26786.202893495145</v>
      </c>
      <c r="AH905" s="20">
        <v>13193.344686738044</v>
      </c>
      <c r="AN905" s="23">
        <v>900</v>
      </c>
      <c r="AO905" s="58">
        <v>450</v>
      </c>
      <c r="AP905" s="45">
        <f t="shared" si="227"/>
        <v>-8607.1772297257157</v>
      </c>
      <c r="AQ905" s="45">
        <f t="shared" si="228"/>
        <v>-14227.687493091677</v>
      </c>
      <c r="AR905" s="45">
        <f t="shared" si="229"/>
        <v>-3211.7436612247866</v>
      </c>
      <c r="AS905" s="45">
        <f t="shared" si="230"/>
        <v>-3973.4658873246171</v>
      </c>
      <c r="AT905" s="45">
        <f t="shared" si="216"/>
        <v>1752.0751565860091</v>
      </c>
      <c r="AU905" s="45">
        <f t="shared" si="217"/>
        <v>90.800969642907887</v>
      </c>
      <c r="AV905" s="64">
        <f t="shared" si="218"/>
        <v>288.89130914546604</v>
      </c>
      <c r="AW905" s="64">
        <f t="shared" si="219"/>
        <v>219.41836603369779</v>
      </c>
      <c r="AX905" s="64">
        <f t="shared" si="220"/>
        <v>-96.554027089409914</v>
      </c>
      <c r="AY905" s="64">
        <f t="shared" si="221"/>
        <v>205.3293412608237</v>
      </c>
      <c r="AZ905" s="64">
        <f t="shared" si="222"/>
        <v>1559.7378745299529</v>
      </c>
      <c r="BA905" s="64">
        <f t="shared" si="223"/>
        <v>-333.9467376516136</v>
      </c>
      <c r="BB905" s="65">
        <f t="shared" si="224"/>
        <v>35923.014807368134</v>
      </c>
      <c r="BC905" s="65">
        <f t="shared" si="225"/>
        <v>26772.696015489193</v>
      </c>
      <c r="BD905" s="66">
        <f t="shared" si="226"/>
        <v>3688.9285944537755</v>
      </c>
    </row>
    <row r="906" spans="31:56" x14ac:dyDescent="0.25">
      <c r="AE906" s="71">
        <v>844</v>
      </c>
      <c r="AF906" s="17">
        <v>2.2619467105846511</v>
      </c>
      <c r="AG906" s="18">
        <v>-26973.323644161886</v>
      </c>
      <c r="AH906" s="20">
        <v>12760.934145135083</v>
      </c>
      <c r="AN906" s="23">
        <v>901</v>
      </c>
      <c r="AO906" s="58">
        <v>450.5</v>
      </c>
      <c r="AP906" s="45">
        <f t="shared" si="227"/>
        <v>-9775.0302711916065</v>
      </c>
      <c r="AQ906" s="45">
        <f t="shared" si="228"/>
        <v>-16191.720194343259</v>
      </c>
      <c r="AR906" s="45">
        <f t="shared" si="229"/>
        <v>-2335.706082931782</v>
      </c>
      <c r="AS906" s="45">
        <f t="shared" si="230"/>
        <v>-3928.0654025031631</v>
      </c>
      <c r="AT906" s="45">
        <f t="shared" si="216"/>
        <v>1986.3718127770994</v>
      </c>
      <c r="AU906" s="45">
        <f t="shared" si="217"/>
        <v>847.76393537931619</v>
      </c>
      <c r="AV906" s="64">
        <f t="shared" si="218"/>
        <v>256.01034370528066</v>
      </c>
      <c r="AW906" s="64">
        <f t="shared" si="219"/>
        <v>203.70509701182647</v>
      </c>
      <c r="AX906" s="64">
        <f t="shared" si="220"/>
        <v>-75.488379701911228</v>
      </c>
      <c r="AY906" s="64">
        <f t="shared" si="221"/>
        <v>193.36688239831273</v>
      </c>
      <c r="AZ906" s="64">
        <f t="shared" si="222"/>
        <v>1805.8498487737299</v>
      </c>
      <c r="BA906" s="64">
        <f t="shared" si="223"/>
        <v>450.691955969177</v>
      </c>
      <c r="BB906" s="65">
        <f t="shared" si="224"/>
        <v>38050.624612710752</v>
      </c>
      <c r="BC906" s="65">
        <f t="shared" si="225"/>
        <v>28116.831483896196</v>
      </c>
      <c r="BD906" s="66">
        <f t="shared" si="226"/>
        <v>4921.494804670805</v>
      </c>
    </row>
    <row r="907" spans="31:56" x14ac:dyDescent="0.25">
      <c r="AE907" s="71">
        <v>845</v>
      </c>
      <c r="AF907" s="17">
        <v>2.3247785636564471</v>
      </c>
      <c r="AG907" s="18">
        <v>-27132.923872213651</v>
      </c>
      <c r="AH907" s="20">
        <v>12317.627457812103</v>
      </c>
      <c r="AN907" s="23">
        <v>902</v>
      </c>
      <c r="AO907" s="58">
        <v>451</v>
      </c>
      <c r="AP907" s="45">
        <f t="shared" si="227"/>
        <v>-10446.290359463223</v>
      </c>
      <c r="AQ907" s="45">
        <f t="shared" si="228"/>
        <v>-17943.81191175001</v>
      </c>
      <c r="AR907" s="45">
        <f t="shared" si="229"/>
        <v>-1342.5201765432323</v>
      </c>
      <c r="AS907" s="45">
        <f t="shared" si="230"/>
        <v>-3504.1834348135048</v>
      </c>
      <c r="AT907" s="45">
        <f t="shared" si="216"/>
        <v>1924.1112884986665</v>
      </c>
      <c r="AU907" s="45">
        <f t="shared" si="217"/>
        <v>1321.3835954866663</v>
      </c>
      <c r="AV907" s="64">
        <f t="shared" si="218"/>
        <v>232.67950312369908</v>
      </c>
      <c r="AW907" s="64">
        <f t="shared" si="219"/>
        <v>194.44909193539021</v>
      </c>
      <c r="AX907" s="64">
        <f t="shared" si="220"/>
        <v>-61.373853947330772</v>
      </c>
      <c r="AY907" s="64">
        <f t="shared" si="221"/>
        <v>179.51345556144284</v>
      </c>
      <c r="AZ907" s="64">
        <f t="shared" si="222"/>
        <v>1752.805639322298</v>
      </c>
      <c r="BA907" s="64">
        <f t="shared" si="223"/>
        <v>947.42104798983337</v>
      </c>
      <c r="BB907" s="65">
        <f t="shared" si="224"/>
        <v>39678.258042072048</v>
      </c>
      <c r="BC907" s="65">
        <f t="shared" si="225"/>
        <v>29531.847081666718</v>
      </c>
      <c r="BD907" s="66">
        <f t="shared" si="226"/>
        <v>6190.9698150890126</v>
      </c>
    </row>
    <row r="908" spans="31:56" x14ac:dyDescent="0.25">
      <c r="AE908" s="71">
        <v>846</v>
      </c>
      <c r="AF908" s="17">
        <v>2.387610416728243</v>
      </c>
      <c r="AG908" s="18">
        <v>-27264.373708464733</v>
      </c>
      <c r="AH908" s="20">
        <v>11865.174153736411</v>
      </c>
      <c r="AN908" s="23">
        <v>903</v>
      </c>
      <c r="AO908" s="58">
        <v>451.5</v>
      </c>
      <c r="AP908" s="45">
        <f t="shared" si="227"/>
        <v>-10636.522625610172</v>
      </c>
      <c r="AQ908" s="45">
        <f t="shared" si="228"/>
        <v>-19365.557730285094</v>
      </c>
      <c r="AR908" s="45">
        <f t="shared" si="229"/>
        <v>-380.46453229389908</v>
      </c>
      <c r="AS908" s="45">
        <f t="shared" si="230"/>
        <v>-2843.4916370701717</v>
      </c>
      <c r="AT908" s="45">
        <f t="shared" si="216"/>
        <v>1757.1855805751691</v>
      </c>
      <c r="AU908" s="45">
        <f t="shared" si="217"/>
        <v>1591.4733841999218</v>
      </c>
      <c r="AV908" s="64">
        <f t="shared" si="218"/>
        <v>217.18899296095015</v>
      </c>
      <c r="AW908" s="64">
        <f t="shared" si="219"/>
        <v>190.45580009453434</v>
      </c>
      <c r="AX908" s="64">
        <f t="shared" si="220"/>
        <v>-53.256755514140266</v>
      </c>
      <c r="AY908" s="64">
        <f t="shared" si="221"/>
        <v>167.02281279128715</v>
      </c>
      <c r="AZ908" s="64">
        <f t="shared" si="222"/>
        <v>1593.2533431283591</v>
      </c>
      <c r="BA908" s="64">
        <f t="shared" si="223"/>
        <v>1233.9947713141005</v>
      </c>
      <c r="BB908" s="65">
        <f t="shared" si="224"/>
        <v>40747.450358872826</v>
      </c>
      <c r="BC908" s="65">
        <f t="shared" si="225"/>
        <v>30822.243418534883</v>
      </c>
      <c r="BD908" s="66">
        <f t="shared" si="226"/>
        <v>7129.4096253103125</v>
      </c>
    </row>
    <row r="909" spans="31:56" x14ac:dyDescent="0.25">
      <c r="AE909" s="71">
        <v>847</v>
      </c>
      <c r="AF909" s="17">
        <v>2.450442269800039</v>
      </c>
      <c r="AG909" s="18">
        <v>-27367.154380465166</v>
      </c>
      <c r="AH909" s="20">
        <v>11405.359859392935</v>
      </c>
      <c r="AN909" s="23">
        <v>904</v>
      </c>
      <c r="AO909" s="58">
        <v>452</v>
      </c>
      <c r="AP909" s="45">
        <f t="shared" si="227"/>
        <v>-10387.45849661333</v>
      </c>
      <c r="AQ909" s="45">
        <f t="shared" si="228"/>
        <v>-20389.435202770197</v>
      </c>
      <c r="AR909" s="45">
        <f t="shared" si="229"/>
        <v>498.12825799368545</v>
      </c>
      <c r="AS909" s="45">
        <f t="shared" si="230"/>
        <v>-2047.7549449702108</v>
      </c>
      <c r="AT909" s="45">
        <f t="shared" si="216"/>
        <v>1577.8591082907158</v>
      </c>
      <c r="AU909" s="45">
        <f t="shared" si="217"/>
        <v>1767.9981662144646</v>
      </c>
      <c r="AV909" s="64">
        <f t="shared" si="218"/>
        <v>208.13422508147926</v>
      </c>
      <c r="AW909" s="64">
        <f t="shared" si="219"/>
        <v>191.02439858653003</v>
      </c>
      <c r="AX909" s="64">
        <f t="shared" si="220"/>
        <v>-49.677104488158044</v>
      </c>
      <c r="AY909" s="64">
        <f t="shared" si="221"/>
        <v>157.05098879128312</v>
      </c>
      <c r="AZ909" s="64">
        <f t="shared" si="222"/>
        <v>1419.4019876973946</v>
      </c>
      <c r="BA909" s="64">
        <f t="shared" si="223"/>
        <v>1419.9227788366516</v>
      </c>
      <c r="BB909" s="65">
        <f t="shared" si="224"/>
        <v>41245.82681693889</v>
      </c>
      <c r="BC909" s="65">
        <f t="shared" si="225"/>
        <v>31873.479980976343</v>
      </c>
      <c r="BD909" s="66">
        <f t="shared" si="226"/>
        <v>7620.414743148157</v>
      </c>
    </row>
    <row r="910" spans="31:56" x14ac:dyDescent="0.25">
      <c r="AE910" s="71">
        <v>848</v>
      </c>
      <c r="AF910" s="17">
        <v>2.5132741228718345</v>
      </c>
      <c r="AG910" s="18">
        <v>-27440.860259858586</v>
      </c>
      <c r="AH910" s="20">
        <v>10939.999251732281</v>
      </c>
      <c r="AN910" s="23">
        <v>905</v>
      </c>
      <c r="AO910" s="58">
        <v>452.5</v>
      </c>
      <c r="AP910" s="45">
        <f t="shared" si="227"/>
        <v>-9743.9295905438084</v>
      </c>
      <c r="AQ910" s="45">
        <f t="shared" si="228"/>
        <v>-20971.313133701686</v>
      </c>
      <c r="AR910" s="45">
        <f t="shared" si="229"/>
        <v>1287.0578121390433</v>
      </c>
      <c r="AS910" s="45">
        <f t="shared" si="230"/>
        <v>-1163.7558618629785</v>
      </c>
      <c r="AT910" s="45">
        <f t="shared" si="216"/>
        <v>1403.9334032704855</v>
      </c>
      <c r="AU910" s="45">
        <f t="shared" si="217"/>
        <v>1917.5620630832118</v>
      </c>
      <c r="AV910" s="64">
        <f t="shared" si="218"/>
        <v>204.73177176188531</v>
      </c>
      <c r="AW910" s="64">
        <f t="shared" si="219"/>
        <v>195.97216852286161</v>
      </c>
      <c r="AX910" s="64">
        <f t="shared" si="220"/>
        <v>-49.578287037529023</v>
      </c>
      <c r="AY910" s="64">
        <f t="shared" si="221"/>
        <v>149.7166644893648</v>
      </c>
      <c r="AZ910" s="64">
        <f t="shared" si="222"/>
        <v>1248.7799185461292</v>
      </c>
      <c r="BA910" s="64">
        <f t="shared" si="223"/>
        <v>1571.8732300709853</v>
      </c>
      <c r="BB910" s="65">
        <f t="shared" si="224"/>
        <v>41174.227607139415</v>
      </c>
      <c r="BC910" s="65">
        <f t="shared" si="225"/>
        <v>32625.284940817382</v>
      </c>
      <c r="BD910" s="66">
        <f t="shared" si="226"/>
        <v>7626.3653532174412</v>
      </c>
    </row>
    <row r="911" spans="31:56" x14ac:dyDescent="0.25">
      <c r="AE911" s="71">
        <v>849</v>
      </c>
      <c r="AF911" s="17">
        <v>2.5761059759436304</v>
      </c>
      <c r="AG911" s="18">
        <v>-27485.200463212037</v>
      </c>
      <c r="AH911" s="20">
        <v>10470.928896469848</v>
      </c>
      <c r="AN911" s="23">
        <v>906</v>
      </c>
      <c r="AO911" s="58">
        <v>453</v>
      </c>
      <c r="AP911" s="45">
        <f t="shared" si="227"/>
        <v>-8749.4173336566655</v>
      </c>
      <c r="AQ911" s="45">
        <f t="shared" si="228"/>
        <v>-21073.800548862371</v>
      </c>
      <c r="AR911" s="45">
        <f t="shared" si="229"/>
        <v>1989.0245137742861</v>
      </c>
      <c r="AS911" s="45">
        <f t="shared" si="230"/>
        <v>-204.97483032137256</v>
      </c>
      <c r="AT911" s="45">
        <f t="shared" si="216"/>
        <v>1213.0115836812854</v>
      </c>
      <c r="AU911" s="45">
        <f t="shared" si="217"/>
        <v>2065.1653527302715</v>
      </c>
      <c r="AV911" s="64">
        <f t="shared" si="218"/>
        <v>206.86400311620247</v>
      </c>
      <c r="AW911" s="64">
        <f t="shared" si="219"/>
        <v>205.60036738072563</v>
      </c>
      <c r="AX911" s="64">
        <f t="shared" si="220"/>
        <v>-52.414305535620592</v>
      </c>
      <c r="AY911" s="64">
        <f t="shared" si="221"/>
        <v>144.76687336322388</v>
      </c>
      <c r="AZ911" s="64">
        <f t="shared" si="222"/>
        <v>1058.5618861007035</v>
      </c>
      <c r="BA911" s="64">
        <f t="shared" si="223"/>
        <v>1714.7981119863221</v>
      </c>
      <c r="BB911" s="65">
        <f t="shared" si="224"/>
        <v>40533.826303853006</v>
      </c>
      <c r="BC911" s="65">
        <f t="shared" si="225"/>
        <v>33047.794039583103</v>
      </c>
      <c r="BD911" s="66">
        <f t="shared" si="226"/>
        <v>7137.8696716377426</v>
      </c>
    </row>
    <row r="912" spans="31:56" x14ac:dyDescent="0.25">
      <c r="AE912" s="71">
        <v>850</v>
      </c>
      <c r="AF912" s="17">
        <v>2.6389378290154264</v>
      </c>
      <c r="AG912" s="18">
        <v>-27500</v>
      </c>
      <c r="AH912" s="20">
        <v>9999.9999999999982</v>
      </c>
      <c r="AN912" s="23">
        <v>907</v>
      </c>
      <c r="AO912" s="58">
        <v>453.5</v>
      </c>
      <c r="AP912" s="45">
        <f t="shared" si="227"/>
        <v>-7451.6521808492016</v>
      </c>
      <c r="AQ912" s="45">
        <f t="shared" si="228"/>
        <v>-20659.996625840489</v>
      </c>
      <c r="AR912" s="45">
        <f t="shared" si="229"/>
        <v>2595.5303056149287</v>
      </c>
      <c r="AS912" s="45">
        <f t="shared" si="230"/>
        <v>827.60784604376317</v>
      </c>
      <c r="AT912" s="45">
        <f t="shared" si="216"/>
        <v>948.51928209841287</v>
      </c>
      <c r="AU912" s="45">
        <f t="shared" si="217"/>
        <v>2189.6867631024702</v>
      </c>
      <c r="AV912" s="64">
        <f t="shared" si="218"/>
        <v>215.12624807454213</v>
      </c>
      <c r="AW912" s="64">
        <f t="shared" si="219"/>
        <v>220.67722481690831</v>
      </c>
      <c r="AX912" s="64">
        <f t="shared" si="220"/>
        <v>-58.052407155705652</v>
      </c>
      <c r="AY912" s="64">
        <f t="shared" si="221"/>
        <v>141.84230730355276</v>
      </c>
      <c r="AZ912" s="64">
        <f t="shared" si="222"/>
        <v>791.44544117957639</v>
      </c>
      <c r="BA912" s="64">
        <f t="shared" si="223"/>
        <v>1827.1672309820092</v>
      </c>
      <c r="BB912" s="65">
        <f t="shared" si="224"/>
        <v>39326.563763258935</v>
      </c>
      <c r="BC912" s="65">
        <f t="shared" si="225"/>
        <v>33128.483606813897</v>
      </c>
      <c r="BD912" s="66">
        <f t="shared" si="226"/>
        <v>6168.1569549086835</v>
      </c>
    </row>
    <row r="913" spans="31:56" x14ac:dyDescent="0.25">
      <c r="AE913" s="71">
        <v>851</v>
      </c>
      <c r="AF913" s="17">
        <v>2.7017696820872223</v>
      </c>
      <c r="AG913" s="18">
        <v>-27485.200463212037</v>
      </c>
      <c r="AH913" s="20">
        <v>9529.0711035301501</v>
      </c>
      <c r="AN913" s="23">
        <v>908</v>
      </c>
      <c r="AO913" s="58">
        <v>454</v>
      </c>
      <c r="AP913" s="45">
        <f t="shared" si="227"/>
        <v>-5916.7572075171347</v>
      </c>
      <c r="AQ913" s="45">
        <f t="shared" si="228"/>
        <v>-19698.771012042991</v>
      </c>
      <c r="AR913" s="45">
        <f t="shared" si="229"/>
        <v>3069.7899466641352</v>
      </c>
      <c r="AS913" s="45">
        <f t="shared" si="230"/>
        <v>1922.4512275949983</v>
      </c>
      <c r="AT913" s="45">
        <f t="shared" si="216"/>
        <v>516.52068207505476</v>
      </c>
      <c r="AU913" s="45">
        <f t="shared" si="217"/>
        <v>2188.216070677604</v>
      </c>
      <c r="AV913" s="64">
        <f t="shared" si="218"/>
        <v>230.93405459917403</v>
      </c>
      <c r="AW913" s="64">
        <f t="shared" si="219"/>
        <v>242.35757659155496</v>
      </c>
      <c r="AX913" s="64">
        <f t="shared" si="220"/>
        <v>-66.642280128575194</v>
      </c>
      <c r="AY913" s="64">
        <f t="shared" si="221"/>
        <v>140.53537572436093</v>
      </c>
      <c r="AZ913" s="64">
        <f t="shared" si="222"/>
        <v>352.22890760445597</v>
      </c>
      <c r="BA913" s="64">
        <f t="shared" si="223"/>
        <v>1805.3231183616879</v>
      </c>
      <c r="BB913" s="65">
        <f t="shared" si="224"/>
        <v>37569.288637382284</v>
      </c>
      <c r="BC913" s="65">
        <f t="shared" si="225"/>
        <v>32868.750009359734</v>
      </c>
      <c r="BD913" s="66">
        <f t="shared" si="226"/>
        <v>4787.3680452990166</v>
      </c>
    </row>
    <row r="914" spans="31:56" x14ac:dyDescent="0.25">
      <c r="AE914" s="71">
        <v>852</v>
      </c>
      <c r="AF914" s="17">
        <v>2.7646015351590183</v>
      </c>
      <c r="AG914" s="18">
        <v>-27440.860259858586</v>
      </c>
      <c r="AH914" s="20">
        <v>9060.0007482677174</v>
      </c>
      <c r="AN914" s="23">
        <v>909</v>
      </c>
      <c r="AO914" s="58">
        <v>454.5</v>
      </c>
      <c r="AP914" s="45">
        <f t="shared" si="227"/>
        <v>-4252.7320636663035</v>
      </c>
      <c r="AQ914" s="45">
        <f t="shared" si="228"/>
        <v>-18190.491380576092</v>
      </c>
      <c r="AR914" s="45">
        <f t="shared" si="229"/>
        <v>3328.0502877016625</v>
      </c>
      <c r="AS914" s="45">
        <f t="shared" si="230"/>
        <v>3016.5592629338003</v>
      </c>
      <c r="AT914" s="45">
        <f t="shared" si="216"/>
        <v>-157.64445636334429</v>
      </c>
      <c r="AU914" s="45">
        <f t="shared" si="217"/>
        <v>1845.6466063867031</v>
      </c>
      <c r="AV914" s="64">
        <f t="shared" si="218"/>
        <v>256.5249229387619</v>
      </c>
      <c r="AW914" s="64">
        <f t="shared" si="219"/>
        <v>271.73232707807995</v>
      </c>
      <c r="AX914" s="64">
        <f t="shared" si="220"/>
        <v>-78.406989340969147</v>
      </c>
      <c r="AY914" s="64">
        <f t="shared" si="221"/>
        <v>140.36285952140375</v>
      </c>
      <c r="AZ914" s="64">
        <f t="shared" si="222"/>
        <v>-335.76238996113705</v>
      </c>
      <c r="BA914" s="64">
        <f t="shared" si="223"/>
        <v>1433.5514197872194</v>
      </c>
      <c r="BB914" s="65">
        <f t="shared" si="224"/>
        <v>35329.822528954799</v>
      </c>
      <c r="BC914" s="65">
        <f t="shared" si="225"/>
        <v>32290.559792871638</v>
      </c>
      <c r="BD914" s="66">
        <f t="shared" si="226"/>
        <v>3276.8345423903779</v>
      </c>
    </row>
    <row r="915" spans="31:56" x14ac:dyDescent="0.25">
      <c r="AE915" s="71">
        <v>853</v>
      </c>
      <c r="AF915" s="17">
        <v>2.8274333882308142</v>
      </c>
      <c r="AG915" s="18">
        <v>-27367.154380465166</v>
      </c>
      <c r="AH915" s="20">
        <v>8594.6401406070636</v>
      </c>
      <c r="AN915" s="23">
        <v>910</v>
      </c>
      <c r="AO915" s="58">
        <v>455</v>
      </c>
      <c r="AP915" s="45">
        <f t="shared" si="227"/>
        <v>-2628.1180339063085</v>
      </c>
      <c r="AQ915" s="45">
        <f t="shared" si="228"/>
        <v>-16220.800097512516</v>
      </c>
      <c r="AR915" s="45">
        <f t="shared" si="229"/>
        <v>3249.2280595199904</v>
      </c>
      <c r="AS915" s="45">
        <f t="shared" si="230"/>
        <v>3939.3825661271517</v>
      </c>
      <c r="AT915" s="45">
        <f t="shared" si="216"/>
        <v>-919.21043727750066</v>
      </c>
      <c r="AU915" s="45">
        <f t="shared" si="217"/>
        <v>1025.8149789509125</v>
      </c>
      <c r="AV915" s="64">
        <f t="shared" si="218"/>
        <v>294.27415555975654</v>
      </c>
      <c r="AW915" s="64">
        <f t="shared" si="219"/>
        <v>308.4842675576345</v>
      </c>
      <c r="AX915" s="64">
        <f t="shared" si="220"/>
        <v>-93.249690762993183</v>
      </c>
      <c r="AY915" s="64">
        <f t="shared" si="221"/>
        <v>140.74937335077425</v>
      </c>
      <c r="AZ915" s="64">
        <f t="shared" si="222"/>
        <v>-1120.234902074264</v>
      </c>
      <c r="BA915" s="64">
        <f t="shared" si="223"/>
        <v>576.58133804250372</v>
      </c>
      <c r="BB915" s="65">
        <f t="shared" si="224"/>
        <v>32782.740627082203</v>
      </c>
      <c r="BC915" s="65">
        <f t="shared" si="225"/>
        <v>31453.340693757851</v>
      </c>
      <c r="BD915" s="66">
        <f t="shared" si="226"/>
        <v>2667.6163403246433</v>
      </c>
    </row>
    <row r="916" spans="31:56" x14ac:dyDescent="0.25">
      <c r="AE916" s="71">
        <v>854</v>
      </c>
      <c r="AF916" s="17">
        <v>2.8902652413026098</v>
      </c>
      <c r="AG916" s="18">
        <v>-27264.373708464733</v>
      </c>
      <c r="AH916" s="20">
        <v>8134.8258462635877</v>
      </c>
      <c r="AN916" s="23">
        <v>911</v>
      </c>
      <c r="AO916" s="58">
        <v>455.5</v>
      </c>
      <c r="AP916" s="45">
        <f t="shared" si="227"/>
        <v>-1233.3066134656883</v>
      </c>
      <c r="AQ916" s="45">
        <f t="shared" si="228"/>
        <v>-13994.655069711212</v>
      </c>
      <c r="AR916" s="45">
        <f t="shared" si="229"/>
        <v>2789.6228408812403</v>
      </c>
      <c r="AS916" s="45">
        <f t="shared" si="230"/>
        <v>4452.2900556026079</v>
      </c>
      <c r="AT916" s="45">
        <f t="shared" si="216"/>
        <v>-1360.5847000417168</v>
      </c>
      <c r="AU916" s="45">
        <f t="shared" si="217"/>
        <v>64.526535851898473</v>
      </c>
      <c r="AV916" s="64">
        <f t="shared" si="218"/>
        <v>344.8922505457266</v>
      </c>
      <c r="AW916" s="64">
        <f t="shared" si="219"/>
        <v>349.13732922763131</v>
      </c>
      <c r="AX916" s="64">
        <f t="shared" si="220"/>
        <v>-110.37833261364842</v>
      </c>
      <c r="AY916" s="64">
        <f t="shared" si="221"/>
        <v>141.12715349922664</v>
      </c>
      <c r="AZ916" s="64">
        <f t="shared" si="222"/>
        <v>-1595.0986179737949</v>
      </c>
      <c r="BA916" s="64">
        <f t="shared" si="223"/>
        <v>-425.7379468749595</v>
      </c>
      <c r="BB916" s="65">
        <f t="shared" si="224"/>
        <v>30213.796621863123</v>
      </c>
      <c r="BC916" s="65">
        <f t="shared" si="225"/>
        <v>30461.980444130819</v>
      </c>
      <c r="BD916" s="66">
        <f t="shared" si="226"/>
        <v>3898.5506918621295</v>
      </c>
    </row>
    <row r="917" spans="31:56" x14ac:dyDescent="0.25">
      <c r="AE917" s="71">
        <v>855</v>
      </c>
      <c r="AF917" s="17">
        <v>2.9530970943744057</v>
      </c>
      <c r="AG917" s="18">
        <v>-27132.923872213651</v>
      </c>
      <c r="AH917" s="20">
        <v>7682.3725421878917</v>
      </c>
      <c r="AN917" s="23">
        <v>912</v>
      </c>
      <c r="AO917" s="58">
        <v>456</v>
      </c>
      <c r="AP917" s="45">
        <f t="shared" si="227"/>
        <v>-178.64136803549735</v>
      </c>
      <c r="AQ917" s="45">
        <f t="shared" si="228"/>
        <v>-11752.378407946935</v>
      </c>
      <c r="AR917" s="45">
        <f t="shared" si="229"/>
        <v>2109.3304908603818</v>
      </c>
      <c r="AS917" s="45">
        <f t="shared" si="230"/>
        <v>4484.5533235285575</v>
      </c>
      <c r="AT917" s="45">
        <f t="shared" si="216"/>
        <v>-1353.6219844023785</v>
      </c>
      <c r="AU917" s="45">
        <f t="shared" si="217"/>
        <v>-570.07575188941837</v>
      </c>
      <c r="AV917" s="64">
        <f t="shared" si="218"/>
        <v>406.23159441840511</v>
      </c>
      <c r="AW917" s="64">
        <f t="shared" si="219"/>
        <v>387.58428946537992</v>
      </c>
      <c r="AX917" s="64">
        <f t="shared" si="220"/>
        <v>-128.60484789739857</v>
      </c>
      <c r="AY917" s="64">
        <f t="shared" si="221"/>
        <v>141.1336815252111</v>
      </c>
      <c r="AZ917" s="64">
        <f t="shared" si="222"/>
        <v>-1631.248730923385</v>
      </c>
      <c r="BA917" s="64">
        <f t="shared" si="223"/>
        <v>-1098.7937228800095</v>
      </c>
      <c r="BB917" s="65">
        <f t="shared" si="224"/>
        <v>27889.633232127217</v>
      </c>
      <c r="BC917" s="65">
        <f t="shared" si="225"/>
        <v>29428.765254754908</v>
      </c>
      <c r="BD917" s="66">
        <f t="shared" si="226"/>
        <v>5813.1355620859131</v>
      </c>
    </row>
    <row r="918" spans="31:56" x14ac:dyDescent="0.25">
      <c r="AE918" s="71">
        <v>856</v>
      </c>
      <c r="AF918" s="17">
        <v>3.0159289474462017</v>
      </c>
      <c r="AG918" s="18">
        <v>-26973.323644161886</v>
      </c>
      <c r="AH918" s="20">
        <v>7239.0658548649126</v>
      </c>
      <c r="AN918" s="23">
        <v>913</v>
      </c>
      <c r="AO918" s="58">
        <v>456.5</v>
      </c>
      <c r="AP918" s="45">
        <f t="shared" si="227"/>
        <v>537.61838129409887</v>
      </c>
      <c r="AQ918" s="45">
        <f t="shared" si="228"/>
        <v>-9652.6206841550102</v>
      </c>
      <c r="AR918" s="45">
        <f t="shared" si="229"/>
        <v>1432.5194986591925</v>
      </c>
      <c r="AS918" s="45">
        <f t="shared" si="230"/>
        <v>4199.5154475838481</v>
      </c>
      <c r="AT918" s="45">
        <f t="shared" si="216"/>
        <v>-1115.5061707336604</v>
      </c>
      <c r="AU918" s="45">
        <f t="shared" si="217"/>
        <v>-834.5263362197594</v>
      </c>
      <c r="AV918" s="64">
        <f t="shared" si="218"/>
        <v>474.16353389705421</v>
      </c>
      <c r="AW918" s="64">
        <f t="shared" si="219"/>
        <v>417.89064660912953</v>
      </c>
      <c r="AX918" s="64">
        <f t="shared" si="220"/>
        <v>-147.01340707352725</v>
      </c>
      <c r="AY918" s="64">
        <f t="shared" si="221"/>
        <v>140.67837229524227</v>
      </c>
      <c r="AZ918" s="64">
        <f t="shared" si="222"/>
        <v>-1442.6562975571874</v>
      </c>
      <c r="BA918" s="64">
        <f t="shared" si="223"/>
        <v>-1393.0953551241312</v>
      </c>
      <c r="BB918" s="65">
        <f t="shared" si="224"/>
        <v>25942.179835292245</v>
      </c>
      <c r="BC918" s="65">
        <f t="shared" si="225"/>
        <v>28425.679737359784</v>
      </c>
      <c r="BD918" s="66">
        <f t="shared" si="226"/>
        <v>7698.0311044041073</v>
      </c>
    </row>
    <row r="919" spans="31:56" x14ac:dyDescent="0.25">
      <c r="AE919" s="71">
        <v>857</v>
      </c>
      <c r="AF919" s="17">
        <v>3.0787608005179976</v>
      </c>
      <c r="AG919" s="18">
        <v>-26786.202893495145</v>
      </c>
      <c r="AH919" s="20">
        <v>6806.6553132619556</v>
      </c>
      <c r="AN919" s="23">
        <v>914</v>
      </c>
      <c r="AO919" s="58">
        <v>457</v>
      </c>
      <c r="AP919" s="45">
        <f t="shared" si="227"/>
        <v>975.00158794028005</v>
      </c>
      <c r="AQ919" s="45">
        <f t="shared" si="228"/>
        <v>-7761.4945444180257</v>
      </c>
      <c r="AR919" s="45">
        <f t="shared" si="229"/>
        <v>874.76641329236236</v>
      </c>
      <c r="AS919" s="45">
        <f t="shared" si="230"/>
        <v>3782.2522794739684</v>
      </c>
      <c r="AT919" s="45">
        <f t="shared" si="216"/>
        <v>-833.99826217702662</v>
      </c>
      <c r="AU919" s="45">
        <f t="shared" si="217"/>
        <v>-893.11011405262673</v>
      </c>
      <c r="AV919" s="64">
        <f t="shared" si="218"/>
        <v>543.84324603994719</v>
      </c>
      <c r="AW919" s="64">
        <f t="shared" si="219"/>
        <v>436.26078450529928</v>
      </c>
      <c r="AX919" s="64">
        <f t="shared" si="220"/>
        <v>-165.10846410777043</v>
      </c>
      <c r="AY919" s="64">
        <f t="shared" si="221"/>
        <v>139.81277055890698</v>
      </c>
      <c r="AZ919" s="64">
        <f t="shared" si="222"/>
        <v>-1212.7330441092033</v>
      </c>
      <c r="BA919" s="64">
        <f t="shared" si="223"/>
        <v>-1469.183669116833</v>
      </c>
      <c r="BB919" s="65">
        <f t="shared" si="224"/>
        <v>24389.829444015719</v>
      </c>
      <c r="BC919" s="65">
        <f t="shared" si="225"/>
        <v>27484.930053858399</v>
      </c>
      <c r="BD919" s="66">
        <f t="shared" si="226"/>
        <v>9385.9791820767896</v>
      </c>
    </row>
    <row r="920" spans="31:56" x14ac:dyDescent="0.25">
      <c r="AE920" s="71">
        <v>858</v>
      </c>
      <c r="AF920" s="17">
        <v>3.1415926535897936</v>
      </c>
      <c r="AG920" s="18">
        <v>-26572.300100328976</v>
      </c>
      <c r="AH920" s="20">
        <v>6386.8474442371353</v>
      </c>
      <c r="AN920" s="23">
        <v>915</v>
      </c>
      <c r="AO920" s="58">
        <v>457.5</v>
      </c>
      <c r="AP920" s="45">
        <f t="shared" si="227"/>
        <v>1203.8852290422046</v>
      </c>
      <c r="AQ920" s="45">
        <f t="shared" si="228"/>
        <v>-6093.6459331941978</v>
      </c>
      <c r="AR920" s="45">
        <f t="shared" si="229"/>
        <v>457.76728220384905</v>
      </c>
      <c r="AS920" s="45">
        <f t="shared" si="230"/>
        <v>3335.6972224476549</v>
      </c>
      <c r="AT920" s="45">
        <f t="shared" si="216"/>
        <v>-582.53426672063301</v>
      </c>
      <c r="AU920" s="45">
        <f t="shared" si="217"/>
        <v>-870.50447154710321</v>
      </c>
      <c r="AV920" s="64">
        <f t="shared" si="218"/>
        <v>610.59444366743799</v>
      </c>
      <c r="AW920" s="64">
        <f t="shared" si="219"/>
        <v>441.59150851832595</v>
      </c>
      <c r="AX920" s="64">
        <f t="shared" si="220"/>
        <v>-182.61627409110676</v>
      </c>
      <c r="AY920" s="64">
        <f t="shared" si="221"/>
        <v>138.6048653402456</v>
      </c>
      <c r="AZ920" s="64">
        <f t="shared" si="222"/>
        <v>-1010.5124362969642</v>
      </c>
      <c r="BA920" s="64">
        <f t="shared" si="223"/>
        <v>-1450.7008454056747</v>
      </c>
      <c r="BB920" s="65">
        <f t="shared" si="224"/>
        <v>23196.57604561641</v>
      </c>
      <c r="BC920" s="65">
        <f t="shared" si="225"/>
        <v>26619.733060821858</v>
      </c>
      <c r="BD920" s="66">
        <f t="shared" si="226"/>
        <v>10854.092992896103</v>
      </c>
    </row>
    <row r="921" spans="31:56" x14ac:dyDescent="0.25">
      <c r="AE921" s="71">
        <v>859</v>
      </c>
      <c r="AF921" s="17">
        <v>3.2044245066615891</v>
      </c>
      <c r="AG921" s="18">
        <v>-26332.459441265113</v>
      </c>
      <c r="AH921" s="20">
        <v>5981.2990376575244</v>
      </c>
      <c r="AN921" s="23">
        <v>916</v>
      </c>
      <c r="AO921" s="58">
        <v>458</v>
      </c>
      <c r="AP921" s="45">
        <f t="shared" si="227"/>
        <v>1287.1353034639708</v>
      </c>
      <c r="AQ921" s="45">
        <f t="shared" si="228"/>
        <v>-4643.4234398571471</v>
      </c>
      <c r="AR921" s="45">
        <f t="shared" si="229"/>
        <v>166.50014884353254</v>
      </c>
      <c r="AS921" s="45">
        <f t="shared" si="230"/>
        <v>2900.4449866741033</v>
      </c>
      <c r="AT921" s="45">
        <f t="shared" si="216"/>
        <v>-377.79062922556648</v>
      </c>
      <c r="AU921" s="45">
        <f t="shared" si="217"/>
        <v>-826.4237345831624</v>
      </c>
      <c r="AV921" s="64">
        <f t="shared" si="218"/>
        <v>670.63453313574428</v>
      </c>
      <c r="AW921" s="64">
        <f t="shared" si="219"/>
        <v>435.19788345211322</v>
      </c>
      <c r="AX921" s="64">
        <f t="shared" si="220"/>
        <v>-199.30593451681648</v>
      </c>
      <c r="AY921" s="64">
        <f t="shared" si="221"/>
        <v>137.10258104721422</v>
      </c>
      <c r="AZ921" s="64">
        <f t="shared" si="222"/>
        <v>-849.11922784449428</v>
      </c>
      <c r="BA921" s="64">
        <f t="shared" si="223"/>
        <v>-1398.7241990824898</v>
      </c>
      <c r="BB921" s="65">
        <f t="shared" si="224"/>
        <v>22307.712522590398</v>
      </c>
      <c r="BC921" s="65">
        <f t="shared" si="225"/>
        <v>25837.414334002926</v>
      </c>
      <c r="BD921" s="66">
        <f t="shared" si="226"/>
        <v>12115.558112202812</v>
      </c>
    </row>
    <row r="922" spans="31:56" x14ac:dyDescent="0.25">
      <c r="AE922" s="71">
        <v>860</v>
      </c>
      <c r="AF922" s="17">
        <v>3.267256359733385</v>
      </c>
      <c r="AG922" s="18">
        <v>-26067.627457812105</v>
      </c>
      <c r="AH922" s="20">
        <v>5591.6106078064495</v>
      </c>
      <c r="AN922" s="23">
        <v>917</v>
      </c>
      <c r="AO922" s="58">
        <v>458.5</v>
      </c>
      <c r="AP922" s="45">
        <f t="shared" si="227"/>
        <v>1275.9377205793453</v>
      </c>
      <c r="AQ922" s="45">
        <f t="shared" si="228"/>
        <v>-3399.806880165886</v>
      </c>
      <c r="AR922" s="45">
        <f t="shared" si="229"/>
        <v>-22.395165769250696</v>
      </c>
      <c r="AS922" s="45">
        <f t="shared" si="230"/>
        <v>2487.2331193825221</v>
      </c>
      <c r="AT922" s="45">
        <f t="shared" si="216"/>
        <v>-218.05224402278964</v>
      </c>
      <c r="AU922" s="45">
        <f t="shared" si="217"/>
        <v>-784.13478725162531</v>
      </c>
      <c r="AV922" s="64">
        <f t="shared" si="218"/>
        <v>721.56712817429832</v>
      </c>
      <c r="AW922" s="64">
        <f t="shared" si="219"/>
        <v>420.04465862197014</v>
      </c>
      <c r="AX922" s="64">
        <f t="shared" si="220"/>
        <v>-214.90673828332936</v>
      </c>
      <c r="AY922" s="64">
        <f t="shared" si="221"/>
        <v>135.35049914427699</v>
      </c>
      <c r="AZ922" s="64">
        <f t="shared" si="222"/>
        <v>-724.71263391375862</v>
      </c>
      <c r="BA922" s="64">
        <f t="shared" si="223"/>
        <v>-1339.5299450178725</v>
      </c>
      <c r="BB922" s="65">
        <f t="shared" si="224"/>
        <v>21665.5555725796</v>
      </c>
      <c r="BC922" s="65">
        <f t="shared" si="225"/>
        <v>25143.992330489447</v>
      </c>
      <c r="BD922" s="66">
        <f t="shared" si="226"/>
        <v>13189.081646954703</v>
      </c>
    </row>
    <row r="923" spans="31:56" x14ac:dyDescent="0.25">
      <c r="AE923" s="71">
        <v>861</v>
      </c>
      <c r="AF923" s="17">
        <v>3.330088212805181</v>
      </c>
      <c r="AG923" s="18">
        <v>-25778.849320818419</v>
      </c>
      <c r="AH923" s="20">
        <v>5219.3200768848255</v>
      </c>
      <c r="AN923" s="23">
        <v>918</v>
      </c>
      <c r="AO923" s="58">
        <v>459</v>
      </c>
      <c r="AP923" s="45">
        <f t="shared" si="227"/>
        <v>1210.2270766890226</v>
      </c>
      <c r="AQ923" s="45">
        <f t="shared" si="228"/>
        <v>-2352.2240172875313</v>
      </c>
      <c r="AR923" s="45">
        <f t="shared" si="229"/>
        <v>-131.42128778064551</v>
      </c>
      <c r="AS923" s="45">
        <f t="shared" si="230"/>
        <v>2095.1657257567094</v>
      </c>
      <c r="AT923" s="45">
        <f t="shared" si="216"/>
        <v>-97.010498939141712</v>
      </c>
      <c r="AU923" s="45">
        <f t="shared" si="217"/>
        <v>-750.65870023649643</v>
      </c>
      <c r="AV923" s="64">
        <f t="shared" si="218"/>
        <v>762.48581872435716</v>
      </c>
      <c r="AW923" s="64">
        <f t="shared" si="219"/>
        <v>399.80159029795897</v>
      </c>
      <c r="AX923" s="64">
        <f t="shared" si="220"/>
        <v>-229.09481337195118</v>
      </c>
      <c r="AY923" s="64">
        <f t="shared" si="221"/>
        <v>133.41820649714447</v>
      </c>
      <c r="AZ923" s="64">
        <f t="shared" si="222"/>
        <v>-630.40150429154767</v>
      </c>
      <c r="BA923" s="64">
        <f t="shared" si="223"/>
        <v>-1283.8784970315999</v>
      </c>
      <c r="BB923" s="65">
        <f t="shared" si="224"/>
        <v>21216.076088579801</v>
      </c>
      <c r="BC923" s="65">
        <f t="shared" si="225"/>
        <v>24544.88074564566</v>
      </c>
      <c r="BD923" s="66">
        <f t="shared" si="226"/>
        <v>14090.179475539686</v>
      </c>
    </row>
    <row r="924" spans="31:56" x14ac:dyDescent="0.25">
      <c r="AE924" s="71">
        <v>862</v>
      </c>
      <c r="AF924" s="17">
        <v>3.3929200658769769</v>
      </c>
      <c r="AG924" s="18">
        <v>-25467.264705660586</v>
      </c>
      <c r="AH924" s="20">
        <v>4865.8967055348348</v>
      </c>
      <c r="AN924" s="23">
        <v>919</v>
      </c>
      <c r="AO924" s="58">
        <v>459.5</v>
      </c>
      <c r="AP924" s="45">
        <f t="shared" si="227"/>
        <v>1120.2638080639144</v>
      </c>
      <c r="AQ924" s="45">
        <f t="shared" si="228"/>
        <v>-1492.3058294683008</v>
      </c>
      <c r="AR924" s="45">
        <f t="shared" si="229"/>
        <v>-179.92653725021637</v>
      </c>
      <c r="AS924" s="45">
        <f t="shared" si="230"/>
        <v>1719.8363756384613</v>
      </c>
      <c r="AT924" s="45">
        <f t="shared" si="216"/>
        <v>-7.8422337160596953</v>
      </c>
      <c r="AU924" s="45">
        <f t="shared" si="217"/>
        <v>-726.56704834702055</v>
      </c>
      <c r="AV924" s="64">
        <f t="shared" si="218"/>
        <v>793.71027963867073</v>
      </c>
      <c r="AW924" s="64">
        <f t="shared" si="219"/>
        <v>378.03947586684041</v>
      </c>
      <c r="AX924" s="64">
        <f t="shared" si="220"/>
        <v>-241.5164656820802</v>
      </c>
      <c r="AY924" s="64">
        <f t="shared" si="221"/>
        <v>131.4179174888435</v>
      </c>
      <c r="AZ924" s="64">
        <f t="shared" si="222"/>
        <v>-560.03604767265017</v>
      </c>
      <c r="BA924" s="64">
        <f t="shared" si="223"/>
        <v>-1236.0244417027045</v>
      </c>
      <c r="BB924" s="65">
        <f t="shared" si="224"/>
        <v>20911.862729269022</v>
      </c>
      <c r="BC924" s="65">
        <f t="shared" si="225"/>
        <v>24044.513648652694</v>
      </c>
      <c r="BD924" s="66">
        <f t="shared" si="226"/>
        <v>14829.545875882815</v>
      </c>
    </row>
    <row r="925" spans="31:56" x14ac:dyDescent="0.25">
      <c r="AE925" s="71">
        <v>863</v>
      </c>
      <c r="AF925" s="17">
        <v>3.4557519189487729</v>
      </c>
      <c r="AG925" s="18">
        <v>-25134.103294465163</v>
      </c>
      <c r="AH925" s="20">
        <v>4532.7352943394135</v>
      </c>
      <c r="AN925" s="23">
        <v>920</v>
      </c>
      <c r="AO925" s="58">
        <v>460</v>
      </c>
      <c r="AP925" s="45">
        <f t="shared" si="227"/>
        <v>1028.3399810097912</v>
      </c>
      <c r="AQ925" s="45">
        <f t="shared" si="228"/>
        <v>-814.02940373582533</v>
      </c>
      <c r="AR925" s="45">
        <f t="shared" si="229"/>
        <v>-183.84765410824622</v>
      </c>
      <c r="AS925" s="45">
        <f t="shared" si="230"/>
        <v>1356.5528514649509</v>
      </c>
      <c r="AT925" s="45">
        <f t="shared" si="216"/>
        <v>55.606634718987948</v>
      </c>
      <c r="AU925" s="45">
        <f t="shared" si="217"/>
        <v>-710.28860553818754</v>
      </c>
      <c r="AV925" s="64">
        <f t="shared" si="218"/>
        <v>816.32408455422956</v>
      </c>
      <c r="AW925" s="64">
        <f t="shared" si="219"/>
        <v>357.74109567470725</v>
      </c>
      <c r="AX925" s="64">
        <f t="shared" si="220"/>
        <v>-251.8247829036944</v>
      </c>
      <c r="AY925" s="64">
        <f t="shared" si="221"/>
        <v>129.50335639281266</v>
      </c>
      <c r="AZ925" s="64">
        <f t="shared" si="222"/>
        <v>-508.89266693154718</v>
      </c>
      <c r="BA925" s="64">
        <f t="shared" si="223"/>
        <v>-1197.5330576057074</v>
      </c>
      <c r="BB925" s="65">
        <f t="shared" si="224"/>
        <v>20713.448983748105</v>
      </c>
      <c r="BC925" s="65">
        <f t="shared" si="225"/>
        <v>23646.021109307119</v>
      </c>
      <c r="BD925" s="66">
        <f t="shared" si="226"/>
        <v>15413.71612184138</v>
      </c>
    </row>
    <row r="926" spans="31:56" x14ac:dyDescent="0.25">
      <c r="AE926" s="71">
        <v>864</v>
      </c>
      <c r="AF926" s="17">
        <v>3.5185837720205688</v>
      </c>
      <c r="AG926" s="18">
        <v>-24780.679923115171</v>
      </c>
      <c r="AH926" s="20">
        <v>4221.15067918158</v>
      </c>
      <c r="AN926" s="23">
        <v>921</v>
      </c>
      <c r="AO926" s="58">
        <v>460.5</v>
      </c>
      <c r="AP926" s="45">
        <f t="shared" si="227"/>
        <v>950.31781263541518</v>
      </c>
      <c r="AQ926" s="45">
        <f t="shared" si="228"/>
        <v>-313.32512938789677</v>
      </c>
      <c r="AR926" s="45">
        <f t="shared" si="229"/>
        <v>-156.04433674875224</v>
      </c>
      <c r="AS926" s="45">
        <f t="shared" si="230"/>
        <v>1001.4085486958571</v>
      </c>
      <c r="AT926" s="45">
        <f t="shared" si="216"/>
        <v>98.414510186600637</v>
      </c>
      <c r="AU926" s="45">
        <f t="shared" si="217"/>
        <v>-699.89600396770038</v>
      </c>
      <c r="AV926" s="64">
        <f t="shared" si="218"/>
        <v>831.69858311643566</v>
      </c>
      <c r="AW926" s="64">
        <f t="shared" si="219"/>
        <v>341.12545162828047</v>
      </c>
      <c r="AX926" s="64">
        <f t="shared" si="220"/>
        <v>-259.71446990972356</v>
      </c>
      <c r="AY926" s="64">
        <f t="shared" si="221"/>
        <v>127.85103275952015</v>
      </c>
      <c r="AZ926" s="64">
        <f t="shared" si="222"/>
        <v>-473.56960302011146</v>
      </c>
      <c r="BA926" s="64">
        <f t="shared" si="223"/>
        <v>-1168.872488355501</v>
      </c>
      <c r="BB926" s="65">
        <f t="shared" si="224"/>
        <v>20589.765443470209</v>
      </c>
      <c r="BC926" s="65">
        <f t="shared" si="225"/>
        <v>23351.241758735072</v>
      </c>
      <c r="BD926" s="66">
        <f t="shared" si="226"/>
        <v>15846.283502021392</v>
      </c>
    </row>
    <row r="927" spans="31:56" x14ac:dyDescent="0.25">
      <c r="AE927" s="71">
        <v>865</v>
      </c>
      <c r="AF927" s="17">
        <v>3.5814156250923643</v>
      </c>
      <c r="AG927" s="18">
        <v>-24408.389392193549</v>
      </c>
      <c r="AH927" s="20">
        <v>3932.3725421878953</v>
      </c>
      <c r="AN927" s="23">
        <v>922</v>
      </c>
      <c r="AO927" s="58">
        <v>461</v>
      </c>
      <c r="AP927" s="45">
        <f t="shared" si="227"/>
        <v>896.89927180768927</v>
      </c>
      <c r="AQ927" s="45">
        <f t="shared" si="228"/>
        <v>12.4051439681067</v>
      </c>
      <c r="AR927" s="45">
        <f t="shared" si="229"/>
        <v>-106.83708165545193</v>
      </c>
      <c r="AS927" s="45">
        <f t="shared" si="230"/>
        <v>651.46054671200693</v>
      </c>
      <c r="AT927" s="45">
        <f t="shared" si="216"/>
        <v>124.41044730530109</v>
      </c>
      <c r="AU927" s="45">
        <f t="shared" si="217"/>
        <v>-693.77773493229597</v>
      </c>
      <c r="AV927" s="64">
        <f t="shared" si="218"/>
        <v>841.11472909380541</v>
      </c>
      <c r="AW927" s="64">
        <f t="shared" si="219"/>
        <v>329.68084126787704</v>
      </c>
      <c r="AX927" s="64">
        <f t="shared" si="220"/>
        <v>-264.94724288244021</v>
      </c>
      <c r="AY927" s="64">
        <f t="shared" si="221"/>
        <v>126.6305438770287</v>
      </c>
      <c r="AZ927" s="64">
        <f t="shared" si="222"/>
        <v>-451.75703890606417</v>
      </c>
      <c r="BA927" s="64">
        <f t="shared" si="223"/>
        <v>-1150.0891200772016</v>
      </c>
      <c r="BB927" s="65">
        <f t="shared" si="224"/>
        <v>20518.102596476529</v>
      </c>
      <c r="BC927" s="65">
        <f t="shared" si="225"/>
        <v>23161.011424035682</v>
      </c>
      <c r="BD927" s="66">
        <f t="shared" si="226"/>
        <v>16129.033735115259</v>
      </c>
    </row>
    <row r="928" spans="31:56" x14ac:dyDescent="0.25">
      <c r="AE928" s="71">
        <v>866</v>
      </c>
      <c r="AF928" s="17">
        <v>3.6442474781641603</v>
      </c>
      <c r="AG928" s="18">
        <v>-24018.700962342471</v>
      </c>
      <c r="AH928" s="20">
        <v>3667.5405587348851</v>
      </c>
      <c r="AN928" s="23">
        <v>923</v>
      </c>
      <c r="AO928" s="58">
        <v>461.5</v>
      </c>
      <c r="AP928" s="45">
        <f t="shared" si="227"/>
        <v>874.58334280628856</v>
      </c>
      <c r="AQ928" s="45">
        <f t="shared" si="228"/>
        <v>164.69098359103617</v>
      </c>
      <c r="AR928" s="45">
        <f t="shared" si="229"/>
        <v>-44.63185800280138</v>
      </c>
      <c r="AS928" s="45">
        <f t="shared" si="230"/>
        <v>304.57167924585895</v>
      </c>
      <c r="AT928" s="45">
        <f t="shared" si="216"/>
        <v>136.10081396814093</v>
      </c>
      <c r="AU928" s="45">
        <f t="shared" si="217"/>
        <v>-690.84256716672917</v>
      </c>
      <c r="AV928" s="64">
        <f t="shared" si="218"/>
        <v>845.51332619340189</v>
      </c>
      <c r="AW928" s="64">
        <f t="shared" si="219"/>
        <v>324.28582531233769</v>
      </c>
      <c r="AX928" s="64">
        <f t="shared" si="220"/>
        <v>-267.36630107119043</v>
      </c>
      <c r="AY928" s="64">
        <f t="shared" si="221"/>
        <v>125.97282295052875</v>
      </c>
      <c r="AZ928" s="64">
        <f t="shared" si="222"/>
        <v>-442.04621115407059</v>
      </c>
      <c r="BA928" s="64">
        <f t="shared" si="223"/>
        <v>-1141.1012154295956</v>
      </c>
      <c r="BB928" s="65">
        <f t="shared" si="224"/>
        <v>20483.855122448836</v>
      </c>
      <c r="BC928" s="65">
        <f t="shared" si="225"/>
        <v>23075.561383940829</v>
      </c>
      <c r="BD928" s="66">
        <f t="shared" si="226"/>
        <v>16262.797486268602</v>
      </c>
    </row>
    <row r="929" spans="31:56" x14ac:dyDescent="0.25">
      <c r="AE929" s="71">
        <v>867</v>
      </c>
      <c r="AF929" s="17">
        <v>3.7070793312359562</v>
      </c>
      <c r="AG929" s="18">
        <v>-23613.152555762863</v>
      </c>
      <c r="AH929" s="20">
        <v>3427.6998996710236</v>
      </c>
      <c r="AN929" s="23">
        <v>924</v>
      </c>
      <c r="AO929" s="58">
        <v>462</v>
      </c>
      <c r="AP929" s="45">
        <f t="shared" si="227"/>
        <v>886.29261729692303</v>
      </c>
      <c r="AQ929" s="45">
        <f t="shared" si="228"/>
        <v>144.26618142228335</v>
      </c>
      <c r="AR929" s="45">
        <f t="shared" si="229"/>
        <v>23.418548981269083</v>
      </c>
      <c r="AS929" s="45">
        <f t="shared" si="230"/>
        <v>-40.849604337505639</v>
      </c>
      <c r="AT929" s="45">
        <f t="shared" si="216"/>
        <v>134.64744826634518</v>
      </c>
      <c r="AU929" s="45">
        <f t="shared" si="217"/>
        <v>-690.55319352160905</v>
      </c>
      <c r="AV929" s="64">
        <f t="shared" si="218"/>
        <v>845.35607989263019</v>
      </c>
      <c r="AW929" s="64">
        <f t="shared" si="219"/>
        <v>325.32748258109626</v>
      </c>
      <c r="AX929" s="64">
        <f t="shared" si="220"/>
        <v>-266.90246128958603</v>
      </c>
      <c r="AY929" s="64">
        <f t="shared" si="221"/>
        <v>125.94478408365042</v>
      </c>
      <c r="AZ929" s="64">
        <f t="shared" si="222"/>
        <v>-443.80617033669893</v>
      </c>
      <c r="BA929" s="64">
        <f t="shared" si="223"/>
        <v>-1141.8254601863557</v>
      </c>
      <c r="BB929" s="65">
        <f t="shared" si="224"/>
        <v>20480.249752416741</v>
      </c>
      <c r="BC929" s="65">
        <f t="shared" si="225"/>
        <v>23094.863247008165</v>
      </c>
      <c r="BD929" s="66">
        <f t="shared" si="226"/>
        <v>16247.991843616088</v>
      </c>
    </row>
    <row r="930" spans="31:56" x14ac:dyDescent="0.25">
      <c r="AE930" s="71">
        <v>868</v>
      </c>
      <c r="AF930" s="17">
        <v>3.7699111843077522</v>
      </c>
      <c r="AG930" s="18">
        <v>-23193.344686738041</v>
      </c>
      <c r="AH930" s="20">
        <v>3213.7971065048514</v>
      </c>
      <c r="AN930" s="23">
        <v>925</v>
      </c>
      <c r="AO930" s="58">
        <v>462.5</v>
      </c>
      <c r="AP930" s="45">
        <f t="shared" si="227"/>
        <v>931.66375385414392</v>
      </c>
      <c r="AQ930" s="45">
        <f t="shared" si="228"/>
        <v>-48.796919126871728</v>
      </c>
      <c r="AR930" s="45">
        <f t="shared" si="229"/>
        <v>90.742273114441673</v>
      </c>
      <c r="AS930" s="45">
        <f t="shared" si="230"/>
        <v>-386.12620109831016</v>
      </c>
      <c r="AT930" s="45">
        <f t="shared" si="216"/>
        <v>119.86626296794714</v>
      </c>
      <c r="AU930" s="45">
        <f t="shared" si="217"/>
        <v>-692.91915666225145</v>
      </c>
      <c r="AV930" s="64">
        <f t="shared" si="218"/>
        <v>840.5682266056931</v>
      </c>
      <c r="AW930" s="64">
        <f t="shared" si="219"/>
        <v>332.76520601526101</v>
      </c>
      <c r="AX930" s="64">
        <f t="shared" si="220"/>
        <v>-263.57576163931554</v>
      </c>
      <c r="AY930" s="64">
        <f t="shared" si="221"/>
        <v>126.53649192267301</v>
      </c>
      <c r="AZ930" s="64">
        <f t="shared" si="222"/>
        <v>-457.12620199843047</v>
      </c>
      <c r="BA930" s="64">
        <f t="shared" si="223"/>
        <v>-1152.2208546001855</v>
      </c>
      <c r="BB930" s="65">
        <f t="shared" si="224"/>
        <v>20508.188172588507</v>
      </c>
      <c r="BC930" s="65">
        <f t="shared" si="225"/>
        <v>23218.804168739291</v>
      </c>
      <c r="BD930" s="66">
        <f t="shared" si="226"/>
        <v>16084.872037237261</v>
      </c>
    </row>
    <row r="931" spans="31:56" x14ac:dyDescent="0.25">
      <c r="AE931" s="71">
        <v>869</v>
      </c>
      <c r="AF931" s="17">
        <v>3.8327430373795481</v>
      </c>
      <c r="AG931" s="18">
        <v>-22760.934145135085</v>
      </c>
      <c r="AH931" s="20">
        <v>3026.6763558381144</v>
      </c>
      <c r="AN931" s="23">
        <v>926</v>
      </c>
      <c r="AO931" s="58">
        <v>463</v>
      </c>
      <c r="AP931" s="45">
        <f t="shared" si="227"/>
        <v>1007.0014561533516</v>
      </c>
      <c r="AQ931" s="45">
        <f t="shared" si="228"/>
        <v>-415.08980884158967</v>
      </c>
      <c r="AR931" s="45">
        <f t="shared" si="229"/>
        <v>150.67540459841524</v>
      </c>
      <c r="AS931" s="45">
        <f t="shared" si="230"/>
        <v>-732.58577942943589</v>
      </c>
      <c r="AT931" s="45">
        <f t="shared" si="216"/>
        <v>90.230604723269323</v>
      </c>
      <c r="AU931" s="45">
        <f t="shared" si="217"/>
        <v>-698.49570976750317</v>
      </c>
      <c r="AV931" s="64">
        <f t="shared" si="218"/>
        <v>830.54503536848244</v>
      </c>
      <c r="AW931" s="64">
        <f t="shared" si="219"/>
        <v>346.11904645034815</v>
      </c>
      <c r="AX931" s="64">
        <f t="shared" si="220"/>
        <v>-257.49494669432426</v>
      </c>
      <c r="AY931" s="64">
        <f t="shared" si="221"/>
        <v>127.66376965993426</v>
      </c>
      <c r="AZ931" s="64">
        <f t="shared" si="222"/>
        <v>-482.81948395088881</v>
      </c>
      <c r="BA931" s="64">
        <f t="shared" si="223"/>
        <v>-1172.2785258777856</v>
      </c>
      <c r="BB931" s="65">
        <f t="shared" si="224"/>
        <v>20576.264004152672</v>
      </c>
      <c r="BC931" s="65">
        <f t="shared" si="225"/>
        <v>23447.1364116189</v>
      </c>
      <c r="BD931" s="66">
        <f t="shared" si="226"/>
        <v>15773.511713578082</v>
      </c>
    </row>
    <row r="932" spans="31:56" x14ac:dyDescent="0.25">
      <c r="AE932" s="71">
        <v>870</v>
      </c>
      <c r="AF932" s="17">
        <v>3.8955748904513436</v>
      </c>
      <c r="AG932" s="18">
        <v>-22317.627457812108</v>
      </c>
      <c r="AH932" s="20">
        <v>2867.0761277863485</v>
      </c>
      <c r="AN932" s="23">
        <v>927</v>
      </c>
      <c r="AO932" s="58">
        <v>463.5</v>
      </c>
      <c r="AP932" s="45">
        <f t="shared" si="227"/>
        <v>1104.8968096333765</v>
      </c>
      <c r="AQ932" s="45">
        <f t="shared" si="228"/>
        <v>-956.00662599818338</v>
      </c>
      <c r="AR932" s="45">
        <f t="shared" si="229"/>
        <v>195.7907069600499</v>
      </c>
      <c r="AS932" s="45">
        <f t="shared" si="230"/>
        <v>-1081.8336343131875</v>
      </c>
      <c r="AT932" s="45">
        <f t="shared" si="216"/>
        <v>42.883546243354999</v>
      </c>
      <c r="AU932" s="45">
        <f t="shared" si="217"/>
        <v>-708.38410584174039</v>
      </c>
      <c r="AV932" s="64">
        <f t="shared" si="218"/>
        <v>814.2254849372523</v>
      </c>
      <c r="AW932" s="64">
        <f t="shared" si="219"/>
        <v>364.38520744338928</v>
      </c>
      <c r="AX932" s="64">
        <f t="shared" si="220"/>
        <v>-248.85441886936505</v>
      </c>
      <c r="AY932" s="64">
        <f t="shared" si="221"/>
        <v>129.18569025161952</v>
      </c>
      <c r="AZ932" s="64">
        <f t="shared" si="222"/>
        <v>-522.48751982453223</v>
      </c>
      <c r="BA932" s="64">
        <f t="shared" si="223"/>
        <v>-1201.9550035367492</v>
      </c>
      <c r="BB932" s="65">
        <f t="shared" si="224"/>
        <v>20700.941346555428</v>
      </c>
      <c r="BC932" s="65">
        <f t="shared" si="225"/>
        <v>23779.208366431991</v>
      </c>
      <c r="BD932" s="66">
        <f t="shared" si="226"/>
        <v>15313.507597715119</v>
      </c>
    </row>
    <row r="933" spans="31:56" x14ac:dyDescent="0.25">
      <c r="AE933" s="71">
        <v>871</v>
      </c>
      <c r="AF933" s="17">
        <v>3.9584067435231396</v>
      </c>
      <c r="AG933" s="18">
        <v>-21865.174153736407</v>
      </c>
      <c r="AH933" s="20">
        <v>2735.6262915352663</v>
      </c>
      <c r="AN933" s="23">
        <v>928</v>
      </c>
      <c r="AO933" s="58">
        <v>464</v>
      </c>
      <c r="AP933" s="45">
        <f t="shared" si="227"/>
        <v>1213.5130496742404</v>
      </c>
      <c r="AQ933" s="45">
        <f t="shared" si="228"/>
        <v>-1674.0194696152121</v>
      </c>
      <c r="AR933" s="45">
        <f t="shared" si="229"/>
        <v>217.2324800817274</v>
      </c>
      <c r="AS933" s="45">
        <f t="shared" si="230"/>
        <v>-1436.0256872340578</v>
      </c>
      <c r="AT933" s="45">
        <f t="shared" si="216"/>
        <v>-26.317830177283327</v>
      </c>
      <c r="AU933" s="45">
        <f t="shared" si="217"/>
        <v>-724.17447945393701</v>
      </c>
      <c r="AV933" s="64">
        <f t="shared" si="218"/>
        <v>790.25611796838427</v>
      </c>
      <c r="AW933" s="64">
        <f t="shared" si="219"/>
        <v>385.90637149958366</v>
      </c>
      <c r="AX933" s="64">
        <f t="shared" si="220"/>
        <v>-237.9256658705857</v>
      </c>
      <c r="AY933" s="64">
        <f t="shared" si="221"/>
        <v>130.93299771661506</v>
      </c>
      <c r="AZ933" s="64">
        <f t="shared" si="222"/>
        <v>-578.6482822750819</v>
      </c>
      <c r="BA933" s="64">
        <f t="shared" si="223"/>
        <v>-1241.0138486701358</v>
      </c>
      <c r="BB933" s="65">
        <f t="shared" si="224"/>
        <v>20906.810497147548</v>
      </c>
      <c r="BC933" s="65">
        <f t="shared" si="225"/>
        <v>24213.547168592511</v>
      </c>
      <c r="BD933" s="66">
        <f t="shared" si="226"/>
        <v>14703.384015751833</v>
      </c>
    </row>
    <row r="934" spans="31:56" x14ac:dyDescent="0.25">
      <c r="AE934" s="71">
        <v>872</v>
      </c>
      <c r="AF934" s="17">
        <v>4.0212385965949355</v>
      </c>
      <c r="AG934" s="18">
        <v>-21405.359859392935</v>
      </c>
      <c r="AH934" s="20">
        <v>2632.8456195348344</v>
      </c>
      <c r="AN934" s="23">
        <v>929</v>
      </c>
      <c r="AO934" s="58">
        <v>464.5</v>
      </c>
      <c r="AP934" s="45">
        <f t="shared" si="227"/>
        <v>1315.5498321707832</v>
      </c>
      <c r="AQ934" s="45">
        <f t="shared" si="228"/>
        <v>-2573.0759330957253</v>
      </c>
      <c r="AR934" s="45">
        <f t="shared" si="229"/>
        <v>204.07356499308574</v>
      </c>
      <c r="AS934" s="45">
        <f t="shared" si="230"/>
        <v>-1798.1129269610265</v>
      </c>
      <c r="AT934" s="45">
        <f t="shared" si="216"/>
        <v>-122.69023319889698</v>
      </c>
      <c r="AU934" s="45">
        <f t="shared" si="217"/>
        <v>-747.67917601884062</v>
      </c>
      <c r="AV934" s="64">
        <f t="shared" si="218"/>
        <v>757.27492775111739</v>
      </c>
      <c r="AW934" s="64">
        <f t="shared" si="219"/>
        <v>408.25862045438106</v>
      </c>
      <c r="AX934" s="64">
        <f t="shared" si="220"/>
        <v>-225.0394302100319</v>
      </c>
      <c r="AY934" s="64">
        <f t="shared" si="221"/>
        <v>132.74055167467273</v>
      </c>
      <c r="AZ934" s="64">
        <f t="shared" si="222"/>
        <v>-654.92573073998244</v>
      </c>
      <c r="BA934" s="64">
        <f t="shared" si="223"/>
        <v>-1288.6783481478944</v>
      </c>
      <c r="BB934" s="65">
        <f t="shared" si="224"/>
        <v>21226.764634018196</v>
      </c>
      <c r="BC934" s="65">
        <f t="shared" si="225"/>
        <v>24747.422149936076</v>
      </c>
      <c r="BD934" s="66">
        <f t="shared" si="226"/>
        <v>13939.677594809611</v>
      </c>
    </row>
    <row r="935" spans="31:56" x14ac:dyDescent="0.25">
      <c r="AE935" s="71">
        <v>873</v>
      </c>
      <c r="AF935" s="17">
        <v>4.0840704496667311</v>
      </c>
      <c r="AG935" s="18">
        <v>-20939.999251732279</v>
      </c>
      <c r="AH935" s="20">
        <v>2559.139740141416</v>
      </c>
      <c r="AN935" s="23">
        <v>930</v>
      </c>
      <c r="AO935" s="58">
        <v>465</v>
      </c>
      <c r="AP935" s="45">
        <f t="shared" si="227"/>
        <v>1386.9140563676019</v>
      </c>
      <c r="AQ935" s="45">
        <f t="shared" si="228"/>
        <v>-3659.0521905809487</v>
      </c>
      <c r="AR935" s="45">
        <f t="shared" si="229"/>
        <v>142.72844839363725</v>
      </c>
      <c r="AS935" s="45">
        <f t="shared" si="230"/>
        <v>-2171.9525149704468</v>
      </c>
      <c r="AT935" s="45">
        <f t="shared" si="216"/>
        <v>-252.48999781336079</v>
      </c>
      <c r="AU935" s="45">
        <f t="shared" si="217"/>
        <v>-780.11942748006277</v>
      </c>
      <c r="AV935" s="64">
        <f t="shared" si="218"/>
        <v>714.3243528555904</v>
      </c>
      <c r="AW935" s="64">
        <f t="shared" si="219"/>
        <v>428.25691337042707</v>
      </c>
      <c r="AX935" s="64">
        <f t="shared" si="220"/>
        <v>-210.55686444828902</v>
      </c>
      <c r="AY935" s="64">
        <f t="shared" si="221"/>
        <v>134.47509037555488</v>
      </c>
      <c r="AZ935" s="64">
        <f t="shared" si="222"/>
        <v>-756.25748622066214</v>
      </c>
      <c r="BA935" s="64">
        <f t="shared" si="223"/>
        <v>-1342.8514312260447</v>
      </c>
      <c r="BB935" s="65">
        <f t="shared" si="224"/>
        <v>21701.875820701662</v>
      </c>
      <c r="BC935" s="65">
        <f t="shared" si="225"/>
        <v>25376.560042674584</v>
      </c>
      <c r="BD935" s="66">
        <f t="shared" si="226"/>
        <v>13015.750780473358</v>
      </c>
    </row>
    <row r="936" spans="31:56" x14ac:dyDescent="0.25">
      <c r="AE936" s="71">
        <v>874</v>
      </c>
      <c r="AF936" s="17">
        <v>4.1469023027385274</v>
      </c>
      <c r="AG936" s="18">
        <v>-20470.92889646985</v>
      </c>
      <c r="AH936" s="20">
        <v>2514.799536787963</v>
      </c>
      <c r="AN936" s="23">
        <v>931</v>
      </c>
      <c r="AO936" s="58">
        <v>465.5</v>
      </c>
      <c r="AP936" s="45">
        <f t="shared" si="227"/>
        <v>1395.1557811110804</v>
      </c>
      <c r="AQ936" s="45">
        <f t="shared" si="228"/>
        <v>-4940.0583049361876</v>
      </c>
      <c r="AR936" s="45">
        <f t="shared" si="229"/>
        <v>16.483449486956857</v>
      </c>
      <c r="AS936" s="45">
        <f t="shared" si="230"/>
        <v>-2562.0122287104782</v>
      </c>
      <c r="AT936" s="45">
        <f t="shared" si="216"/>
        <v>-422.39700957592754</v>
      </c>
      <c r="AU936" s="45">
        <f t="shared" si="217"/>
        <v>-820.04704464659756</v>
      </c>
      <c r="AV936" s="64">
        <f t="shared" si="218"/>
        <v>661.34256022497618</v>
      </c>
      <c r="AW936" s="64">
        <f t="shared" si="219"/>
        <v>442.20418682042578</v>
      </c>
      <c r="AX936" s="64">
        <f t="shared" si="220"/>
        <v>-194.83247924007097</v>
      </c>
      <c r="AY936" s="64">
        <f t="shared" si="221"/>
        <v>136.0498904201373</v>
      </c>
      <c r="AZ936" s="64">
        <f t="shared" si="222"/>
        <v>-888.90709056083278</v>
      </c>
      <c r="BA936" s="64">
        <f t="shared" si="223"/>
        <v>-1398.3011218871607</v>
      </c>
      <c r="BB936" s="65">
        <f t="shared" si="224"/>
        <v>22380.689869602687</v>
      </c>
      <c r="BC936" s="65">
        <f t="shared" si="225"/>
        <v>26095.17260055782</v>
      </c>
      <c r="BD936" s="66">
        <f t="shared" si="226"/>
        <v>11920.589095038962</v>
      </c>
    </row>
    <row r="937" spans="31:56" x14ac:dyDescent="0.25">
      <c r="AE937" s="71">
        <v>875</v>
      </c>
      <c r="AF937" s="17">
        <v>4.209734155810323</v>
      </c>
      <c r="AG937" s="18">
        <v>-20000</v>
      </c>
      <c r="AH937" s="20">
        <v>2500</v>
      </c>
      <c r="AN937" s="23">
        <v>932</v>
      </c>
      <c r="AO937" s="58">
        <v>466</v>
      </c>
      <c r="AP937" s="45">
        <f t="shared" si="227"/>
        <v>1297.7982534605769</v>
      </c>
      <c r="AQ937" s="45">
        <f t="shared" si="228"/>
        <v>-6426.0761804530766</v>
      </c>
      <c r="AR937" s="45">
        <f t="shared" si="229"/>
        <v>-194.71505530100691</v>
      </c>
      <c r="AS937" s="45">
        <f t="shared" si="230"/>
        <v>-2972.0357510337772</v>
      </c>
      <c r="AT937" s="45">
        <f t="shared" si="216"/>
        <v>-638.04311895964656</v>
      </c>
      <c r="AU937" s="45">
        <f t="shared" si="217"/>
        <v>-858.47352461662683</v>
      </c>
      <c r="AV937" s="64">
        <f t="shared" si="218"/>
        <v>599.59506910868151</v>
      </c>
      <c r="AW937" s="64">
        <f t="shared" si="219"/>
        <v>446.47184983856653</v>
      </c>
      <c r="AX937" s="64">
        <f t="shared" si="220"/>
        <v>-178.17787424375328</v>
      </c>
      <c r="AY937" s="64">
        <f t="shared" si="221"/>
        <v>137.42093436928505</v>
      </c>
      <c r="AZ937" s="64">
        <f t="shared" si="222"/>
        <v>-1059.4603138245748</v>
      </c>
      <c r="BA937" s="64">
        <f t="shared" si="223"/>
        <v>-1442.3663088244784</v>
      </c>
      <c r="BB937" s="65">
        <f t="shared" si="224"/>
        <v>23317.545924733266</v>
      </c>
      <c r="BC937" s="65">
        <f t="shared" si="225"/>
        <v>26896.322966739455</v>
      </c>
      <c r="BD937" s="66">
        <f t="shared" si="226"/>
        <v>10638.34726377576</v>
      </c>
    </row>
    <row r="938" spans="31:56" x14ac:dyDescent="0.25">
      <c r="AE938" s="71">
        <v>876</v>
      </c>
      <c r="AF938" s="17">
        <v>4.2725660088821193</v>
      </c>
      <c r="AG938" s="18">
        <v>-19529.071103530147</v>
      </c>
      <c r="AH938" s="20">
        <v>2514.799536787963</v>
      </c>
      <c r="AN938" s="23">
        <v>933</v>
      </c>
      <c r="AO938" s="58">
        <v>466.5</v>
      </c>
      <c r="AP938" s="45">
        <f t="shared" si="227"/>
        <v>1040.9299460701618</v>
      </c>
      <c r="AQ938" s="45">
        <f t="shared" si="228"/>
        <v>-8126.7124371241216</v>
      </c>
      <c r="AR938" s="45">
        <f t="shared" si="229"/>
        <v>-513.73661478083022</v>
      </c>
      <c r="AS938" s="45">
        <f t="shared" si="230"/>
        <v>-3401.2725133420904</v>
      </c>
      <c r="AT938" s="45">
        <f t="shared" si="216"/>
        <v>-899.02443910237139</v>
      </c>
      <c r="AU938" s="45">
        <f t="shared" si="217"/>
        <v>-868.09145000230285</v>
      </c>
      <c r="AV938" s="64">
        <f t="shared" si="218"/>
        <v>531.85032667143798</v>
      </c>
      <c r="AW938" s="64">
        <f t="shared" si="219"/>
        <v>438.36918640228174</v>
      </c>
      <c r="AX938" s="64">
        <f t="shared" si="220"/>
        <v>-160.8421415337387</v>
      </c>
      <c r="AY938" s="64">
        <f t="shared" si="221"/>
        <v>138.56513256904969</v>
      </c>
      <c r="AZ938" s="64">
        <f t="shared" si="222"/>
        <v>-1270.0326242400706</v>
      </c>
      <c r="BA938" s="64">
        <f t="shared" si="223"/>
        <v>-1445.0257689736343</v>
      </c>
      <c r="BB938" s="65">
        <f t="shared" si="224"/>
        <v>24569.096013129765</v>
      </c>
      <c r="BC938" s="65">
        <f t="shared" si="225"/>
        <v>27772.260202828693</v>
      </c>
      <c r="BD938" s="66">
        <f t="shared" si="226"/>
        <v>9150.6784740428666</v>
      </c>
    </row>
    <row r="939" spans="31:56" x14ac:dyDescent="0.25">
      <c r="AE939" s="71">
        <v>877</v>
      </c>
      <c r="AF939" s="17">
        <v>4.3353978619539149</v>
      </c>
      <c r="AG939" s="18">
        <v>-19060.000748267717</v>
      </c>
      <c r="AH939" s="20">
        <v>2559.139740141416</v>
      </c>
      <c r="AN939" s="23">
        <v>934</v>
      </c>
      <c r="AO939" s="58">
        <v>467</v>
      </c>
      <c r="AP939" s="45">
        <f t="shared" si="227"/>
        <v>559.30552890415379</v>
      </c>
      <c r="AQ939" s="45">
        <f t="shared" si="228"/>
        <v>-10044.371556295744</v>
      </c>
      <c r="AR939" s="45">
        <f t="shared" si="229"/>
        <v>-963.24883433201592</v>
      </c>
      <c r="AS939" s="45">
        <f t="shared" si="230"/>
        <v>-3835.3182383432418</v>
      </c>
      <c r="AT939" s="45">
        <f t="shared" si="216"/>
        <v>-1182.5456241249071</v>
      </c>
      <c r="AU939" s="45">
        <f t="shared" si="217"/>
        <v>-782.07917145487625</v>
      </c>
      <c r="AV939" s="64">
        <f t="shared" si="218"/>
        <v>462.15481436995799</v>
      </c>
      <c r="AW939" s="64">
        <f t="shared" si="219"/>
        <v>417.07438959511524</v>
      </c>
      <c r="AX939" s="64">
        <f t="shared" si="220"/>
        <v>-143.03267227263862</v>
      </c>
      <c r="AY939" s="64">
        <f t="shared" si="221"/>
        <v>139.45023695921819</v>
      </c>
      <c r="AZ939" s="64">
        <f t="shared" si="222"/>
        <v>-1501.6677662222264</v>
      </c>
      <c r="BA939" s="64">
        <f t="shared" si="223"/>
        <v>-1338.6037980092096</v>
      </c>
      <c r="BB939" s="65">
        <f t="shared" si="224"/>
        <v>26186.744257808292</v>
      </c>
      <c r="BC939" s="65">
        <f t="shared" si="225"/>
        <v>28713.444149346957</v>
      </c>
      <c r="BD939" s="66">
        <f t="shared" si="226"/>
        <v>7447.4244699597293</v>
      </c>
    </row>
    <row r="940" spans="31:56" x14ac:dyDescent="0.25">
      <c r="AE940" s="71">
        <v>878</v>
      </c>
      <c r="AF940" s="17">
        <v>4.3982297150257104</v>
      </c>
      <c r="AG940" s="18">
        <v>-18594.640140607062</v>
      </c>
      <c r="AH940" s="20">
        <v>2632.8456195348354</v>
      </c>
      <c r="AN940" s="23">
        <v>935</v>
      </c>
      <c r="AO940" s="58">
        <v>467.5</v>
      </c>
      <c r="AP940" s="45">
        <f t="shared" si="227"/>
        <v>-217.95529429308095</v>
      </c>
      <c r="AQ940" s="45">
        <f t="shared" si="228"/>
        <v>-12157.550468331085</v>
      </c>
      <c r="AR940" s="45">
        <f t="shared" si="229"/>
        <v>-1554.5216463944694</v>
      </c>
      <c r="AS940" s="45">
        <f t="shared" si="230"/>
        <v>-4226.3578240706802</v>
      </c>
      <c r="AT940" s="45">
        <f t="shared" si="216"/>
        <v>-1400.7251507604769</v>
      </c>
      <c r="AU940" s="45">
        <f t="shared" si="217"/>
        <v>-468.91095552728473</v>
      </c>
      <c r="AV940" s="64">
        <f t="shared" si="218"/>
        <v>395.24524579659067</v>
      </c>
      <c r="AW940" s="64">
        <f t="shared" si="219"/>
        <v>384.28976884757066</v>
      </c>
      <c r="AX940" s="64">
        <f t="shared" si="220"/>
        <v>-125.0083650710872</v>
      </c>
      <c r="AY940" s="64">
        <f t="shared" si="221"/>
        <v>140.01986140629282</v>
      </c>
      <c r="AZ940" s="64">
        <f t="shared" si="222"/>
        <v>-1670.9620314859803</v>
      </c>
      <c r="BA940" s="64">
        <f t="shared" si="223"/>
        <v>-993.2205857811482</v>
      </c>
      <c r="BB940" s="65">
        <f t="shared" si="224"/>
        <v>28199.024924578818</v>
      </c>
      <c r="BC940" s="65">
        <f t="shared" si="225"/>
        <v>29703.305127463951</v>
      </c>
      <c r="BD940" s="66">
        <f t="shared" si="226"/>
        <v>5563.0451110398526</v>
      </c>
    </row>
    <row r="941" spans="31:56" x14ac:dyDescent="0.25">
      <c r="AE941" s="71">
        <v>879</v>
      </c>
      <c r="AF941" s="17">
        <v>4.4610615680975068</v>
      </c>
      <c r="AG941" s="18">
        <v>-18134.825846263589</v>
      </c>
      <c r="AH941" s="20">
        <v>2735.6262915352672</v>
      </c>
      <c r="AN941" s="23">
        <v>936</v>
      </c>
      <c r="AO941" s="58">
        <v>468</v>
      </c>
      <c r="AP941" s="45">
        <f t="shared" si="227"/>
        <v>-1345.3974051804348</v>
      </c>
      <c r="AQ941" s="45">
        <f t="shared" si="228"/>
        <v>-14387.957119248247</v>
      </c>
      <c r="AR941" s="45">
        <f t="shared" si="229"/>
        <v>-2254.8842217747078</v>
      </c>
      <c r="AS941" s="45">
        <f t="shared" si="230"/>
        <v>-4460.8133018343224</v>
      </c>
      <c r="AT941" s="45">
        <f t="shared" si="216"/>
        <v>-1349.1620350270189</v>
      </c>
      <c r="AU941" s="45">
        <f t="shared" si="217"/>
        <v>220.34681283958224</v>
      </c>
      <c r="AV941" s="64">
        <f t="shared" si="218"/>
        <v>335.79617356057747</v>
      </c>
      <c r="AW941" s="64">
        <f t="shared" si="219"/>
        <v>344.33147850026791</v>
      </c>
      <c r="AX941" s="64">
        <f t="shared" si="220"/>
        <v>-107.26659460207455</v>
      </c>
      <c r="AY941" s="64">
        <f t="shared" si="221"/>
        <v>140.23419133086512</v>
      </c>
      <c r="AZ941" s="64">
        <f t="shared" si="222"/>
        <v>-1577.6916139855218</v>
      </c>
      <c r="BA941" s="64">
        <f t="shared" si="223"/>
        <v>-264.21885699155081</v>
      </c>
      <c r="BB941" s="65">
        <f t="shared" si="224"/>
        <v>30573.005368120645</v>
      </c>
      <c r="BC941" s="65">
        <f t="shared" si="225"/>
        <v>30704.505376588306</v>
      </c>
      <c r="BD941" s="66">
        <f t="shared" si="226"/>
        <v>3705.4981600239398</v>
      </c>
    </row>
    <row r="942" spans="31:56" x14ac:dyDescent="0.25">
      <c r="AE942" s="71">
        <v>880</v>
      </c>
      <c r="AF942" s="17">
        <v>4.5238934211693023</v>
      </c>
      <c r="AG942" s="18">
        <v>-17682.372542187895</v>
      </c>
      <c r="AH942" s="20">
        <v>2867.0761277863476</v>
      </c>
      <c r="AN942" s="23">
        <v>937</v>
      </c>
      <c r="AO942" s="58">
        <v>468.5</v>
      </c>
      <c r="AP942" s="45">
        <f t="shared" si="227"/>
        <v>-2810.1300248245434</v>
      </c>
      <c r="AQ942" s="45">
        <f t="shared" si="228"/>
        <v>-16563.277066955514</v>
      </c>
      <c r="AR942" s="45">
        <f t="shared" si="229"/>
        <v>-2929.4652392882172</v>
      </c>
      <c r="AS942" s="45">
        <f t="shared" si="230"/>
        <v>-4350.6398954145316</v>
      </c>
      <c r="AT942" s="45">
        <f t="shared" si="216"/>
        <v>-835.66439035907729</v>
      </c>
      <c r="AU942" s="45">
        <f t="shared" si="217"/>
        <v>1180.6003376183282</v>
      </c>
      <c r="AV942" s="64">
        <f t="shared" si="218"/>
        <v>287.54849190964734</v>
      </c>
      <c r="AW942" s="64">
        <f t="shared" si="219"/>
        <v>303.34588288083569</v>
      </c>
      <c r="AX942" s="64">
        <f t="shared" si="220"/>
        <v>-90.723494318055884</v>
      </c>
      <c r="AY942" s="64">
        <f t="shared" si="221"/>
        <v>140.19380713950309</v>
      </c>
      <c r="AZ942" s="64">
        <f t="shared" si="222"/>
        <v>-1032.4893879506687</v>
      </c>
      <c r="BA942" s="64">
        <f t="shared" si="223"/>
        <v>737.06064759798949</v>
      </c>
      <c r="BB942" s="65">
        <f t="shared" si="224"/>
        <v>33156.346827575398</v>
      </c>
      <c r="BC942" s="65">
        <f t="shared" si="225"/>
        <v>31640.153575785364</v>
      </c>
      <c r="BD942" s="66">
        <f t="shared" si="226"/>
        <v>2690.6069382657865</v>
      </c>
    </row>
    <row r="943" spans="31:56" x14ac:dyDescent="0.25">
      <c r="AE943" s="71">
        <v>881</v>
      </c>
      <c r="AF943" s="17">
        <v>4.5867252742410987</v>
      </c>
      <c r="AG943" s="18">
        <v>-17239.065854864912</v>
      </c>
      <c r="AH943" s="20">
        <v>3026.6763558381153</v>
      </c>
      <c r="AN943" s="23">
        <v>938</v>
      </c>
      <c r="AO943" s="58">
        <v>469</v>
      </c>
      <c r="AP943" s="45">
        <f t="shared" si="227"/>
        <v>-4483.7787420584218</v>
      </c>
      <c r="AQ943" s="45">
        <f t="shared" si="228"/>
        <v>-18443.4469302582</v>
      </c>
      <c r="AR943" s="45">
        <f t="shared" si="229"/>
        <v>-3347.2974344677559</v>
      </c>
      <c r="AS943" s="45">
        <f t="shared" si="230"/>
        <v>-3760.3397266053676</v>
      </c>
      <c r="AT943" s="45">
        <f t="shared" si="216"/>
        <v>-52.053443559376575</v>
      </c>
      <c r="AU943" s="45">
        <f t="shared" si="217"/>
        <v>1926.0042232629071</v>
      </c>
      <c r="AV943" s="64">
        <f t="shared" si="218"/>
        <v>252.11579892232413</v>
      </c>
      <c r="AW943" s="64">
        <f t="shared" si="219"/>
        <v>267.14637958989596</v>
      </c>
      <c r="AX943" s="64">
        <f t="shared" si="220"/>
        <v>-76.50871894869509</v>
      </c>
      <c r="AY943" s="64">
        <f t="shared" si="221"/>
        <v>140.25139568085439</v>
      </c>
      <c r="AZ943" s="64">
        <f t="shared" si="222"/>
        <v>-227.6605235330056</v>
      </c>
      <c r="BA943" s="64">
        <f t="shared" si="223"/>
        <v>1518.6064479921567</v>
      </c>
      <c r="BB943" s="65">
        <f t="shared" si="224"/>
        <v>35672.368299752619</v>
      </c>
      <c r="BC943" s="65">
        <f t="shared" si="225"/>
        <v>32400.351778951612</v>
      </c>
      <c r="BD943" s="66">
        <f t="shared" si="226"/>
        <v>3481.926356006888</v>
      </c>
    </row>
    <row r="944" spans="31:56" x14ac:dyDescent="0.25">
      <c r="AE944" s="71">
        <v>882</v>
      </c>
      <c r="AF944" s="17">
        <v>4.6495571273128942</v>
      </c>
      <c r="AG944" s="18">
        <v>-16806.655313261956</v>
      </c>
      <c r="AH944" s="20">
        <v>3213.7971065048532</v>
      </c>
      <c r="AN944" s="23">
        <v>939</v>
      </c>
      <c r="AO944" s="58">
        <v>469.5</v>
      </c>
      <c r="AP944" s="45">
        <f t="shared" si="227"/>
        <v>-6170.4408201821434</v>
      </c>
      <c r="AQ944" s="45">
        <f t="shared" si="228"/>
        <v>-19842.115737745156</v>
      </c>
      <c r="AR944" s="45">
        <f t="shared" si="229"/>
        <v>-3373.3241562474441</v>
      </c>
      <c r="AS944" s="45">
        <f t="shared" si="230"/>
        <v>-2797.3376149739142</v>
      </c>
      <c r="AT944" s="45">
        <f t="shared" si="216"/>
        <v>602.57834497882686</v>
      </c>
      <c r="AU944" s="45">
        <f t="shared" si="217"/>
        <v>2197.7222258988445</v>
      </c>
      <c r="AV944" s="64">
        <f t="shared" si="218"/>
        <v>228.41049189497662</v>
      </c>
      <c r="AW944" s="64">
        <f t="shared" si="219"/>
        <v>238.63664154604359</v>
      </c>
      <c r="AX944" s="64">
        <f t="shared" si="220"/>
        <v>-65.315677735820444</v>
      </c>
      <c r="AY944" s="64">
        <f t="shared" si="221"/>
        <v>140.94144210511919</v>
      </c>
      <c r="AZ944" s="64">
        <f t="shared" si="222"/>
        <v>439.4835308196707</v>
      </c>
      <c r="BA944" s="64">
        <f t="shared" si="223"/>
        <v>1818.1441422476817</v>
      </c>
      <c r="BB944" s="65">
        <f t="shared" si="224"/>
        <v>37848.160665201511</v>
      </c>
      <c r="BC944" s="65">
        <f t="shared" si="225"/>
        <v>32890.858590390453</v>
      </c>
      <c r="BD944" s="66">
        <f t="shared" si="226"/>
        <v>4981.5676780776521</v>
      </c>
    </row>
    <row r="945" spans="31:56" x14ac:dyDescent="0.25">
      <c r="AE945" s="71">
        <v>883</v>
      </c>
      <c r="AF945" s="17">
        <v>4.7123889803846897</v>
      </c>
      <c r="AG945" s="18">
        <v>-16386.847444237133</v>
      </c>
      <c r="AH945" s="20">
        <v>3427.6998996710245</v>
      </c>
      <c r="AN945" s="23">
        <v>940</v>
      </c>
      <c r="AO945" s="58">
        <v>470</v>
      </c>
      <c r="AP945" s="45">
        <f t="shared" si="227"/>
        <v>-7706.4583120611587</v>
      </c>
      <c r="AQ945" s="45">
        <f t="shared" si="228"/>
        <v>-20691.353988757401</v>
      </c>
      <c r="AR945" s="45">
        <f t="shared" si="229"/>
        <v>-3072.0349837580306</v>
      </c>
      <c r="AS945" s="45">
        <f t="shared" si="230"/>
        <v>-1698.476502024492</v>
      </c>
      <c r="AT945" s="45">
        <f t="shared" si="216"/>
        <v>1014.9096825603997</v>
      </c>
      <c r="AU945" s="45">
        <f t="shared" si="217"/>
        <v>2165.0287615723751</v>
      </c>
      <c r="AV945" s="64">
        <f t="shared" si="218"/>
        <v>214.03078007217348</v>
      </c>
      <c r="AW945" s="64">
        <f t="shared" si="219"/>
        <v>217.77657099095518</v>
      </c>
      <c r="AX945" s="64">
        <f t="shared" si="220"/>
        <v>-57.203032453181095</v>
      </c>
      <c r="AY945" s="64">
        <f t="shared" si="221"/>
        <v>142.809823467993</v>
      </c>
      <c r="AZ945" s="64">
        <f t="shared" si="222"/>
        <v>858.08193494140733</v>
      </c>
      <c r="BA945" s="64">
        <f t="shared" si="223"/>
        <v>1804.4423671134268</v>
      </c>
      <c r="BB945" s="65">
        <f t="shared" si="224"/>
        <v>39527.209260424781</v>
      </c>
      <c r="BC945" s="65">
        <f t="shared" si="225"/>
        <v>33061.917320329521</v>
      </c>
      <c r="BD945" s="66">
        <f t="shared" si="226"/>
        <v>6302.0970176814726</v>
      </c>
    </row>
    <row r="946" spans="31:56" x14ac:dyDescent="0.25">
      <c r="AE946" s="71">
        <v>884</v>
      </c>
      <c r="AF946" s="17">
        <v>4.7752208334564861</v>
      </c>
      <c r="AG946" s="18">
        <v>-15981.299037657525</v>
      </c>
      <c r="AH946" s="20">
        <v>3667.5405587348878</v>
      </c>
      <c r="AN946" s="23">
        <v>941</v>
      </c>
      <c r="AO946" s="58">
        <v>470.5</v>
      </c>
      <c r="AP946" s="45">
        <f t="shared" si="227"/>
        <v>-8988.7483833000751</v>
      </c>
      <c r="AQ946" s="45">
        <f t="shared" si="228"/>
        <v>-20999.33504937655</v>
      </c>
      <c r="AR946" s="45">
        <f t="shared" si="229"/>
        <v>-2564.580142477831</v>
      </c>
      <c r="AS946" s="45">
        <f t="shared" si="230"/>
        <v>-615.96212123830446</v>
      </c>
      <c r="AT946" s="45">
        <f t="shared" si="216"/>
        <v>1270.4535756727198</v>
      </c>
      <c r="AU946" s="45">
        <f t="shared" si="217"/>
        <v>2027.5778759220193</v>
      </c>
      <c r="AV946" s="64">
        <f t="shared" si="218"/>
        <v>206.88017802816481</v>
      </c>
      <c r="AW946" s="64">
        <f t="shared" si="219"/>
        <v>203.38744642372671</v>
      </c>
      <c r="AX946" s="64">
        <f t="shared" si="220"/>
        <v>-51.97764854396852</v>
      </c>
      <c r="AY946" s="64">
        <f t="shared" si="221"/>
        <v>146.32964520123443</v>
      </c>
      <c r="AZ946" s="64">
        <f t="shared" si="222"/>
        <v>1115.5510461885235</v>
      </c>
      <c r="BA946" s="64">
        <f t="shared" si="223"/>
        <v>1677.8607842970582</v>
      </c>
      <c r="BB946" s="65">
        <f t="shared" si="224"/>
        <v>40651.686694243144</v>
      </c>
      <c r="BC946" s="65">
        <f t="shared" si="225"/>
        <v>32896.906171702256</v>
      </c>
      <c r="BD946" s="66">
        <f t="shared" si="226"/>
        <v>7204.3136175458721</v>
      </c>
    </row>
    <row r="947" spans="31:56" x14ac:dyDescent="0.25">
      <c r="AE947" s="71">
        <v>885</v>
      </c>
      <c r="AF947" s="17">
        <v>4.8380526865282816</v>
      </c>
      <c r="AG947" s="18">
        <v>-15591.610607806448</v>
      </c>
      <c r="AH947" s="20">
        <v>3932.3725421878971</v>
      </c>
      <c r="AN947" s="23">
        <v>942</v>
      </c>
      <c r="AO947" s="58">
        <v>471</v>
      </c>
      <c r="AP947" s="45">
        <f t="shared" si="227"/>
        <v>-9953.4250606208097</v>
      </c>
      <c r="AQ947" s="45">
        <f t="shared" si="228"/>
        <v>-20800.4216410152</v>
      </c>
      <c r="AR947" s="45">
        <f t="shared" si="229"/>
        <v>-1929.353354641471</v>
      </c>
      <c r="AS947" s="45">
        <f t="shared" si="230"/>
        <v>397.82681672270519</v>
      </c>
      <c r="AT947" s="45">
        <f t="shared" si="216"/>
        <v>1459.8220721107778</v>
      </c>
      <c r="AU947" s="45">
        <f t="shared" si="217"/>
        <v>1872.8522988185973</v>
      </c>
      <c r="AV947" s="64">
        <f t="shared" si="218"/>
        <v>205.691595651006</v>
      </c>
      <c r="AW947" s="64">
        <f t="shared" si="219"/>
        <v>194.3403424868979</v>
      </c>
      <c r="AX947" s="64">
        <f t="shared" si="220"/>
        <v>-49.550905028561836</v>
      </c>
      <c r="AY947" s="64">
        <f t="shared" si="221"/>
        <v>151.91135056301218</v>
      </c>
      <c r="AZ947" s="64">
        <f t="shared" si="222"/>
        <v>1303.6813814883335</v>
      </c>
      <c r="BA947" s="64">
        <f t="shared" si="223"/>
        <v>1526.6006057686873</v>
      </c>
      <c r="BB947" s="65">
        <f t="shared" si="224"/>
        <v>41208.270261216596</v>
      </c>
      <c r="BC947" s="65">
        <f t="shared" si="225"/>
        <v>32397.525233833519</v>
      </c>
      <c r="BD947" s="66">
        <f t="shared" si="226"/>
        <v>7627.667470776616</v>
      </c>
    </row>
    <row r="948" spans="31:56" x14ac:dyDescent="0.25">
      <c r="AE948" s="71">
        <v>886</v>
      </c>
      <c r="AF948" s="17">
        <v>4.900884539600078</v>
      </c>
      <c r="AG948" s="18">
        <v>-15219.320076884826</v>
      </c>
      <c r="AH948" s="20">
        <v>4221.1506791815818</v>
      </c>
      <c r="AN948" s="23">
        <v>943</v>
      </c>
      <c r="AO948" s="58">
        <v>471.5</v>
      </c>
      <c r="AP948" s="45">
        <f t="shared" si="227"/>
        <v>-10553.146219913851</v>
      </c>
      <c r="AQ948" s="45">
        <f t="shared" si="228"/>
        <v>-20133.295157949196</v>
      </c>
      <c r="AR948" s="45">
        <f t="shared" si="229"/>
        <v>-1199.4423185860821</v>
      </c>
      <c r="AS948" s="45">
        <f t="shared" si="230"/>
        <v>1334.2529661320038</v>
      </c>
      <c r="AT948" s="45">
        <f t="shared" si="216"/>
        <v>1635.2512081086695</v>
      </c>
      <c r="AU948" s="45">
        <f t="shared" si="217"/>
        <v>1713.6793015012063</v>
      </c>
      <c r="AV948" s="64">
        <f t="shared" si="218"/>
        <v>209.98992665363153</v>
      </c>
      <c r="AW948" s="64">
        <f t="shared" si="219"/>
        <v>189.92196684588328</v>
      </c>
      <c r="AX948" s="64">
        <f t="shared" si="220"/>
        <v>-50.132737755786728</v>
      </c>
      <c r="AY948" s="64">
        <f t="shared" si="221"/>
        <v>159.91192613308436</v>
      </c>
      <c r="AZ948" s="64">
        <f t="shared" si="222"/>
        <v>1475.3940192108248</v>
      </c>
      <c r="BA948" s="64">
        <f t="shared" si="223"/>
        <v>1363.8454085222386</v>
      </c>
      <c r="BB948" s="65">
        <f t="shared" si="224"/>
        <v>41195.797664589219</v>
      </c>
      <c r="BC948" s="65">
        <f t="shared" si="225"/>
        <v>31579.400301753871</v>
      </c>
      <c r="BD948" s="66">
        <f t="shared" si="226"/>
        <v>7562.2848477406724</v>
      </c>
    </row>
    <row r="949" spans="31:56" x14ac:dyDescent="0.25">
      <c r="AE949" s="71">
        <v>887</v>
      </c>
      <c r="AF949" s="17">
        <v>4.9637163926718735</v>
      </c>
      <c r="AG949" s="18">
        <v>-14865.896705534837</v>
      </c>
      <c r="AH949" s="20">
        <v>4532.7352943394135</v>
      </c>
      <c r="AN949" s="23">
        <v>944</v>
      </c>
      <c r="AO949" s="58">
        <v>472</v>
      </c>
      <c r="AP949" s="45">
        <f t="shared" si="227"/>
        <v>-10744.054577179726</v>
      </c>
      <c r="AQ949" s="45">
        <f t="shared" si="228"/>
        <v>-19037.748849507894</v>
      </c>
      <c r="AR949" s="45">
        <f t="shared" si="229"/>
        <v>-381.81671453174738</v>
      </c>
      <c r="AS949" s="45">
        <f t="shared" si="230"/>
        <v>2191.0926168826072</v>
      </c>
      <c r="AT949" s="45">
        <f t="shared" si="216"/>
        <v>1814.316690647292</v>
      </c>
      <c r="AU949" s="45">
        <f t="shared" si="217"/>
        <v>1519.3727611938991</v>
      </c>
      <c r="AV949" s="64">
        <f t="shared" si="218"/>
        <v>219.99247863705767</v>
      </c>
      <c r="AW949" s="64">
        <f t="shared" si="219"/>
        <v>189.89379335750974</v>
      </c>
      <c r="AX949" s="64">
        <f t="shared" si="220"/>
        <v>-54.362103250973426</v>
      </c>
      <c r="AY949" s="64">
        <f t="shared" si="221"/>
        <v>170.54477193014819</v>
      </c>
      <c r="AZ949" s="64">
        <f t="shared" si="222"/>
        <v>1648.6863152612077</v>
      </c>
      <c r="BA949" s="64">
        <f t="shared" si="223"/>
        <v>1158.9341959062413</v>
      </c>
      <c r="BB949" s="65">
        <f t="shared" si="224"/>
        <v>40613.409187658246</v>
      </c>
      <c r="BC949" s="65">
        <f t="shared" si="225"/>
        <v>30477.260111718122</v>
      </c>
      <c r="BD949" s="66">
        <f t="shared" si="226"/>
        <v>7021.2234516016997</v>
      </c>
    </row>
    <row r="950" spans="31:56" x14ac:dyDescent="0.25">
      <c r="AE950" s="71">
        <v>888</v>
      </c>
      <c r="AF950" s="17">
        <v>5.026548245743669</v>
      </c>
      <c r="AG950" s="18">
        <v>-14532.735294339411</v>
      </c>
      <c r="AH950" s="20">
        <v>4865.8967055348376</v>
      </c>
      <c r="AN950" s="23">
        <v>945</v>
      </c>
      <c r="AO950" s="58">
        <v>472.5</v>
      </c>
      <c r="AP950" s="45">
        <f t="shared" si="227"/>
        <v>-10481.383761783776</v>
      </c>
      <c r="AQ950" s="45">
        <f t="shared" si="228"/>
        <v>-17562.359350768118</v>
      </c>
      <c r="AR950" s="45">
        <f t="shared" si="229"/>
        <v>525.34163079189864</v>
      </c>
      <c r="AS950" s="45">
        <f t="shared" si="230"/>
        <v>2950.7789974795569</v>
      </c>
      <c r="AT950" s="45">
        <f t="shared" si="216"/>
        <v>1970.6381179651867</v>
      </c>
      <c r="AU950" s="45">
        <f t="shared" si="217"/>
        <v>1218.3145093883702</v>
      </c>
      <c r="AV950" s="64">
        <f t="shared" si="218"/>
        <v>236.56828533595146</v>
      </c>
      <c r="AW950" s="64">
        <f t="shared" si="219"/>
        <v>194.51083403628584</v>
      </c>
      <c r="AX950" s="64">
        <f t="shared" si="220"/>
        <v>-63.389682152998162</v>
      </c>
      <c r="AY950" s="64">
        <f t="shared" si="221"/>
        <v>183.55285630879945</v>
      </c>
      <c r="AZ950" s="64">
        <f t="shared" si="222"/>
        <v>1797.4595147822333</v>
      </c>
      <c r="BA950" s="64">
        <f t="shared" si="223"/>
        <v>840.25081904328488</v>
      </c>
      <c r="BB950" s="65">
        <f t="shared" si="224"/>
        <v>39461.837416169183</v>
      </c>
      <c r="BC950" s="65">
        <f t="shared" si="225"/>
        <v>29159.693209485387</v>
      </c>
      <c r="BD950" s="66">
        <f t="shared" si="226"/>
        <v>6050.7233771191086</v>
      </c>
    </row>
    <row r="951" spans="31:56" x14ac:dyDescent="0.25">
      <c r="AE951" s="71">
        <v>889</v>
      </c>
      <c r="AF951" s="17">
        <v>5.0893800988154654</v>
      </c>
      <c r="AG951" s="18">
        <v>-14221.150679181581</v>
      </c>
      <c r="AH951" s="20">
        <v>5219.3200768848274</v>
      </c>
      <c r="AN951" s="23">
        <v>946</v>
      </c>
      <c r="AO951" s="58">
        <v>473</v>
      </c>
      <c r="AP951" s="45">
        <f t="shared" si="227"/>
        <v>-9726.0534168965296</v>
      </c>
      <c r="AQ951" s="45">
        <f t="shared" si="228"/>
        <v>-15782.391224681247</v>
      </c>
      <c r="AR951" s="45">
        <f t="shared" si="229"/>
        <v>1510.6606897744919</v>
      </c>
      <c r="AS951" s="45">
        <f t="shared" si="230"/>
        <v>3559.9362521737421</v>
      </c>
      <c r="AT951" s="45">
        <f t="shared" si="216"/>
        <v>1997.6578131739734</v>
      </c>
      <c r="AU951" s="45">
        <f t="shared" si="217"/>
        <v>702.51005397701601</v>
      </c>
      <c r="AV951" s="64">
        <f t="shared" si="218"/>
        <v>261.17328047104382</v>
      </c>
      <c r="AW951" s="64">
        <f t="shared" si="219"/>
        <v>204.55922648325406</v>
      </c>
      <c r="AX951" s="64">
        <f t="shared" si="220"/>
        <v>-78.682292140306956</v>
      </c>
      <c r="AY951" s="64">
        <f t="shared" si="221"/>
        <v>197.45261686996895</v>
      </c>
      <c r="AZ951" s="64">
        <f t="shared" si="222"/>
        <v>1815.1668248432366</v>
      </c>
      <c r="BA951" s="64">
        <f t="shared" si="223"/>
        <v>300.49821062379306</v>
      </c>
      <c r="BB951" s="65">
        <f t="shared" si="224"/>
        <v>37758.548606683762</v>
      </c>
      <c r="BC951" s="65">
        <f t="shared" si="225"/>
        <v>27754.020891665121</v>
      </c>
      <c r="BD951" s="66">
        <f t="shared" si="226"/>
        <v>4790.3775349984253</v>
      </c>
    </row>
    <row r="952" spans="31:56" x14ac:dyDescent="0.25">
      <c r="AE952" s="71">
        <v>890</v>
      </c>
      <c r="AF952" s="17">
        <v>5.1522119518872609</v>
      </c>
      <c r="AG952" s="18">
        <v>-13932.372542187892</v>
      </c>
      <c r="AH952" s="20">
        <v>5591.6106078064558</v>
      </c>
      <c r="AN952" s="23">
        <v>947</v>
      </c>
      <c r="AO952" s="58">
        <v>473.5</v>
      </c>
      <c r="AP952" s="45">
        <f t="shared" si="227"/>
        <v>-8471.3086187157896</v>
      </c>
      <c r="AQ952" s="45">
        <f t="shared" si="228"/>
        <v>-13826.795585100122</v>
      </c>
      <c r="AR952" s="45">
        <f t="shared" si="229"/>
        <v>2509.4895963614786</v>
      </c>
      <c r="AS952" s="45">
        <f t="shared" si="230"/>
        <v>3911.1912791622499</v>
      </c>
      <c r="AT952" s="45">
        <f t="shared" si="216"/>
        <v>1699.1751343815822</v>
      </c>
      <c r="AU952" s="45">
        <f t="shared" si="217"/>
        <v>-78.70391190051356</v>
      </c>
      <c r="AV952" s="64">
        <f t="shared" si="218"/>
        <v>295.45645450964179</v>
      </c>
      <c r="AW952" s="64">
        <f t="shared" si="219"/>
        <v>221.3154124388744</v>
      </c>
      <c r="AX952" s="64">
        <f t="shared" si="220"/>
        <v>-100.87998308438441</v>
      </c>
      <c r="AY952" s="64">
        <f t="shared" si="221"/>
        <v>208.49259088347955</v>
      </c>
      <c r="AZ952" s="64">
        <f t="shared" si="222"/>
        <v>1504.5986629563249</v>
      </c>
      <c r="BA952" s="64">
        <f t="shared" si="223"/>
        <v>-508.51191522286751</v>
      </c>
      <c r="BB952" s="65">
        <f t="shared" si="224"/>
        <v>35573.130652091982</v>
      </c>
      <c r="BC952" s="65">
        <f t="shared" si="225"/>
        <v>26469.357997863179</v>
      </c>
      <c r="BD952" s="66">
        <f t="shared" si="226"/>
        <v>3664.2041599112745</v>
      </c>
    </row>
    <row r="953" spans="31:56" x14ac:dyDescent="0.25">
      <c r="AE953" s="71">
        <v>891</v>
      </c>
      <c r="AF953" s="17">
        <v>5.2150438049590573</v>
      </c>
      <c r="AG953" s="18">
        <v>-13667.540558734885</v>
      </c>
      <c r="AH953" s="20">
        <v>5981.2990376575272</v>
      </c>
      <c r="AN953" s="23">
        <v>948</v>
      </c>
      <c r="AO953" s="58">
        <v>474</v>
      </c>
      <c r="AP953" s="45">
        <f t="shared" si="227"/>
        <v>-6791.7700369396553</v>
      </c>
      <c r="AQ953" s="45">
        <f t="shared" si="228"/>
        <v>-11890.875923494126</v>
      </c>
      <c r="AR953" s="45">
        <f t="shared" si="229"/>
        <v>3359.0771635522697</v>
      </c>
      <c r="AS953" s="45">
        <f t="shared" si="230"/>
        <v>3871.8393232119929</v>
      </c>
      <c r="AT953" s="45">
        <f t="shared" si="216"/>
        <v>995.03875231783047</v>
      </c>
      <c r="AU953" s="45">
        <f t="shared" si="217"/>
        <v>-900.24296815175956</v>
      </c>
      <c r="AV953" s="64">
        <f t="shared" si="218"/>
        <v>340.09475404739453</v>
      </c>
      <c r="AW953" s="64">
        <f t="shared" si="219"/>
        <v>246.14779721054876</v>
      </c>
      <c r="AX953" s="64">
        <f t="shared" si="220"/>
        <v>-127.35391411652996</v>
      </c>
      <c r="AY953" s="64">
        <f t="shared" si="221"/>
        <v>211.07209217989197</v>
      </c>
      <c r="AZ953" s="64">
        <f t="shared" si="222"/>
        <v>782.29791238696589</v>
      </c>
      <c r="BA953" s="64">
        <f t="shared" si="223"/>
        <v>-1357.4628575422003</v>
      </c>
      <c r="BB953" s="65">
        <f t="shared" si="224"/>
        <v>33072.723062859543</v>
      </c>
      <c r="BC953" s="65">
        <f t="shared" si="225"/>
        <v>25566.927610780687</v>
      </c>
      <c r="BD953" s="66">
        <f t="shared" si="226"/>
        <v>3588.4665789698024</v>
      </c>
    </row>
    <row r="954" spans="31:56" x14ac:dyDescent="0.25">
      <c r="AE954" s="71">
        <v>892</v>
      </c>
      <c r="AF954" s="17">
        <v>5.2778756580308528</v>
      </c>
      <c r="AG954" s="18">
        <v>-13427.699899671024</v>
      </c>
      <c r="AH954" s="20">
        <v>6386.8474442371353</v>
      </c>
      <c r="AN954" s="23">
        <v>949</v>
      </c>
      <c r="AO954" s="58">
        <v>474.5</v>
      </c>
      <c r="AP954" s="45">
        <f t="shared" si="227"/>
        <v>-4863.4717670840637</v>
      </c>
      <c r="AQ954" s="45">
        <f t="shared" si="228"/>
        <v>-10180.01700392607</v>
      </c>
      <c r="AR954" s="45">
        <f t="shared" si="229"/>
        <v>3856.596539711185</v>
      </c>
      <c r="AS954" s="45">
        <f t="shared" si="230"/>
        <v>3421.7178391361131</v>
      </c>
      <c r="AT954" s="45">
        <f t="shared" si="216"/>
        <v>189.62401835822956</v>
      </c>
      <c r="AU954" s="45">
        <f t="shared" si="217"/>
        <v>-1362.6909326618725</v>
      </c>
      <c r="AV954" s="64">
        <f t="shared" si="218"/>
        <v>393.38195335023227</v>
      </c>
      <c r="AW954" s="64">
        <f t="shared" si="219"/>
        <v>279.72761364232548</v>
      </c>
      <c r="AX954" s="64">
        <f t="shared" si="220"/>
        <v>-151.51397727963132</v>
      </c>
      <c r="AY954" s="64">
        <f t="shared" si="221"/>
        <v>201.99841012329773</v>
      </c>
      <c r="AZ954" s="64">
        <f t="shared" si="222"/>
        <v>-52.243957712371376</v>
      </c>
      <c r="BA954" s="64">
        <f t="shared" si="223"/>
        <v>-1844.4169564274957</v>
      </c>
      <c r="BB954" s="65">
        <f t="shared" si="224"/>
        <v>30508.609105819643</v>
      </c>
      <c r="BC954" s="65">
        <f t="shared" si="225"/>
        <v>25225.930572024627</v>
      </c>
      <c r="BD954" s="66">
        <f t="shared" si="226"/>
        <v>4821.9162208425978</v>
      </c>
    </row>
    <row r="955" spans="31:56" x14ac:dyDescent="0.25">
      <c r="AE955" s="71">
        <v>893</v>
      </c>
      <c r="AF955" s="17">
        <v>5.3407075111026492</v>
      </c>
      <c r="AG955" s="18">
        <v>-13213.797106504851</v>
      </c>
      <c r="AH955" s="20">
        <v>6806.6553132619583</v>
      </c>
      <c r="AN955" s="23">
        <v>950</v>
      </c>
      <c r="AO955" s="58">
        <v>475</v>
      </c>
      <c r="AP955" s="45">
        <f t="shared" si="227"/>
        <v>-2887.7674926389136</v>
      </c>
      <c r="AQ955" s="45">
        <f t="shared" si="228"/>
        <v>-8809.8308175234815</v>
      </c>
      <c r="AR955" s="45">
        <f t="shared" si="229"/>
        <v>3951.4085488902997</v>
      </c>
      <c r="AS955" s="45">
        <f t="shared" si="230"/>
        <v>2740.3723728051768</v>
      </c>
      <c r="AT955" s="45">
        <f t="shared" si="216"/>
        <v>-364.29080086594058</v>
      </c>
      <c r="AU955" s="45">
        <f t="shared" si="217"/>
        <v>-1393.9403101921464</v>
      </c>
      <c r="AV955" s="64">
        <f t="shared" si="218"/>
        <v>451.45989315114412</v>
      </c>
      <c r="AW955" s="64">
        <f t="shared" si="219"/>
        <v>321.7104717863167</v>
      </c>
      <c r="AX955" s="64">
        <f t="shared" si="220"/>
        <v>-167.50363896123449</v>
      </c>
      <c r="AY955" s="64">
        <f t="shared" si="221"/>
        <v>184.12063468779002</v>
      </c>
      <c r="AZ955" s="64">
        <f t="shared" si="222"/>
        <v>-648.24705505585018</v>
      </c>
      <c r="BA955" s="64">
        <f t="shared" si="223"/>
        <v>-1899.7714166662531</v>
      </c>
      <c r="BB955" s="65">
        <f t="shared" si="224"/>
        <v>28104.456623342448</v>
      </c>
      <c r="BC955" s="65">
        <f t="shared" si="225"/>
        <v>25429.082499568118</v>
      </c>
      <c r="BD955" s="66">
        <f t="shared" si="226"/>
        <v>6540.6208170811205</v>
      </c>
    </row>
    <row r="956" spans="31:56" x14ac:dyDescent="0.25">
      <c r="AE956" s="71">
        <v>894</v>
      </c>
      <c r="AF956" s="17">
        <v>5.4035393641744447</v>
      </c>
      <c r="AG956" s="18">
        <v>-13026.676355838114</v>
      </c>
      <c r="AH956" s="20">
        <v>7239.0658548649162</v>
      </c>
      <c r="AN956" s="23">
        <v>951</v>
      </c>
      <c r="AO956" s="58">
        <v>475.5</v>
      </c>
      <c r="AP956" s="45">
        <f t="shared" si="227"/>
        <v>-1003.1359184102489</v>
      </c>
      <c r="AQ956" s="45">
        <f t="shared" si="228"/>
        <v>-7788.1297086689292</v>
      </c>
      <c r="AR956" s="45">
        <f t="shared" si="229"/>
        <v>3769.2631484573294</v>
      </c>
      <c r="AS956" s="45">
        <f t="shared" si="230"/>
        <v>2043.4022177091038</v>
      </c>
      <c r="AT956" s="45">
        <f t="shared" si="216"/>
        <v>-625.63217644182532</v>
      </c>
      <c r="AU956" s="45">
        <f t="shared" si="217"/>
        <v>-1200.0151110374682</v>
      </c>
      <c r="AV956" s="64">
        <f t="shared" si="218"/>
        <v>509.8577850542149</v>
      </c>
      <c r="AW956" s="64">
        <f t="shared" si="219"/>
        <v>371.12419693722933</v>
      </c>
      <c r="AX956" s="64">
        <f t="shared" si="220"/>
        <v>-174.30186080112824</v>
      </c>
      <c r="AY956" s="64">
        <f t="shared" si="221"/>
        <v>163.21136452187326</v>
      </c>
      <c r="AZ956" s="64">
        <f t="shared" si="222"/>
        <v>-961.18810069491201</v>
      </c>
      <c r="BA956" s="64">
        <f t="shared" si="223"/>
        <v>-1734.3506724965707</v>
      </c>
      <c r="BB956" s="65">
        <f t="shared" si="224"/>
        <v>25978.041273281178</v>
      </c>
      <c r="BC956" s="65">
        <f t="shared" si="225"/>
        <v>26024.957319212361</v>
      </c>
      <c r="BD956" s="66">
        <f t="shared" si="226"/>
        <v>8245.3620651664514</v>
      </c>
    </row>
    <row r="957" spans="31:56" x14ac:dyDescent="0.25">
      <c r="AE957" s="71">
        <v>895</v>
      </c>
      <c r="AF957" s="17">
        <v>5.4663712172462402</v>
      </c>
      <c r="AG957" s="18">
        <v>-12867.076127786346</v>
      </c>
      <c r="AH957" s="20">
        <v>7682.3725421878989</v>
      </c>
      <c r="AN957" s="23">
        <v>952</v>
      </c>
      <c r="AO957" s="58">
        <v>476</v>
      </c>
      <c r="AP957" s="45">
        <f t="shared" si="227"/>
        <v>725.08761170795947</v>
      </c>
      <c r="AQ957" s="45">
        <f t="shared" si="228"/>
        <v>-7066.4323775737439</v>
      </c>
      <c r="AR957" s="45">
        <f t="shared" si="229"/>
        <v>3456.4470602364167</v>
      </c>
      <c r="AS957" s="45">
        <f t="shared" si="230"/>
        <v>1443.3946621903697</v>
      </c>
      <c r="AT957" s="45">
        <f t="shared" si="216"/>
        <v>-704.53757692537613</v>
      </c>
      <c r="AU957" s="45">
        <f t="shared" si="217"/>
        <v>-946.98559103816342</v>
      </c>
      <c r="AV957" s="64">
        <f t="shared" si="218"/>
        <v>564.53336720488062</v>
      </c>
      <c r="AW957" s="64">
        <f t="shared" si="219"/>
        <v>426.62902702835925</v>
      </c>
      <c r="AX957" s="64">
        <f t="shared" si="220"/>
        <v>-174.27244076596847</v>
      </c>
      <c r="AY957" s="64">
        <f t="shared" si="221"/>
        <v>143.50765995927298</v>
      </c>
      <c r="AZ957" s="64">
        <f t="shared" si="222"/>
        <v>-1094.7985033642883</v>
      </c>
      <c r="BA957" s="64">
        <f t="shared" si="223"/>
        <v>-1517.1222780257956</v>
      </c>
      <c r="BB957" s="65">
        <f t="shared" si="224"/>
        <v>24159.950326661736</v>
      </c>
      <c r="BC957" s="65">
        <f t="shared" si="225"/>
        <v>26847.576624553436</v>
      </c>
      <c r="BD957" s="66">
        <f t="shared" si="226"/>
        <v>9783.5639406783739</v>
      </c>
    </row>
    <row r="958" spans="31:56" x14ac:dyDescent="0.25">
      <c r="AE958" s="71">
        <v>896</v>
      </c>
      <c r="AF958" s="17">
        <v>5.5292030703180366</v>
      </c>
      <c r="AG958" s="18">
        <v>-12735.626291535267</v>
      </c>
      <c r="AH958" s="20">
        <v>8134.8258462635913</v>
      </c>
      <c r="AN958" s="23">
        <v>953</v>
      </c>
      <c r="AO958" s="58">
        <v>476.5</v>
      </c>
      <c r="AP958" s="45">
        <f t="shared" si="227"/>
        <v>2277.1767475948236</v>
      </c>
      <c r="AQ958" s="45">
        <f t="shared" si="228"/>
        <v>-6581.4814442381003</v>
      </c>
      <c r="AR958" s="45">
        <f t="shared" si="229"/>
        <v>3104.1782717737287</v>
      </c>
      <c r="AS958" s="45">
        <f t="shared" si="230"/>
        <v>969.90186667128796</v>
      </c>
      <c r="AT958" s="45">
        <f t="shared" si="216"/>
        <v>-695.83387146313169</v>
      </c>
      <c r="AU958" s="45">
        <f t="shared" si="217"/>
        <v>-703.01663121084141</v>
      </c>
      <c r="AV958" s="64">
        <f t="shared" si="218"/>
        <v>612.34056048592436</v>
      </c>
      <c r="AW958" s="64">
        <f t="shared" si="219"/>
        <v>486.52870466711414</v>
      </c>
      <c r="AX958" s="64">
        <f t="shared" si="220"/>
        <v>-170.31733202086005</v>
      </c>
      <c r="AY958" s="64">
        <f t="shared" si="221"/>
        <v>126.77161529640145</v>
      </c>
      <c r="AZ958" s="64">
        <f t="shared" si="222"/>
        <v>-1137.857099928196</v>
      </c>
      <c r="BA958" s="64">
        <f t="shared" si="223"/>
        <v>-1316.316951174357</v>
      </c>
      <c r="BB958" s="65">
        <f t="shared" si="224"/>
        <v>22635.957759732977</v>
      </c>
      <c r="BC958" s="65">
        <f t="shared" si="225"/>
        <v>27770.814369211283</v>
      </c>
      <c r="BD958" s="66">
        <f t="shared" si="226"/>
        <v>11127.83699060344</v>
      </c>
    </row>
    <row r="959" spans="31:56" x14ac:dyDescent="0.25">
      <c r="AE959" s="71">
        <v>897</v>
      </c>
      <c r="AF959" s="17">
        <v>5.5920349233898321</v>
      </c>
      <c r="AG959" s="18">
        <v>-12632.845619534834</v>
      </c>
      <c r="AH959" s="20">
        <v>8594.6401406070654</v>
      </c>
      <c r="AN959" s="23">
        <v>954</v>
      </c>
      <c r="AO959" s="58">
        <v>477</v>
      </c>
      <c r="AP959" s="45">
        <f t="shared" si="227"/>
        <v>3655.307415615905</v>
      </c>
      <c r="AQ959" s="45">
        <f t="shared" si="228"/>
        <v>-6272.284668705167</v>
      </c>
      <c r="AR959" s="45">
        <f t="shared" si="229"/>
        <v>2756.2613360421628</v>
      </c>
      <c r="AS959" s="45">
        <f t="shared" si="230"/>
        <v>618.39355106586731</v>
      </c>
      <c r="AT959" s="45">
        <f t="shared" si="216"/>
        <v>-652.32845774041334</v>
      </c>
      <c r="AU959" s="45">
        <f t="shared" si="217"/>
        <v>-486.5385819071239</v>
      </c>
      <c r="AV959" s="64">
        <f t="shared" si="218"/>
        <v>651.32466317889168</v>
      </c>
      <c r="AW959" s="64">
        <f t="shared" si="219"/>
        <v>548.81599190299039</v>
      </c>
      <c r="AX959" s="64">
        <f t="shared" si="220"/>
        <v>-164.60036091995502</v>
      </c>
      <c r="AY959" s="64">
        <f t="shared" si="221"/>
        <v>113.22718755677536</v>
      </c>
      <c r="AZ959" s="64">
        <f t="shared" si="222"/>
        <v>-1139.05275999935</v>
      </c>
      <c r="BA959" s="64">
        <f t="shared" si="223"/>
        <v>-1148.5817613668896</v>
      </c>
      <c r="BB959" s="65">
        <f t="shared" si="224"/>
        <v>21373.46019421918</v>
      </c>
      <c r="BC959" s="65">
        <f t="shared" si="225"/>
        <v>28711.684333502104</v>
      </c>
      <c r="BD959" s="66">
        <f t="shared" si="226"/>
        <v>12291.759896895746</v>
      </c>
    </row>
    <row r="960" spans="31:56" x14ac:dyDescent="0.25">
      <c r="AE960" s="71">
        <v>898</v>
      </c>
      <c r="AF960" s="17">
        <v>5.6548667764616285</v>
      </c>
      <c r="AG960" s="18">
        <v>-12559.139740141416</v>
      </c>
      <c r="AH960" s="20">
        <v>9060.0007482677211</v>
      </c>
      <c r="AN960" s="23">
        <v>955</v>
      </c>
      <c r="AO960" s="58">
        <v>477.5</v>
      </c>
      <c r="AP960" s="45">
        <f t="shared" si="227"/>
        <v>4870.3559692018835</v>
      </c>
      <c r="AQ960" s="45">
        <f t="shared" si="228"/>
        <v>-6084.7225386490145</v>
      </c>
      <c r="AR960" s="45">
        <f t="shared" si="229"/>
        <v>2430.0971071719559</v>
      </c>
      <c r="AS960" s="45">
        <f t="shared" si="230"/>
        <v>375.12426011230536</v>
      </c>
      <c r="AT960" s="45">
        <f t="shared" si="216"/>
        <v>-599.13856254188886</v>
      </c>
      <c r="AU960" s="45">
        <f t="shared" si="217"/>
        <v>-299.21955316928404</v>
      </c>
      <c r="AV960" s="64">
        <f t="shared" si="218"/>
        <v>680.8933006380712</v>
      </c>
      <c r="AW960" s="64">
        <f t="shared" si="219"/>
        <v>611.36577627102201</v>
      </c>
      <c r="AX960" s="64">
        <f t="shared" si="220"/>
        <v>-158.44566770171397</v>
      </c>
      <c r="AY960" s="64">
        <f t="shared" si="221"/>
        <v>102.47358765548206</v>
      </c>
      <c r="AZ960" s="64">
        <f t="shared" si="222"/>
        <v>-1121.5861954782461</v>
      </c>
      <c r="BA960" s="64">
        <f t="shared" si="223"/>
        <v>-1013.0589170957882</v>
      </c>
      <c r="BB960" s="65">
        <f t="shared" si="224"/>
        <v>20333.489984524142</v>
      </c>
      <c r="BC960" s="65">
        <f t="shared" si="225"/>
        <v>29618.455482690842</v>
      </c>
      <c r="BD960" s="66">
        <f t="shared" si="226"/>
        <v>13300.605218245977</v>
      </c>
    </row>
    <row r="961" spans="31:56" x14ac:dyDescent="0.25">
      <c r="AE961" s="71">
        <v>899</v>
      </c>
      <c r="AF961" s="17">
        <v>5.717698629533424</v>
      </c>
      <c r="AG961" s="18">
        <v>-12514.799536787963</v>
      </c>
      <c r="AH961" s="20">
        <v>9529.0711035301501</v>
      </c>
      <c r="AN961" s="23">
        <v>956</v>
      </c>
      <c r="AO961" s="58">
        <v>478</v>
      </c>
      <c r="AP961" s="45">
        <f t="shared" si="227"/>
        <v>5935.6198821523894</v>
      </c>
      <c r="AQ961" s="45">
        <f t="shared" si="228"/>
        <v>-5971.9652968851833</v>
      </c>
      <c r="AR961" s="45">
        <f t="shared" si="229"/>
        <v>2130.5278259010115</v>
      </c>
      <c r="AS961" s="45">
        <f t="shared" si="230"/>
        <v>225.51448352766334</v>
      </c>
      <c r="AT961" s="45">
        <f t="shared" si="216"/>
        <v>-546.74313665471004</v>
      </c>
      <c r="AU961" s="45">
        <f t="shared" si="217"/>
        <v>-138.5794933818097</v>
      </c>
      <c r="AV961" s="64">
        <f t="shared" si="218"/>
        <v>701.79005329572931</v>
      </c>
      <c r="AW961" s="64">
        <f t="shared" si="219"/>
        <v>672.22950208104646</v>
      </c>
      <c r="AX961" s="64">
        <f t="shared" si="220"/>
        <v>-152.58348832660604</v>
      </c>
      <c r="AY961" s="64">
        <f t="shared" si="221"/>
        <v>93.965680847570582</v>
      </c>
      <c r="AZ961" s="64">
        <f t="shared" si="222"/>
        <v>-1095.9497016238333</v>
      </c>
      <c r="BA961" s="64">
        <f t="shared" si="223"/>
        <v>-904.77467631042668</v>
      </c>
      <c r="BB961" s="65">
        <f t="shared" si="224"/>
        <v>19475.64214755924</v>
      </c>
      <c r="BC961" s="65">
        <f t="shared" si="225"/>
        <v>30459.15386409155</v>
      </c>
      <c r="BD961" s="66">
        <f t="shared" si="226"/>
        <v>14180.733154797465</v>
      </c>
    </row>
    <row r="962" spans="31:56" x14ac:dyDescent="0.25">
      <c r="AE962" s="71">
        <v>900</v>
      </c>
      <c r="AF962" s="17">
        <v>5.7805304826052195</v>
      </c>
      <c r="AG962" s="18">
        <v>-12500</v>
      </c>
      <c r="AH962" s="20">
        <v>10000.000000000005</v>
      </c>
      <c r="AN962" s="23">
        <v>957</v>
      </c>
      <c r="AO962" s="58">
        <v>478.5</v>
      </c>
      <c r="AP962" s="45">
        <f t="shared" si="227"/>
        <v>6864.198010939218</v>
      </c>
      <c r="AQ962" s="45">
        <f t="shared" si="228"/>
        <v>-5893.8529284668039</v>
      </c>
      <c r="AR962" s="45">
        <f t="shared" si="229"/>
        <v>1857.1562575736566</v>
      </c>
      <c r="AS962" s="45">
        <f t="shared" si="230"/>
        <v>156.2247368367585</v>
      </c>
      <c r="AT962" s="45">
        <f t="shared" si="216"/>
        <v>-498.27507131348943</v>
      </c>
      <c r="AU962" s="45">
        <f t="shared" si="217"/>
        <v>-1.6391181676248152</v>
      </c>
      <c r="AV962" s="64">
        <f t="shared" si="218"/>
        <v>715.85889748374143</v>
      </c>
      <c r="AW962" s="64">
        <f t="shared" si="219"/>
        <v>729.92184248943465</v>
      </c>
      <c r="AX962" s="64">
        <f t="shared" si="220"/>
        <v>-147.38807775773375</v>
      </c>
      <c r="AY962" s="64">
        <f t="shared" si="221"/>
        <v>87.20023692264877</v>
      </c>
      <c r="AZ962" s="64">
        <f t="shared" si="222"/>
        <v>-1066.7458910394971</v>
      </c>
      <c r="BA962" s="64">
        <f t="shared" si="223"/>
        <v>-818.76119757970821</v>
      </c>
      <c r="BB962" s="65">
        <f t="shared" si="224"/>
        <v>18760.18630411788</v>
      </c>
      <c r="BC962" s="65">
        <f t="shared" si="225"/>
        <v>31213.774133908948</v>
      </c>
      <c r="BD962" s="66">
        <f t="shared" si="226"/>
        <v>14955.972349906466</v>
      </c>
    </row>
    <row r="963" spans="31:56" x14ac:dyDescent="0.25">
      <c r="AE963" s="71">
        <v>901</v>
      </c>
      <c r="AF963" s="17">
        <v>5.8433623356770159</v>
      </c>
      <c r="AG963" s="18" cm="1">
        <f t="array" ref="AG963:AG1062">COS(AF63:AF162)*$AL$36+$K$26</f>
        <v>-12514.799536787963</v>
      </c>
      <c r="AH963" s="20" cm="1">
        <f t="array" ref="AH963:AH1062">SIN(AF63:AF162)*$AL$36+$L$26</f>
        <v>10470.92889646985</v>
      </c>
      <c r="AN963" s="23">
        <v>958</v>
      </c>
      <c r="AO963" s="58">
        <v>479</v>
      </c>
      <c r="AP963" s="45">
        <f t="shared" si="227"/>
        <v>7668.2073718976744</v>
      </c>
      <c r="AQ963" s="45">
        <f t="shared" si="228"/>
        <v>-5816.150339590331</v>
      </c>
      <c r="AR963" s="45">
        <f t="shared" si="229"/>
        <v>1608.018721916912</v>
      </c>
      <c r="AS963" s="45">
        <f t="shared" si="230"/>
        <v>155.40517775294609</v>
      </c>
      <c r="AT963" s="45">
        <f t="shared" si="216"/>
        <v>-453.24814348384689</v>
      </c>
      <c r="AU963" s="45">
        <f t="shared" si="217"/>
        <v>114.39586676572139</v>
      </c>
      <c r="AV963" s="64">
        <f t="shared" si="218"/>
        <v>725.67546774011623</v>
      </c>
      <c r="AW963" s="64">
        <f t="shared" si="219"/>
        <v>783.60088574299527</v>
      </c>
      <c r="AX963" s="64">
        <f t="shared" si="220"/>
        <v>-143.03585962498221</v>
      </c>
      <c r="AY963" s="64">
        <f t="shared" si="221"/>
        <v>81.764482583683019</v>
      </c>
      <c r="AZ963" s="64">
        <f t="shared" si="222"/>
        <v>-1035.8877515989809</v>
      </c>
      <c r="BA963" s="64">
        <f t="shared" si="223"/>
        <v>-750.96950156095693</v>
      </c>
      <c r="BB963" s="65">
        <f t="shared" si="224"/>
        <v>18149.186463560578</v>
      </c>
      <c r="BC963" s="65">
        <f t="shared" si="225"/>
        <v>31869.739734407249</v>
      </c>
      <c r="BD963" s="66">
        <f t="shared" si="226"/>
        <v>15646.934926764712</v>
      </c>
    </row>
    <row r="964" spans="31:56" x14ac:dyDescent="0.25">
      <c r="AE964" s="71">
        <v>902</v>
      </c>
      <c r="AF964" s="17">
        <v>5.9061941887488114</v>
      </c>
      <c r="AG964" s="18">
        <v>-12559.139740141416</v>
      </c>
      <c r="AH964" s="20">
        <v>10939.999251732283</v>
      </c>
      <c r="AN964" s="23">
        <v>959</v>
      </c>
      <c r="AO964" s="58">
        <v>479.5</v>
      </c>
      <c r="AP964" s="45">
        <f t="shared" si="227"/>
        <v>8358.9046969851679</v>
      </c>
      <c r="AQ964" s="45">
        <f t="shared" si="228"/>
        <v>-5709.8487840224279</v>
      </c>
      <c r="AR964" s="45">
        <f t="shared" si="229"/>
        <v>1381.3946501749886</v>
      </c>
      <c r="AS964" s="45">
        <f t="shared" si="230"/>
        <v>212.60311113580678</v>
      </c>
      <c r="AT964" s="45">
        <f t="shared" si="216"/>
        <v>-409.46210442643599</v>
      </c>
      <c r="AU964" s="45">
        <f t="shared" si="217"/>
        <v>212.2022995938629</v>
      </c>
      <c r="AV964" s="64">
        <f t="shared" si="218"/>
        <v>734.16305153934172</v>
      </c>
      <c r="AW964" s="64">
        <f t="shared" si="219"/>
        <v>833.09883144239154</v>
      </c>
      <c r="AX964" s="64">
        <f t="shared" si="220"/>
        <v>-139.5973846818903</v>
      </c>
      <c r="AY964" s="64">
        <f t="shared" si="221"/>
        <v>77.332105292157095</v>
      </c>
      <c r="AZ964" s="64">
        <f t="shared" si="222"/>
        <v>-1004.0277712838874</v>
      </c>
      <c r="BA964" s="64">
        <f t="shared" si="223"/>
        <v>-698.22863714068569</v>
      </c>
      <c r="BB964" s="65">
        <f t="shared" si="224"/>
        <v>17607.248642266994</v>
      </c>
      <c r="BC964" s="65">
        <f t="shared" si="225"/>
        <v>32419.54386522948</v>
      </c>
      <c r="BD964" s="66">
        <f t="shared" si="226"/>
        <v>16271.669991702203</v>
      </c>
    </row>
    <row r="965" spans="31:56" x14ac:dyDescent="0.25">
      <c r="AE965" s="71">
        <v>903</v>
      </c>
      <c r="AF965" s="17">
        <v>5.9690260418206078</v>
      </c>
      <c r="AG965" s="18">
        <v>-12632.845619534834</v>
      </c>
      <c r="AH965" s="20">
        <v>11405.359859392935</v>
      </c>
      <c r="AN965" s="23">
        <v>960</v>
      </c>
      <c r="AO965" s="58">
        <v>480</v>
      </c>
      <c r="AP965" s="45">
        <f t="shared" si="227"/>
        <v>8947.2364959660536</v>
      </c>
      <c r="AQ965" s="45">
        <f t="shared" si="228"/>
        <v>-5550.4966535560588</v>
      </c>
      <c r="AR965" s="45">
        <f t="shared" si="229"/>
        <v>1176.6635979617706</v>
      </c>
      <c r="AS965" s="45">
        <f t="shared" si="230"/>
        <v>318.70426093273824</v>
      </c>
      <c r="AT965" s="45">
        <f t="shared" si="216"/>
        <v>-363.96872342439599</v>
      </c>
      <c r="AU965" s="45">
        <f t="shared" si="217"/>
        <v>294.4764235213795</v>
      </c>
      <c r="AV965" s="64">
        <f t="shared" si="218"/>
        <v>744.29446673178643</v>
      </c>
      <c r="AW965" s="64">
        <f t="shared" si="219"/>
        <v>878.82206506982175</v>
      </c>
      <c r="AX965" s="64">
        <f t="shared" si="220"/>
        <v>-137.08728564062338</v>
      </c>
      <c r="AY965" s="64">
        <f t="shared" si="221"/>
        <v>73.643484997148903</v>
      </c>
      <c r="AZ965" s="64">
        <f t="shared" si="222"/>
        <v>-971.17590451555907</v>
      </c>
      <c r="BA965" s="64">
        <f t="shared" si="223"/>
        <v>-657.98912654559115</v>
      </c>
      <c r="BB965" s="65">
        <f t="shared" si="224"/>
        <v>17102.018710683915</v>
      </c>
      <c r="BC965" s="65">
        <f t="shared" si="225"/>
        <v>32859.708564222645</v>
      </c>
      <c r="BD965" s="66">
        <f t="shared" si="226"/>
        <v>16846.914238781614</v>
      </c>
    </row>
    <row r="966" spans="31:56" x14ac:dyDescent="0.25">
      <c r="AE966" s="71">
        <v>904</v>
      </c>
      <c r="AF966" s="17">
        <v>6.0318578948924033</v>
      </c>
      <c r="AG966" s="18">
        <v>-12735.626291535267</v>
      </c>
      <c r="AH966" s="20">
        <v>11865.174153736411</v>
      </c>
      <c r="AN966" s="23">
        <v>961</v>
      </c>
      <c r="AO966" s="58">
        <v>480.5</v>
      </c>
      <c r="AP966" s="45">
        <f t="shared" si="227"/>
        <v>9444.5761140908398</v>
      </c>
      <c r="AQ966" s="45">
        <f t="shared" si="228"/>
        <v>-5317.5254172093446</v>
      </c>
      <c r="AR966" s="45">
        <f t="shared" si="229"/>
        <v>994.67923624957257</v>
      </c>
      <c r="AS966" s="45">
        <f t="shared" si="230"/>
        <v>465.94247269342799</v>
      </c>
      <c r="AT966" s="45">
        <f t="shared" ref="AT966:AT1005" si="231">AV966+AX966+AZ966</f>
        <v>-313.5224968000706</v>
      </c>
      <c r="AU966" s="45">
        <f t="shared" ref="AU966:AU1005" si="232">AW966+AY966+BA966</f>
        <v>363.99424916587759</v>
      </c>
      <c r="AV966" s="64">
        <f t="shared" ref="AV966:AV1005" si="233">$K$22*(($K$18-AP966)/((BB966^2+$K$23^2)^(3/2)))</f>
        <v>758.93087950175982</v>
      </c>
      <c r="AW966" s="64">
        <f t="shared" ref="AW966:AW1005" si="234">$K$22*(($L$18-AQ966)/((BB966^2+$K$23^2)^(3/2)))</f>
        <v>921.57510139451779</v>
      </c>
      <c r="AX966" s="64">
        <f t="shared" ref="AX966:AX1005" si="235">$K$30*(($K$26-AP966)/((BC966^2+$K$31^2)^(3/2)))</f>
        <v>-135.48962234883248</v>
      </c>
      <c r="AY966" s="64">
        <f t="shared" ref="AY966:AY1005" si="236">$K$30*(($L$26-AQ966)/((BC966^2+$K$31^2)^(3/2)))</f>
        <v>70.483804081769776</v>
      </c>
      <c r="AZ966" s="64">
        <f t="shared" ref="AZ966:AZ1005" si="237">$K$38*(($K$34-AP966)/((BD966^2+$K$39^2)^(3/2)))</f>
        <v>-936.96375395299799</v>
      </c>
      <c r="BA966" s="64">
        <f t="shared" ref="BA966:BA1005" si="238">$K$38*(($L$34-AQ966)/((BD966^2+$K$39^2)^(3/2)))</f>
        <v>-628.06465631040999</v>
      </c>
      <c r="BB966" s="65">
        <f t="shared" ref="BB966:BB1005" si="239">SQRT(($K$18-AP966)^2+($L$18-AQ966)^2)</f>
        <v>16604.394937245655</v>
      </c>
      <c r="BC966" s="65">
        <f t="shared" ref="BC966:BC1005" si="240">SQRT(($K$26-AP966)^2+($L$26-AQ966)^2)</f>
        <v>33190.505380987248</v>
      </c>
      <c r="BD966" s="66">
        <f t="shared" ref="BD966:BD1005" si="241">SQRT(($K$34-AP966)^2+($L$34-AQ966)^2)</f>
        <v>17389.53976280427</v>
      </c>
    </row>
    <row r="967" spans="31:56" x14ac:dyDescent="0.25">
      <c r="AE967" s="71">
        <v>905</v>
      </c>
      <c r="AF967" s="17">
        <v>6.0946897479641988</v>
      </c>
      <c r="AG967" s="18">
        <v>-12867.076127786349</v>
      </c>
      <c r="AH967" s="20">
        <v>12317.627457812105</v>
      </c>
      <c r="AN967" s="23">
        <v>962</v>
      </c>
      <c r="AO967" s="58">
        <v>481</v>
      </c>
      <c r="AP967" s="45">
        <f t="shared" ref="AP967:AP1005" si="242">AP966+AR966*$K$5+AT966*$K$5^2</f>
        <v>9863.5351080156088</v>
      </c>
      <c r="AQ967" s="45">
        <f t="shared" ref="AQ967:AQ1005" si="243">AQ966+AS966*$K$5+AU966*$K$5^2</f>
        <v>-4993.5556185711612</v>
      </c>
      <c r="AR967" s="45">
        <f t="shared" ref="AR967:AR1005" si="244">AR966+AT966*$K$5</f>
        <v>837.91798784953721</v>
      </c>
      <c r="AS967" s="45">
        <f t="shared" ref="AS967:AS1005" si="245">AS966+AU966*$K$5</f>
        <v>647.93959727636684</v>
      </c>
      <c r="AT967" s="45">
        <f t="shared" si="231"/>
        <v>-254.74052620375949</v>
      </c>
      <c r="AU967" s="45">
        <f t="shared" si="232"/>
        <v>423.60825226477186</v>
      </c>
      <c r="AV967" s="64">
        <f t="shared" si="233"/>
        <v>780.79960482029753</v>
      </c>
      <c r="AW967" s="64">
        <f t="shared" si="234"/>
        <v>962.36344659908991</v>
      </c>
      <c r="AX967" s="64">
        <f t="shared" si="235"/>
        <v>-134.76860294805232</v>
      </c>
      <c r="AY967" s="64">
        <f t="shared" si="236"/>
        <v>67.663139565697108</v>
      </c>
      <c r="AZ967" s="64">
        <f t="shared" si="237"/>
        <v>-900.77152807600476</v>
      </c>
      <c r="BA967" s="64">
        <f t="shared" si="238"/>
        <v>-606.41833390001511</v>
      </c>
      <c r="BB967" s="65">
        <f t="shared" si="239"/>
        <v>16088.40739479092</v>
      </c>
      <c r="BC967" s="65">
        <f t="shared" si="240"/>
        <v>33416.12543720274</v>
      </c>
      <c r="BD967" s="66">
        <f t="shared" si="241"/>
        <v>17917.96877622688</v>
      </c>
    </row>
    <row r="968" spans="31:56" x14ac:dyDescent="0.25">
      <c r="AE968" s="71">
        <v>906</v>
      </c>
      <c r="AF968" s="17">
        <v>6.1575216010359952</v>
      </c>
      <c r="AG968" s="18">
        <v>-13026.676355838115</v>
      </c>
      <c r="AH968" s="20">
        <v>12760.934145135085</v>
      </c>
      <c r="AN968" s="23">
        <v>963</v>
      </c>
      <c r="AO968" s="58">
        <v>481.5</v>
      </c>
      <c r="AP968" s="45">
        <f t="shared" si="242"/>
        <v>10218.808970389438</v>
      </c>
      <c r="AQ968" s="45">
        <f t="shared" si="243"/>
        <v>-4563.6837568667852</v>
      </c>
      <c r="AR968" s="45">
        <f t="shared" si="244"/>
        <v>710.54772474765741</v>
      </c>
      <c r="AS968" s="45">
        <f t="shared" si="245"/>
        <v>859.74372340875277</v>
      </c>
      <c r="AT968" s="45">
        <f t="shared" si="231"/>
        <v>-184.10683282867012</v>
      </c>
      <c r="AU968" s="45">
        <f t="shared" si="232"/>
        <v>476.20967833659063</v>
      </c>
      <c r="AV968" s="64">
        <f t="shared" si="233"/>
        <v>812.58514716243644</v>
      </c>
      <c r="AW968" s="64">
        <f t="shared" si="234"/>
        <v>1002.2061946463167</v>
      </c>
      <c r="AX968" s="64">
        <f t="shared" si="235"/>
        <v>-134.86960548707535</v>
      </c>
      <c r="AY968" s="64">
        <f t="shared" si="236"/>
        <v>64.999195853543185</v>
      </c>
      <c r="AZ968" s="64">
        <f t="shared" si="237"/>
        <v>-861.82237450403125</v>
      </c>
      <c r="BA968" s="64">
        <f t="shared" si="238"/>
        <v>-590.99571216326933</v>
      </c>
      <c r="BB968" s="65">
        <f t="shared" si="239"/>
        <v>15530.748975610468</v>
      </c>
      <c r="BC968" s="65">
        <f t="shared" si="240"/>
        <v>33545.153154500797</v>
      </c>
      <c r="BD968" s="66">
        <f t="shared" si="241"/>
        <v>18453.423617418321</v>
      </c>
    </row>
    <row r="969" spans="31:56" x14ac:dyDescent="0.25">
      <c r="AE969" s="71">
        <v>907</v>
      </c>
      <c r="AF969" s="17">
        <v>6.2203534541077907</v>
      </c>
      <c r="AG969" s="18">
        <v>-13213.797106504855</v>
      </c>
      <c r="AH969" s="20">
        <v>13193.344686738044</v>
      </c>
      <c r="AN969" s="23">
        <v>964</v>
      </c>
      <c r="AO969" s="58">
        <v>482</v>
      </c>
      <c r="AP969" s="45">
        <f t="shared" si="242"/>
        <v>10528.056124556098</v>
      </c>
      <c r="AQ969" s="45">
        <f t="shared" si="243"/>
        <v>-4014.7594755782616</v>
      </c>
      <c r="AR969" s="45">
        <f t="shared" si="244"/>
        <v>618.49430833332235</v>
      </c>
      <c r="AS969" s="45">
        <f t="shared" si="245"/>
        <v>1097.8485625770481</v>
      </c>
      <c r="AT969" s="45">
        <f t="shared" si="231"/>
        <v>-97.905922762758564</v>
      </c>
      <c r="AU969" s="45">
        <f t="shared" si="232"/>
        <v>524.64936534546678</v>
      </c>
      <c r="AV969" s="64">
        <f t="shared" si="233"/>
        <v>857.10160806127453</v>
      </c>
      <c r="AW969" s="64">
        <f t="shared" si="234"/>
        <v>1041.9528443937704</v>
      </c>
      <c r="AX969" s="64">
        <f t="shared" si="235"/>
        <v>-135.71232631215125</v>
      </c>
      <c r="AY969" s="64">
        <f t="shared" si="236"/>
        <v>62.30254567719048</v>
      </c>
      <c r="AZ969" s="64">
        <f t="shared" si="237"/>
        <v>-819.29520451188182</v>
      </c>
      <c r="BA969" s="64">
        <f t="shared" si="238"/>
        <v>-579.60602472549408</v>
      </c>
      <c r="BB969" s="65">
        <f t="shared" si="239"/>
        <v>14909.97674578933</v>
      </c>
      <c r="BC969" s="65">
        <f t="shared" si="240"/>
        <v>33591.303843440757</v>
      </c>
      <c r="BD969" s="66">
        <f t="shared" si="241"/>
        <v>19020.936790462289</v>
      </c>
    </row>
    <row r="970" spans="31:56" x14ac:dyDescent="0.25">
      <c r="AE970" s="71">
        <v>908</v>
      </c>
      <c r="AF970" s="17">
        <v>6.2831853071795871</v>
      </c>
      <c r="AG970" s="18">
        <v>-13427.699899671024</v>
      </c>
      <c r="AH970" s="20">
        <v>13613.152555762865</v>
      </c>
      <c r="AN970" s="23">
        <v>965</v>
      </c>
      <c r="AO970" s="58">
        <v>482.5</v>
      </c>
      <c r="AP970" s="45">
        <f t="shared" si="242"/>
        <v>10812.826798032071</v>
      </c>
      <c r="AQ970" s="45">
        <f t="shared" si="243"/>
        <v>-3334.6728529533707</v>
      </c>
      <c r="AR970" s="45">
        <f t="shared" si="244"/>
        <v>569.54134695194307</v>
      </c>
      <c r="AS970" s="45">
        <f t="shared" si="245"/>
        <v>1360.1732452497815</v>
      </c>
      <c r="AT970" s="45">
        <f t="shared" si="231"/>
        <v>7.8633993118216949</v>
      </c>
      <c r="AU970" s="45">
        <f t="shared" si="232"/>
        <v>571.54971879733489</v>
      </c>
      <c r="AV970" s="64">
        <f t="shared" si="233"/>
        <v>917.51675622654727</v>
      </c>
      <c r="AW970" s="64">
        <f t="shared" si="234"/>
        <v>1082.0514289083183</v>
      </c>
      <c r="AX970" s="64">
        <f t="shared" si="235"/>
        <v>-137.17604166109467</v>
      </c>
      <c r="AY970" s="64">
        <f t="shared" si="236"/>
        <v>59.364810986138572</v>
      </c>
      <c r="AZ970" s="64">
        <f t="shared" si="237"/>
        <v>-772.47731525363088</v>
      </c>
      <c r="BA970" s="64">
        <f t="shared" si="238"/>
        <v>-569.8665210971219</v>
      </c>
      <c r="BB970" s="65">
        <f t="shared" si="239"/>
        <v>14205.431611657646</v>
      </c>
      <c r="BC970" s="65">
        <f t="shared" si="240"/>
        <v>33574.451527624617</v>
      </c>
      <c r="BD970" s="66">
        <f t="shared" si="241"/>
        <v>19650.07248821704</v>
      </c>
    </row>
    <row r="971" spans="31:56" x14ac:dyDescent="0.25">
      <c r="AE971" s="71">
        <v>909</v>
      </c>
      <c r="AF971" s="17" cm="1">
        <f t="array" ref="AF971:AF1062">$AL$35*AE62:AE153</f>
        <v>0</v>
      </c>
      <c r="AG971" s="18">
        <v>-13667.540558734887</v>
      </c>
      <c r="AH971" s="20">
        <v>14018.700962342475</v>
      </c>
      <c r="AN971" s="23">
        <v>966</v>
      </c>
      <c r="AO971" s="58">
        <v>483</v>
      </c>
      <c r="AP971" s="45">
        <f t="shared" si="242"/>
        <v>11099.563321335998</v>
      </c>
      <c r="AQ971" s="45">
        <f t="shared" si="243"/>
        <v>-2511.6988006291463</v>
      </c>
      <c r="AR971" s="45">
        <f t="shared" si="244"/>
        <v>573.47304660785392</v>
      </c>
      <c r="AS971" s="45">
        <f t="shared" si="245"/>
        <v>1645.9481046484489</v>
      </c>
      <c r="AT971" s="45">
        <f t="shared" si="231"/>
        <v>137.55357819676919</v>
      </c>
      <c r="AU971" s="45">
        <f t="shared" si="232"/>
        <v>618.85046835070943</v>
      </c>
      <c r="AV971" s="64">
        <f t="shared" si="233"/>
        <v>997.58375827585519</v>
      </c>
      <c r="AW971" s="64">
        <f t="shared" si="234"/>
        <v>1122.1368655090155</v>
      </c>
      <c r="AX971" s="64">
        <f t="shared" si="235"/>
        <v>-139.07610223036525</v>
      </c>
      <c r="AY971" s="64">
        <f t="shared" si="236"/>
        <v>55.951856413303695</v>
      </c>
      <c r="AZ971" s="64">
        <f t="shared" si="237"/>
        <v>-720.95407784872077</v>
      </c>
      <c r="BA971" s="64">
        <f t="shared" si="238"/>
        <v>-559.23825357160968</v>
      </c>
      <c r="BB971" s="65">
        <f t="shared" si="239"/>
        <v>13395.965286063807</v>
      </c>
      <c r="BC971" s="65">
        <f t="shared" si="240"/>
        <v>33522.014343643677</v>
      </c>
      <c r="BD971" s="66">
        <f t="shared" si="241"/>
        <v>20375.31854926236</v>
      </c>
    </row>
    <row r="972" spans="31:56" x14ac:dyDescent="0.25">
      <c r="AE972" s="71">
        <v>910</v>
      </c>
      <c r="AF972" s="17">
        <v>6.2831853071795868E-2</v>
      </c>
      <c r="AG972" s="18">
        <v>-13932.372542187895</v>
      </c>
      <c r="AH972" s="20">
        <v>14408.389392193549</v>
      </c>
      <c r="AN972" s="23">
        <v>967</v>
      </c>
      <c r="AO972" s="58">
        <v>483.5</v>
      </c>
      <c r="AP972" s="45">
        <f t="shared" si="242"/>
        <v>11420.688239189118</v>
      </c>
      <c r="AQ972" s="45">
        <f t="shared" si="243"/>
        <v>-1534.0121312172446</v>
      </c>
      <c r="AR972" s="45">
        <f t="shared" si="244"/>
        <v>642.24983570623851</v>
      </c>
      <c r="AS972" s="45">
        <f t="shared" si="245"/>
        <v>1955.3733388238036</v>
      </c>
      <c r="AT972" s="45">
        <f t="shared" si="231"/>
        <v>295.8141494578764</v>
      </c>
      <c r="AU972" s="45">
        <f t="shared" si="232"/>
        <v>666.76881688299443</v>
      </c>
      <c r="AV972" s="64">
        <f t="shared" si="233"/>
        <v>1101.7529161689272</v>
      </c>
      <c r="AW972" s="64">
        <f t="shared" si="234"/>
        <v>1160.145415829174</v>
      </c>
      <c r="AX972" s="64">
        <f t="shared" si="235"/>
        <v>-141.13130709289013</v>
      </c>
      <c r="AY972" s="64">
        <f t="shared" si="236"/>
        <v>51.80695584107773</v>
      </c>
      <c r="AZ972" s="64">
        <f t="shared" si="237"/>
        <v>-664.80745961816069</v>
      </c>
      <c r="BA972" s="64">
        <f t="shared" si="238"/>
        <v>-545.18355478725732</v>
      </c>
      <c r="BB972" s="65">
        <f t="shared" si="239"/>
        <v>12458.650226897305</v>
      </c>
      <c r="BC972" s="65">
        <f t="shared" si="240"/>
        <v>33470.779573642802</v>
      </c>
      <c r="BD972" s="66">
        <f t="shared" si="241"/>
        <v>21236.09737053511</v>
      </c>
    </row>
    <row r="973" spans="31:56" x14ac:dyDescent="0.25">
      <c r="AE973" s="71">
        <v>911</v>
      </c>
      <c r="AF973" s="17">
        <v>0.12566370614359174</v>
      </c>
      <c r="AG973" s="18">
        <v>-14221.150679181581</v>
      </c>
      <c r="AH973" s="20">
        <v>14780.679923115173</v>
      </c>
      <c r="AN973" s="23">
        <v>968</v>
      </c>
      <c r="AO973" s="58">
        <v>484</v>
      </c>
      <c r="AP973" s="45">
        <f t="shared" si="242"/>
        <v>11815.766694406706</v>
      </c>
      <c r="AQ973" s="45">
        <f t="shared" si="243"/>
        <v>-389.63325758459416</v>
      </c>
      <c r="AR973" s="45">
        <f t="shared" si="244"/>
        <v>790.15691043517677</v>
      </c>
      <c r="AS973" s="45">
        <f t="shared" si="245"/>
        <v>2288.7577472653006</v>
      </c>
      <c r="AT973" s="45">
        <f t="shared" si="231"/>
        <v>487.04204045821564</v>
      </c>
      <c r="AU973" s="45">
        <f t="shared" si="232"/>
        <v>711.51090184547775</v>
      </c>
      <c r="AV973" s="64">
        <f t="shared" si="233"/>
        <v>1234.7389848697317</v>
      </c>
      <c r="AW973" s="64">
        <f t="shared" si="234"/>
        <v>1190.2932621442762</v>
      </c>
      <c r="AX973" s="64">
        <f t="shared" si="235"/>
        <v>-142.92522878567524</v>
      </c>
      <c r="AY973" s="64">
        <f t="shared" si="236"/>
        <v>46.67310785254768</v>
      </c>
      <c r="AZ973" s="64">
        <f t="shared" si="237"/>
        <v>-604.77171562584078</v>
      </c>
      <c r="BA973" s="64">
        <f t="shared" si="238"/>
        <v>-525.45546815134617</v>
      </c>
      <c r="BB973" s="65">
        <f t="shared" si="239"/>
        <v>11367.848861573038</v>
      </c>
      <c r="BC973" s="65">
        <f t="shared" si="240"/>
        <v>33469.202105518241</v>
      </c>
      <c r="BD973" s="66">
        <f t="shared" si="241"/>
        <v>22276.283933111376</v>
      </c>
    </row>
    <row r="974" spans="31:56" x14ac:dyDescent="0.25">
      <c r="AE974" s="71">
        <v>912</v>
      </c>
      <c r="AF974" s="17">
        <v>0.1884955592153876</v>
      </c>
      <c r="AG974" s="18">
        <v>-14532.735294339414</v>
      </c>
      <c r="AH974" s="20">
        <v>15134.103294465165</v>
      </c>
      <c r="AN974" s="23">
        <v>969</v>
      </c>
      <c r="AO974" s="58">
        <v>484.5</v>
      </c>
      <c r="AP974" s="45">
        <f t="shared" si="242"/>
        <v>12332.605659738849</v>
      </c>
      <c r="AQ974" s="45">
        <f t="shared" si="243"/>
        <v>932.62334150942559</v>
      </c>
      <c r="AR974" s="45">
        <f t="shared" si="244"/>
        <v>1033.6779306642845</v>
      </c>
      <c r="AS974" s="45">
        <f t="shared" si="245"/>
        <v>2644.5131981880395</v>
      </c>
      <c r="AT974" s="45">
        <f t="shared" si="231"/>
        <v>713.03787542324756</v>
      </c>
      <c r="AU974" s="45">
        <f t="shared" si="232"/>
        <v>740.32247639974003</v>
      </c>
      <c r="AV974" s="64">
        <f t="shared" si="233"/>
        <v>1399.1988564494557</v>
      </c>
      <c r="AW974" s="64">
        <f t="shared" si="234"/>
        <v>1198.4600638291781</v>
      </c>
      <c r="AX974" s="64">
        <f t="shared" si="235"/>
        <v>-143.87390734553193</v>
      </c>
      <c r="AY974" s="64">
        <f t="shared" si="236"/>
        <v>40.348090808380853</v>
      </c>
      <c r="AZ974" s="64">
        <f t="shared" si="237"/>
        <v>-542.28707368067614</v>
      </c>
      <c r="BA974" s="64">
        <f t="shared" si="238"/>
        <v>-498.485678237819</v>
      </c>
      <c r="BB974" s="65">
        <f t="shared" si="239"/>
        <v>10095.512475528696</v>
      </c>
      <c r="BC974" s="65">
        <f t="shared" si="240"/>
        <v>33579.974809625994</v>
      </c>
      <c r="BD974" s="66">
        <f t="shared" si="241"/>
        <v>23542.890763422027</v>
      </c>
    </row>
    <row r="975" spans="31:56" x14ac:dyDescent="0.25">
      <c r="AE975" s="71">
        <v>913</v>
      </c>
      <c r="AF975" s="17">
        <v>0.25132741228718347</v>
      </c>
      <c r="AG975" s="18">
        <v>-14865.896705534837</v>
      </c>
      <c r="AH975" s="20">
        <v>15467.264705660586</v>
      </c>
      <c r="AN975" s="23">
        <v>970</v>
      </c>
      <c r="AO975" s="58">
        <v>485</v>
      </c>
      <c r="AP975" s="45">
        <f t="shared" si="242"/>
        <v>13027.704093926803</v>
      </c>
      <c r="AQ975" s="45">
        <f t="shared" si="243"/>
        <v>2439.9605597033806</v>
      </c>
      <c r="AR975" s="45">
        <f t="shared" si="244"/>
        <v>1390.1968683759083</v>
      </c>
      <c r="AS975" s="45">
        <f t="shared" si="245"/>
        <v>3014.6744363879097</v>
      </c>
      <c r="AT975" s="45">
        <f t="shared" si="231"/>
        <v>964.94365514036815</v>
      </c>
      <c r="AU975" s="45">
        <f t="shared" si="232"/>
        <v>721.17012545420948</v>
      </c>
      <c r="AV975" s="64">
        <f t="shared" si="233"/>
        <v>1587.5922686147123</v>
      </c>
      <c r="AW975" s="64">
        <f t="shared" si="234"/>
        <v>1152.1713367476366</v>
      </c>
      <c r="AX975" s="64">
        <f t="shared" si="235"/>
        <v>-143.23162443510617</v>
      </c>
      <c r="AY975" s="64">
        <f t="shared" si="236"/>
        <v>32.785710043534934</v>
      </c>
      <c r="AZ975" s="64">
        <f t="shared" si="237"/>
        <v>-479.41698903923805</v>
      </c>
      <c r="BA975" s="64">
        <f t="shared" si="238"/>
        <v>-463.78692133696205</v>
      </c>
      <c r="BB975" s="65">
        <f t="shared" si="239"/>
        <v>8614.9236409385776</v>
      </c>
      <c r="BC975" s="65">
        <f t="shared" si="240"/>
        <v>33881.904227106686</v>
      </c>
      <c r="BD975" s="66">
        <f t="shared" si="241"/>
        <v>25082.869437570229</v>
      </c>
    </row>
    <row r="976" spans="31:56" x14ac:dyDescent="0.25">
      <c r="AE976" s="71">
        <v>914</v>
      </c>
      <c r="AF976" s="17">
        <v>0.31415926535897931</v>
      </c>
      <c r="AG976" s="18">
        <v>-15219.320076884827</v>
      </c>
      <c r="AH976" s="20">
        <v>15778.849320818419</v>
      </c>
      <c r="AN976" s="23">
        <v>971</v>
      </c>
      <c r="AO976" s="58">
        <v>485.5</v>
      </c>
      <c r="AP976" s="45">
        <f t="shared" si="242"/>
        <v>13964.038441899849</v>
      </c>
      <c r="AQ976" s="45">
        <f t="shared" si="243"/>
        <v>4127.5903092608878</v>
      </c>
      <c r="AR976" s="45">
        <f t="shared" si="244"/>
        <v>1872.6686959460924</v>
      </c>
      <c r="AS976" s="45">
        <f t="shared" si="245"/>
        <v>3375.2594991150145</v>
      </c>
      <c r="AT976" s="45">
        <f t="shared" si="231"/>
        <v>1199.9129149655673</v>
      </c>
      <c r="AU976" s="45">
        <f t="shared" si="232"/>
        <v>584.63109937025979</v>
      </c>
      <c r="AV976" s="64">
        <f t="shared" si="233"/>
        <v>1758.7620408244436</v>
      </c>
      <c r="AW976" s="64">
        <f t="shared" si="234"/>
        <v>982.65472586067096</v>
      </c>
      <c r="AX976" s="64">
        <f t="shared" si="235"/>
        <v>-140.19608014722903</v>
      </c>
      <c r="AY976" s="64">
        <f t="shared" si="236"/>
        <v>24.240015540807185</v>
      </c>
      <c r="AZ976" s="64">
        <f t="shared" si="237"/>
        <v>-418.65304571164745</v>
      </c>
      <c r="BA976" s="64">
        <f t="shared" si="238"/>
        <v>-422.26364203121835</v>
      </c>
      <c r="BB976" s="65">
        <f t="shared" si="239"/>
        <v>6914.1867962222332</v>
      </c>
      <c r="BC976" s="65">
        <f t="shared" si="240"/>
        <v>34467.972131512717</v>
      </c>
      <c r="BD976" s="66">
        <f t="shared" si="241"/>
        <v>26935.09727223546</v>
      </c>
    </row>
    <row r="977" spans="31:56" x14ac:dyDescent="0.25">
      <c r="AE977" s="71">
        <v>915</v>
      </c>
      <c r="AF977" s="17">
        <v>0.37699111843077521</v>
      </c>
      <c r="AG977" s="18">
        <v>-15591.610607806451</v>
      </c>
      <c r="AH977" s="20">
        <v>16067.627457812105</v>
      </c>
      <c r="AN977" s="23">
        <v>972</v>
      </c>
      <c r="AO977" s="58">
        <v>486</v>
      </c>
      <c r="AP977" s="45">
        <f t="shared" si="242"/>
        <v>15200.351018614288</v>
      </c>
      <c r="AQ977" s="45">
        <f t="shared" si="243"/>
        <v>5961.3778336609603</v>
      </c>
      <c r="AR977" s="45">
        <f t="shared" si="244"/>
        <v>2472.6251534288758</v>
      </c>
      <c r="AS977" s="45">
        <f t="shared" si="245"/>
        <v>3667.5750488001445</v>
      </c>
      <c r="AT977" s="45">
        <f t="shared" si="231"/>
        <v>1292.6547200474974</v>
      </c>
      <c r="AU977" s="45">
        <f t="shared" si="232"/>
        <v>212.71547163020625</v>
      </c>
      <c r="AV977" s="64">
        <f t="shared" si="233"/>
        <v>1789.538617270294</v>
      </c>
      <c r="AW977" s="64">
        <f t="shared" si="234"/>
        <v>573.67190699367472</v>
      </c>
      <c r="AX977" s="64">
        <f t="shared" si="235"/>
        <v>-134.19488012631101</v>
      </c>
      <c r="AY977" s="64">
        <f t="shared" si="236"/>
        <v>15.396506051906552</v>
      </c>
      <c r="AZ977" s="64">
        <f t="shared" si="237"/>
        <v>-362.68901709648554</v>
      </c>
      <c r="BA977" s="64">
        <f t="shared" si="238"/>
        <v>-376.35294141537497</v>
      </c>
      <c r="BB977" s="65">
        <f t="shared" si="239"/>
        <v>5040.2369503096515</v>
      </c>
      <c r="BC977" s="65">
        <f t="shared" si="240"/>
        <v>35431.274050421962</v>
      </c>
      <c r="BD977" s="66">
        <f t="shared" si="241"/>
        <v>29110.711807867639</v>
      </c>
    </row>
    <row r="978" spans="31:56" x14ac:dyDescent="0.25">
      <c r="AE978" s="71">
        <v>916</v>
      </c>
      <c r="AF978" s="17">
        <v>0.4398229715025711</v>
      </c>
      <c r="AG978" s="18">
        <v>-15981.299037657525</v>
      </c>
      <c r="AH978" s="20">
        <v>16332.459441265113</v>
      </c>
      <c r="AN978" s="23">
        <v>973</v>
      </c>
      <c r="AO978" s="58">
        <v>486.5</v>
      </c>
      <c r="AP978" s="45">
        <f t="shared" si="242"/>
        <v>16759.827275340602</v>
      </c>
      <c r="AQ978" s="45">
        <f t="shared" si="243"/>
        <v>7848.3442259685844</v>
      </c>
      <c r="AR978" s="45">
        <f t="shared" si="244"/>
        <v>3118.9525134526248</v>
      </c>
      <c r="AS978" s="45">
        <f t="shared" si="245"/>
        <v>3773.9327846152478</v>
      </c>
      <c r="AT978" s="45">
        <f t="shared" si="231"/>
        <v>1018.6214307449047</v>
      </c>
      <c r="AU978" s="45">
        <f t="shared" si="232"/>
        <v>-479.3525889071899</v>
      </c>
      <c r="AV978" s="64">
        <f t="shared" si="233"/>
        <v>1458.1960989546201</v>
      </c>
      <c r="AW978" s="64">
        <f t="shared" si="234"/>
        <v>-156.76762770544948</v>
      </c>
      <c r="AX978" s="64">
        <f t="shared" si="235"/>
        <v>-125.36934333511228</v>
      </c>
      <c r="AY978" s="64">
        <f t="shared" si="236"/>
        <v>7.3382192319080168</v>
      </c>
      <c r="AZ978" s="64">
        <f t="shared" si="237"/>
        <v>-314.20532487460315</v>
      </c>
      <c r="BA978" s="64">
        <f t="shared" si="238"/>
        <v>-329.92318043364844</v>
      </c>
      <c r="BB978" s="65">
        <f t="shared" si="239"/>
        <v>3258.8438111379869</v>
      </c>
      <c r="BC978" s="65">
        <f t="shared" si="240"/>
        <v>36822.744654395297</v>
      </c>
      <c r="BD978" s="66">
        <f t="shared" si="241"/>
        <v>31552.130148708005</v>
      </c>
    </row>
    <row r="979" spans="31:56" x14ac:dyDescent="0.25">
      <c r="AE979" s="71">
        <v>917</v>
      </c>
      <c r="AF979" s="17">
        <v>0.50265482457436694</v>
      </c>
      <c r="AG979" s="18">
        <v>-16386.847444237137</v>
      </c>
      <c r="AH979" s="20">
        <v>16572.300100328976</v>
      </c>
      <c r="AN979" s="23">
        <v>974</v>
      </c>
      <c r="AO979" s="58">
        <v>487</v>
      </c>
      <c r="AP979" s="45">
        <f t="shared" si="242"/>
        <v>18573.958889753143</v>
      </c>
      <c r="AQ979" s="45">
        <f t="shared" si="243"/>
        <v>9615.4724710494102</v>
      </c>
      <c r="AR979" s="45">
        <f t="shared" si="244"/>
        <v>3628.263228825077</v>
      </c>
      <c r="AS979" s="45">
        <f t="shared" si="245"/>
        <v>3534.2564901616529</v>
      </c>
      <c r="AT979" s="45">
        <f t="shared" si="231"/>
        <v>288.89235877745023</v>
      </c>
      <c r="AU979" s="45">
        <f t="shared" si="232"/>
        <v>-1294.1510017307455</v>
      </c>
      <c r="AV979" s="64">
        <f t="shared" si="233"/>
        <v>679.28547197378464</v>
      </c>
      <c r="AW979" s="64">
        <f t="shared" si="234"/>
        <v>-1007.6916476100688</v>
      </c>
      <c r="AX979" s="64">
        <f t="shared" si="235"/>
        <v>-114.95676905685565</v>
      </c>
      <c r="AY979" s="64">
        <f t="shared" si="236"/>
        <v>1.1459555517211581</v>
      </c>
      <c r="AZ979" s="64">
        <f t="shared" si="237"/>
        <v>-275.43634413947871</v>
      </c>
      <c r="BA979" s="64">
        <f t="shared" si="238"/>
        <v>-287.60530967239788</v>
      </c>
      <c r="BB979" s="65">
        <f t="shared" si="239"/>
        <v>2551.2383314543517</v>
      </c>
      <c r="BC979" s="65">
        <f t="shared" si="240"/>
        <v>38575.875438528754</v>
      </c>
      <c r="BD979" s="66">
        <f t="shared" si="241"/>
        <v>34083.031301642797</v>
      </c>
    </row>
    <row r="980" spans="31:56" x14ac:dyDescent="0.25">
      <c r="AE980" s="71">
        <v>918</v>
      </c>
      <c r="AF980" s="17">
        <v>0.56548667764616278</v>
      </c>
      <c r="AG980" s="18">
        <v>-16806.655313261956</v>
      </c>
      <c r="AH980" s="20">
        <v>16786.202893495145</v>
      </c>
      <c r="AN980" s="23">
        <v>975</v>
      </c>
      <c r="AO980" s="58">
        <v>487.5</v>
      </c>
      <c r="AP980" s="45">
        <f t="shared" si="242"/>
        <v>20460.313593860043</v>
      </c>
      <c r="AQ980" s="45">
        <f t="shared" si="243"/>
        <v>11059.062965697551</v>
      </c>
      <c r="AR980" s="45">
        <f t="shared" si="244"/>
        <v>3772.7094082138019</v>
      </c>
      <c r="AS980" s="45">
        <f t="shared" si="245"/>
        <v>2887.1809892962801</v>
      </c>
      <c r="AT980" s="45">
        <f t="shared" si="231"/>
        <v>-553.04865225175979</v>
      </c>
      <c r="AU980" s="45">
        <f t="shared" si="232"/>
        <v>-1809.6546143558828</v>
      </c>
      <c r="AV980" s="64">
        <f t="shared" si="233"/>
        <v>-200.97116237367874</v>
      </c>
      <c r="AW980" s="64">
        <f t="shared" si="234"/>
        <v>-1553.8733392149725</v>
      </c>
      <c r="AX980" s="64">
        <f t="shared" si="235"/>
        <v>-104.85475396037073</v>
      </c>
      <c r="AY980" s="64">
        <f t="shared" si="236"/>
        <v>-2.7446101335608284</v>
      </c>
      <c r="AZ980" s="64">
        <f t="shared" si="237"/>
        <v>-247.22273591771037</v>
      </c>
      <c r="BA980" s="64">
        <f t="shared" si="238"/>
        <v>-253.03666500734957</v>
      </c>
      <c r="BB980" s="65">
        <f t="shared" si="239"/>
        <v>3588.7069814199363</v>
      </c>
      <c r="BC980" s="65">
        <f t="shared" si="240"/>
        <v>40474.171893675702</v>
      </c>
      <c r="BD980" s="66">
        <f t="shared" si="241"/>
        <v>36432.160668122393</v>
      </c>
    </row>
    <row r="981" spans="31:56" x14ac:dyDescent="0.25">
      <c r="AE981" s="71">
        <v>919</v>
      </c>
      <c r="AF981" s="17">
        <v>0.62831853071795862</v>
      </c>
      <c r="AG981" s="18">
        <v>-17239.065854864915</v>
      </c>
      <c r="AH981" s="20">
        <v>16973.323644161886</v>
      </c>
      <c r="AN981" s="23">
        <v>976</v>
      </c>
      <c r="AO981" s="58">
        <v>488</v>
      </c>
      <c r="AP981" s="45">
        <f t="shared" si="242"/>
        <v>22208.406134904002</v>
      </c>
      <c r="AQ981" s="45">
        <f t="shared" si="243"/>
        <v>12050.239806756721</v>
      </c>
      <c r="AR981" s="45">
        <f t="shared" si="244"/>
        <v>3496.1850820879222</v>
      </c>
      <c r="AS981" s="45">
        <f t="shared" si="245"/>
        <v>1982.3536821183388</v>
      </c>
      <c r="AT981" s="45">
        <f t="shared" si="231"/>
        <v>-1146.6760790643673</v>
      </c>
      <c r="AU981" s="45">
        <f t="shared" si="232"/>
        <v>-1924.8718910587054</v>
      </c>
      <c r="AV981" s="64">
        <f t="shared" si="233"/>
        <v>-821.65182320089491</v>
      </c>
      <c r="AW981" s="64">
        <f t="shared" si="234"/>
        <v>-1692.9462267525657</v>
      </c>
      <c r="AX981" s="64">
        <f t="shared" si="235"/>
        <v>-96.455117427284733</v>
      </c>
      <c r="AY981" s="64">
        <f t="shared" si="236"/>
        <v>-4.6852307259069841</v>
      </c>
      <c r="AZ981" s="64">
        <f t="shared" si="237"/>
        <v>-228.56913843618761</v>
      </c>
      <c r="BA981" s="64">
        <f t="shared" si="238"/>
        <v>-227.24043358023269</v>
      </c>
      <c r="BB981" s="65">
        <f t="shared" si="239"/>
        <v>5057.83945530847</v>
      </c>
      <c r="BC981" s="65">
        <f t="shared" si="240"/>
        <v>42258.171182792699</v>
      </c>
      <c r="BD981" s="66">
        <f t="shared" si="241"/>
        <v>38366.819492954164</v>
      </c>
    </row>
    <row r="982" spans="31:56" x14ac:dyDescent="0.25">
      <c r="AE982" s="71">
        <v>920</v>
      </c>
      <c r="AF982" s="17">
        <v>0.69115038378975457</v>
      </c>
      <c r="AG982" s="18">
        <v>-17682.372542187895</v>
      </c>
      <c r="AH982" s="20">
        <v>17132.923872213651</v>
      </c>
      <c r="AN982" s="23">
        <v>977</v>
      </c>
      <c r="AO982" s="58">
        <v>488.5</v>
      </c>
      <c r="AP982" s="45">
        <f t="shared" si="242"/>
        <v>23669.829656181872</v>
      </c>
      <c r="AQ982" s="45">
        <f t="shared" si="243"/>
        <v>12560.198675051215</v>
      </c>
      <c r="AR982" s="45">
        <f t="shared" si="244"/>
        <v>2922.8470425557384</v>
      </c>
      <c r="AS982" s="45">
        <f t="shared" si="245"/>
        <v>1019.9177365889861</v>
      </c>
      <c r="AT982" s="45">
        <f t="shared" si="231"/>
        <v>-1479.5082066234627</v>
      </c>
      <c r="AU982" s="45">
        <f t="shared" si="232"/>
        <v>-1830.0445402246223</v>
      </c>
      <c r="AV982" s="64">
        <f t="shared" si="233"/>
        <v>-1171.5992206656197</v>
      </c>
      <c r="AW982" s="64">
        <f t="shared" si="234"/>
        <v>-1615.4768421244116</v>
      </c>
      <c r="AX982" s="64">
        <f t="shared" si="235"/>
        <v>-90.203560604490477</v>
      </c>
      <c r="AY982" s="64">
        <f t="shared" si="236"/>
        <v>-5.2882971644893262</v>
      </c>
      <c r="AZ982" s="64">
        <f t="shared" si="237"/>
        <v>-217.70542535335244</v>
      </c>
      <c r="BA982" s="64">
        <f t="shared" si="238"/>
        <v>-209.27940093572153</v>
      </c>
      <c r="BB982" s="65">
        <f t="shared" si="239"/>
        <v>6250.8607676368883</v>
      </c>
      <c r="BC982" s="65">
        <f t="shared" si="240"/>
        <v>43744.812714831409</v>
      </c>
      <c r="BD982" s="66">
        <f t="shared" si="241"/>
        <v>39768.375419707307</v>
      </c>
    </row>
    <row r="983" spans="31:56" x14ac:dyDescent="0.25">
      <c r="AE983" s="71">
        <v>921</v>
      </c>
      <c r="AF983" s="17">
        <v>0.75398223686155041</v>
      </c>
      <c r="AG983" s="18">
        <v>-18134.825846263589</v>
      </c>
      <c r="AH983" s="20">
        <v>17264.373708464733</v>
      </c>
      <c r="AN983" s="23">
        <v>978</v>
      </c>
      <c r="AO983" s="58">
        <v>489</v>
      </c>
      <c r="AP983" s="45">
        <f t="shared" si="242"/>
        <v>24761.376125803876</v>
      </c>
      <c r="AQ983" s="45">
        <f t="shared" si="243"/>
        <v>12612.646408289551</v>
      </c>
      <c r="AR983" s="45">
        <f t="shared" si="244"/>
        <v>2183.0929392440071</v>
      </c>
      <c r="AS983" s="45">
        <f t="shared" si="245"/>
        <v>104.89546647667498</v>
      </c>
      <c r="AT983" s="45">
        <f t="shared" si="231"/>
        <v>-1672.5636213642217</v>
      </c>
      <c r="AU983" s="45">
        <f t="shared" si="232"/>
        <v>-1677.4949214962858</v>
      </c>
      <c r="AV983" s="64">
        <f t="shared" si="233"/>
        <v>-1373.3573877739329</v>
      </c>
      <c r="AW983" s="64">
        <f t="shared" si="234"/>
        <v>-1474.6767594872294</v>
      </c>
      <c r="AX983" s="64">
        <f t="shared" si="235"/>
        <v>-86.016741357001635</v>
      </c>
      <c r="AY983" s="64">
        <f t="shared" si="236"/>
        <v>-5.0206528442629645</v>
      </c>
      <c r="AZ983" s="64">
        <f t="shared" si="237"/>
        <v>-213.18949223328724</v>
      </c>
      <c r="BA983" s="64">
        <f t="shared" si="238"/>
        <v>-197.7975091647933</v>
      </c>
      <c r="BB983" s="65">
        <f t="shared" si="239"/>
        <v>6986.4050775467613</v>
      </c>
      <c r="BC983" s="65">
        <f t="shared" si="240"/>
        <v>44837.559187922277</v>
      </c>
      <c r="BD983" s="66">
        <f t="shared" si="241"/>
        <v>40598.001805147927</v>
      </c>
    </row>
    <row r="984" spans="31:56" x14ac:dyDescent="0.25">
      <c r="AE984" s="71">
        <v>922</v>
      </c>
      <c r="AF984" s="17">
        <v>0.81681408993334625</v>
      </c>
      <c r="AG984" s="18">
        <v>-18594.640140607065</v>
      </c>
      <c r="AH984" s="20">
        <v>17367.154380465166</v>
      </c>
      <c r="AN984" s="23">
        <v>979</v>
      </c>
      <c r="AO984" s="58">
        <v>489.5</v>
      </c>
      <c r="AP984" s="45">
        <f t="shared" si="242"/>
        <v>25434.781690084823</v>
      </c>
      <c r="AQ984" s="45">
        <f t="shared" si="243"/>
        <v>12245.720411153818</v>
      </c>
      <c r="AR984" s="45">
        <f t="shared" si="244"/>
        <v>1346.8111285618961</v>
      </c>
      <c r="AS984" s="45">
        <f t="shared" si="245"/>
        <v>-733.8519942714679</v>
      </c>
      <c r="AT984" s="45">
        <f t="shared" si="231"/>
        <v>-1815.5646770581627</v>
      </c>
      <c r="AU984" s="45">
        <f t="shared" si="232"/>
        <v>-1521.1447495714933</v>
      </c>
      <c r="AV984" s="64">
        <f t="shared" si="233"/>
        <v>-1517.6224941612604</v>
      </c>
      <c r="AW984" s="64">
        <f t="shared" si="234"/>
        <v>-1325.2072406343248</v>
      </c>
      <c r="AX984" s="64">
        <f t="shared" si="235"/>
        <v>-83.691378828341982</v>
      </c>
      <c r="AY984" s="64">
        <f t="shared" si="236"/>
        <v>-4.1366422525021083</v>
      </c>
      <c r="AZ984" s="64">
        <f t="shared" si="237"/>
        <v>-214.25080406856023</v>
      </c>
      <c r="BA984" s="64">
        <f t="shared" si="238"/>
        <v>-191.80086668466652</v>
      </c>
      <c r="BB984" s="65">
        <f t="shared" si="239"/>
        <v>7215.1725024231546</v>
      </c>
      <c r="BC984" s="65">
        <f t="shared" si="240"/>
        <v>45490.247827317238</v>
      </c>
      <c r="BD984" s="66">
        <f t="shared" si="241"/>
        <v>40848.564445349679</v>
      </c>
    </row>
    <row r="985" spans="31:56" x14ac:dyDescent="0.25">
      <c r="AE985" s="71">
        <v>923</v>
      </c>
      <c r="AF985" s="17">
        <v>0.87964594300514221</v>
      </c>
      <c r="AG985" s="18">
        <v>-19060.000748267717</v>
      </c>
      <c r="AH985" s="20">
        <v>17440.860259858586</v>
      </c>
      <c r="AN985" s="23">
        <v>980</v>
      </c>
      <c r="AO985" s="58">
        <v>490</v>
      </c>
      <c r="AP985" s="45">
        <f t="shared" si="242"/>
        <v>25654.296085101229</v>
      </c>
      <c r="AQ985" s="45">
        <f t="shared" si="243"/>
        <v>11498.50822662521</v>
      </c>
      <c r="AR985" s="45">
        <f t="shared" si="244"/>
        <v>439.02879003281475</v>
      </c>
      <c r="AS985" s="45">
        <f t="shared" si="245"/>
        <v>-1494.4243690572146</v>
      </c>
      <c r="AT985" s="45">
        <f t="shared" si="231"/>
        <v>-1948.8625309880042</v>
      </c>
      <c r="AU985" s="45">
        <f t="shared" si="232"/>
        <v>-1356.8602134953107</v>
      </c>
      <c r="AV985" s="64">
        <f t="shared" si="233"/>
        <v>-1644.9947085546532</v>
      </c>
      <c r="AW985" s="64">
        <f t="shared" si="234"/>
        <v>-1163.2791732010908</v>
      </c>
      <c r="AX985" s="64">
        <f t="shared" si="235"/>
        <v>-83.081942502348497</v>
      </c>
      <c r="AY985" s="64">
        <f t="shared" si="236"/>
        <v>-2.7269936238136587</v>
      </c>
      <c r="AZ985" s="64">
        <f t="shared" si="237"/>
        <v>-220.78587993100254</v>
      </c>
      <c r="BA985" s="64">
        <f t="shared" si="238"/>
        <v>-190.85404667040609</v>
      </c>
      <c r="BB985" s="65">
        <f t="shared" si="239"/>
        <v>6925.2532268777413</v>
      </c>
      <c r="BC985" s="65">
        <f t="shared" si="240"/>
        <v>45678.882187848612</v>
      </c>
      <c r="BD985" s="66">
        <f t="shared" si="241"/>
        <v>40519.832264084915</v>
      </c>
    </row>
    <row r="986" spans="31:56" x14ac:dyDescent="0.25">
      <c r="AE986" s="71">
        <v>924</v>
      </c>
      <c r="AF986" s="17">
        <v>0.94247779607693805</v>
      </c>
      <c r="AG986" s="18">
        <v>-19529.07110353015</v>
      </c>
      <c r="AH986" s="20">
        <v>17485.200463212037</v>
      </c>
      <c r="AN986" s="23">
        <v>981</v>
      </c>
      <c r="AO986" s="58">
        <v>490.5</v>
      </c>
      <c r="AP986" s="45">
        <f t="shared" si="242"/>
        <v>25386.594847370634</v>
      </c>
      <c r="AQ986" s="45">
        <f t="shared" si="243"/>
        <v>10412.080988722775</v>
      </c>
      <c r="AR986" s="45">
        <f t="shared" si="244"/>
        <v>-535.40247546118735</v>
      </c>
      <c r="AS986" s="45">
        <f t="shared" si="245"/>
        <v>-2172.8544758048702</v>
      </c>
      <c r="AT986" s="45">
        <f t="shared" si="231"/>
        <v>-2066.8337851752995</v>
      </c>
      <c r="AU986" s="45">
        <f t="shared" si="232"/>
        <v>-1141.6203117271007</v>
      </c>
      <c r="AV986" s="64">
        <f t="shared" si="233"/>
        <v>-1749.3618021987036</v>
      </c>
      <c r="AW986" s="64">
        <f t="shared" si="234"/>
        <v>-945.7335090028788</v>
      </c>
      <c r="AX986" s="64">
        <f t="shared" si="235"/>
        <v>-84.153199266817452</v>
      </c>
      <c r="AY986" s="64">
        <f t="shared" si="236"/>
        <v>-0.76405673689934972</v>
      </c>
      <c r="AZ986" s="64">
        <f t="shared" si="237"/>
        <v>-233.31878370977859</v>
      </c>
      <c r="BA986" s="64">
        <f t="shared" si="238"/>
        <v>-195.12274598732256</v>
      </c>
      <c r="BB986" s="65">
        <f t="shared" si="239"/>
        <v>6123.366699341178</v>
      </c>
      <c r="BC986" s="65">
        <f t="shared" si="240"/>
        <v>45388.46552352963</v>
      </c>
      <c r="BD986" s="66">
        <f t="shared" si="241"/>
        <v>39612.106818441971</v>
      </c>
    </row>
    <row r="987" spans="31:56" x14ac:dyDescent="0.25">
      <c r="AE987" s="71">
        <v>925</v>
      </c>
      <c r="AF987" s="17">
        <v>1.0053096491487339</v>
      </c>
      <c r="AG987" s="18">
        <v>-20000</v>
      </c>
      <c r="AH987" s="20">
        <v>17500</v>
      </c>
      <c r="AN987" s="23">
        <v>982</v>
      </c>
      <c r="AO987" s="58">
        <v>491</v>
      </c>
      <c r="AP987" s="45">
        <f t="shared" si="242"/>
        <v>24602.185163346214</v>
      </c>
      <c r="AQ987" s="45">
        <f t="shared" si="243"/>
        <v>9040.2486728885651</v>
      </c>
      <c r="AR987" s="45">
        <f t="shared" si="244"/>
        <v>-1568.8193680488371</v>
      </c>
      <c r="AS987" s="45">
        <f t="shared" si="245"/>
        <v>-2743.6646316684205</v>
      </c>
      <c r="AT987" s="45">
        <f t="shared" si="231"/>
        <v>-2094.5733865047087</v>
      </c>
      <c r="AU987" s="45">
        <f t="shared" si="232"/>
        <v>-790.79555794210171</v>
      </c>
      <c r="AV987" s="64">
        <f t="shared" si="233"/>
        <v>-1754.6299570133976</v>
      </c>
      <c r="AW987" s="64">
        <f t="shared" si="234"/>
        <v>-587.23549070228842</v>
      </c>
      <c r="AX987" s="64">
        <f t="shared" si="235"/>
        <v>-86.983094191159893</v>
      </c>
      <c r="AY987" s="64">
        <f t="shared" si="236"/>
        <v>1.8717051592985565</v>
      </c>
      <c r="AZ987" s="64">
        <f t="shared" si="237"/>
        <v>-252.96033530015123</v>
      </c>
      <c r="BA987" s="64">
        <f t="shared" si="238"/>
        <v>-205.43177239911188</v>
      </c>
      <c r="BB987" s="65">
        <f t="shared" si="239"/>
        <v>4853.0891452825181</v>
      </c>
      <c r="BC987" s="65">
        <f t="shared" si="240"/>
        <v>44612.509949063766</v>
      </c>
      <c r="BD987" s="66">
        <f t="shared" si="241"/>
        <v>38134.274907219035</v>
      </c>
    </row>
    <row r="988" spans="31:56" x14ac:dyDescent="0.25">
      <c r="AE988" s="71">
        <v>926</v>
      </c>
      <c r="AF988" s="17">
        <v>1.0681415022205298</v>
      </c>
      <c r="AG988" s="18">
        <v>-20470.92889646985</v>
      </c>
      <c r="AH988" s="20">
        <v>17485.200463212037</v>
      </c>
      <c r="AN988" s="23">
        <v>983</v>
      </c>
      <c r="AO988" s="58">
        <v>491.5</v>
      </c>
      <c r="AP988" s="45">
        <f t="shared" si="242"/>
        <v>23294.132132695617</v>
      </c>
      <c r="AQ988" s="45">
        <f t="shared" si="243"/>
        <v>7470.7174675688293</v>
      </c>
      <c r="AR988" s="45">
        <f t="shared" si="244"/>
        <v>-2616.1060613011914</v>
      </c>
      <c r="AS988" s="45">
        <f t="shared" si="245"/>
        <v>-3139.0624106394712</v>
      </c>
      <c r="AT988" s="45">
        <f t="shared" si="231"/>
        <v>-1850.7050357281105</v>
      </c>
      <c r="AU988" s="45">
        <f t="shared" si="232"/>
        <v>-204.79697508398581</v>
      </c>
      <c r="AV988" s="64">
        <f t="shared" si="233"/>
        <v>-1477.8262430799289</v>
      </c>
      <c r="AW988" s="64">
        <f t="shared" si="234"/>
        <v>13.136842466367998</v>
      </c>
      <c r="AX988" s="64">
        <f t="shared" si="235"/>
        <v>-91.719222972148259</v>
      </c>
      <c r="AY988" s="64">
        <f t="shared" si="236"/>
        <v>5.3583203340487051</v>
      </c>
      <c r="AZ988" s="64">
        <f t="shared" si="237"/>
        <v>-281.15956967603319</v>
      </c>
      <c r="BA988" s="64">
        <f t="shared" si="238"/>
        <v>-223.29213788440251</v>
      </c>
      <c r="BB988" s="65">
        <f t="shared" si="239"/>
        <v>3294.2622807486587</v>
      </c>
      <c r="BC988" s="65">
        <f t="shared" si="240"/>
        <v>43367.950692327722</v>
      </c>
      <c r="BD988" s="66">
        <f t="shared" si="241"/>
        <v>36131.579769638382</v>
      </c>
    </row>
    <row r="989" spans="31:56" x14ac:dyDescent="0.25">
      <c r="AE989" s="71">
        <v>927</v>
      </c>
      <c r="AF989" s="17">
        <v>1.1309733552923256</v>
      </c>
      <c r="AG989" s="18">
        <v>-20939.999251732283</v>
      </c>
      <c r="AH989" s="20">
        <v>17440.860259858582</v>
      </c>
      <c r="AN989" s="23">
        <v>984</v>
      </c>
      <c r="AO989" s="58">
        <v>492</v>
      </c>
      <c r="AP989" s="45">
        <f t="shared" si="242"/>
        <v>21523.402843112992</v>
      </c>
      <c r="AQ989" s="45">
        <f t="shared" si="243"/>
        <v>5849.9870184780966</v>
      </c>
      <c r="AR989" s="45">
        <f t="shared" si="244"/>
        <v>-3541.4585791652466</v>
      </c>
      <c r="AS989" s="45">
        <f t="shared" si="245"/>
        <v>-3241.460898181464</v>
      </c>
      <c r="AT989" s="45">
        <f t="shared" si="231"/>
        <v>-1158.0771388104165</v>
      </c>
      <c r="AU989" s="45">
        <f t="shared" si="232"/>
        <v>561.7568623174667</v>
      </c>
      <c r="AV989" s="64">
        <f t="shared" si="233"/>
        <v>-740.90214909926908</v>
      </c>
      <c r="AW989" s="64">
        <f t="shared" si="234"/>
        <v>802.47858902059124</v>
      </c>
      <c r="AX989" s="64">
        <f t="shared" si="235"/>
        <v>-98.436214136691291</v>
      </c>
      <c r="AY989" s="64">
        <f t="shared" si="236"/>
        <v>9.8381042628565272</v>
      </c>
      <c r="AZ989" s="64">
        <f t="shared" si="237"/>
        <v>-318.7387755744561</v>
      </c>
      <c r="BA989" s="64">
        <f t="shared" si="238"/>
        <v>-250.55983096598106</v>
      </c>
      <c r="BB989" s="65">
        <f t="shared" si="239"/>
        <v>2245.7290712807608</v>
      </c>
      <c r="BC989" s="65">
        <f t="shared" si="240"/>
        <v>41730.271882869929</v>
      </c>
      <c r="BD989" s="66">
        <f t="shared" si="241"/>
        <v>33737.410348880658</v>
      </c>
    </row>
    <row r="990" spans="31:56" x14ac:dyDescent="0.25">
      <c r="AE990" s="71">
        <v>928</v>
      </c>
      <c r="AF990" s="17">
        <v>1.1938052083641215</v>
      </c>
      <c r="AG990" s="18">
        <v>-21405.359859392935</v>
      </c>
      <c r="AH990" s="20">
        <v>17367.154380465166</v>
      </c>
      <c r="AN990" s="23">
        <v>985</v>
      </c>
      <c r="AO990" s="58">
        <v>492.5</v>
      </c>
      <c r="AP990" s="45">
        <f t="shared" si="242"/>
        <v>19463.154268827762</v>
      </c>
      <c r="AQ990" s="45">
        <f t="shared" si="243"/>
        <v>4369.6957849667315</v>
      </c>
      <c r="AR990" s="45">
        <f t="shared" si="244"/>
        <v>-4120.4971485704546</v>
      </c>
      <c r="AS990" s="45">
        <f t="shared" si="245"/>
        <v>-2960.5824670227307</v>
      </c>
      <c r="AT990" s="45">
        <f t="shared" si="231"/>
        <v>-227.65430627994783</v>
      </c>
      <c r="AU990" s="45">
        <f t="shared" si="232"/>
        <v>1145.9518873588886</v>
      </c>
      <c r="AV990" s="64">
        <f t="shared" si="233"/>
        <v>243.35710193536107</v>
      </c>
      <c r="AW990" s="64">
        <f t="shared" si="234"/>
        <v>1418.9956587400654</v>
      </c>
      <c r="AX990" s="64">
        <f t="shared" si="235"/>
        <v>-106.90485708350035</v>
      </c>
      <c r="AY990" s="64">
        <f t="shared" si="236"/>
        <v>15.252376009897718</v>
      </c>
      <c r="AZ990" s="64">
        <f t="shared" si="237"/>
        <v>-364.10655113180854</v>
      </c>
      <c r="BA990" s="64">
        <f t="shared" si="238"/>
        <v>-288.29614739107461</v>
      </c>
      <c r="BB990" s="65">
        <f t="shared" si="239"/>
        <v>3176.0050090849827</v>
      </c>
      <c r="BC990" s="65">
        <f t="shared" si="240"/>
        <v>39862.77549793943</v>
      </c>
      <c r="BD990" s="66">
        <f t="shared" si="241"/>
        <v>31203.061253387044</v>
      </c>
    </row>
    <row r="991" spans="31:56" x14ac:dyDescent="0.25">
      <c r="AE991" s="71">
        <v>929</v>
      </c>
      <c r="AF991" s="17">
        <v>1.2566370614359172</v>
      </c>
      <c r="AG991" s="18">
        <v>-21865.174153736411</v>
      </c>
      <c r="AH991" s="20">
        <v>17264.373708464733</v>
      </c>
      <c r="AN991" s="23">
        <v>986</v>
      </c>
      <c r="AO991" s="58">
        <v>493</v>
      </c>
      <c r="AP991" s="45">
        <f t="shared" si="242"/>
        <v>17345.99211797255</v>
      </c>
      <c r="AQ991" s="45">
        <f t="shared" si="243"/>
        <v>3175.8925232950887</v>
      </c>
      <c r="AR991" s="45">
        <f t="shared" si="244"/>
        <v>-4234.3243017104287</v>
      </c>
      <c r="AS991" s="45">
        <f t="shared" si="245"/>
        <v>-2387.6065233432864</v>
      </c>
      <c r="AT991" s="45">
        <f t="shared" si="231"/>
        <v>456.2332736669984</v>
      </c>
      <c r="AU991" s="45">
        <f t="shared" si="232"/>
        <v>1291.3277677099272</v>
      </c>
      <c r="AV991" s="64">
        <f t="shared" si="233"/>
        <v>985.55764085566966</v>
      </c>
      <c r="AW991" s="64">
        <f t="shared" si="234"/>
        <v>1605.7439740126499</v>
      </c>
      <c r="AX991" s="64">
        <f t="shared" si="235"/>
        <v>-116.58156372429579</v>
      </c>
      <c r="AY991" s="64">
        <f t="shared" si="236"/>
        <v>21.30255686189297</v>
      </c>
      <c r="AZ991" s="64">
        <f t="shared" si="237"/>
        <v>-412.74280346437541</v>
      </c>
      <c r="BA991" s="64">
        <f t="shared" si="238"/>
        <v>-335.71876316461567</v>
      </c>
      <c r="BB991" s="65">
        <f t="shared" si="239"/>
        <v>5073.6242773740296</v>
      </c>
      <c r="BC991" s="65">
        <f t="shared" si="240"/>
        <v>37964.346038477837</v>
      </c>
      <c r="BD991" s="66">
        <f t="shared" si="241"/>
        <v>28804.625197264166</v>
      </c>
    </row>
    <row r="992" spans="31:56" x14ac:dyDescent="0.25">
      <c r="AE992" s="71">
        <v>930</v>
      </c>
      <c r="AF992" s="17">
        <v>1.3194689145077132</v>
      </c>
      <c r="AG992" s="18">
        <v>-22317.627457812108</v>
      </c>
      <c r="AH992" s="20">
        <v>17132.923872213651</v>
      </c>
      <c r="AN992" s="23">
        <v>987</v>
      </c>
      <c r="AO992" s="58">
        <v>493.5</v>
      </c>
      <c r="AP992" s="45">
        <f t="shared" si="242"/>
        <v>15342.888285534085</v>
      </c>
      <c r="AQ992" s="45">
        <f t="shared" si="243"/>
        <v>2304.9212035509272</v>
      </c>
      <c r="AR992" s="45">
        <f t="shared" si="244"/>
        <v>-4006.2076648769294</v>
      </c>
      <c r="AS992" s="45">
        <f t="shared" si="245"/>
        <v>-1741.9426394883228</v>
      </c>
      <c r="AT992" s="45">
        <f t="shared" si="231"/>
        <v>758.90653127535643</v>
      </c>
      <c r="AU992" s="45">
        <f t="shared" si="232"/>
        <v>1137.4316388163161</v>
      </c>
      <c r="AV992" s="64">
        <f t="shared" si="233"/>
        <v>1345.0773445792736</v>
      </c>
      <c r="AW992" s="64">
        <f t="shared" si="234"/>
        <v>1500.4541915329978</v>
      </c>
      <c r="AX992" s="64">
        <f t="shared" si="235"/>
        <v>-126.93012075465084</v>
      </c>
      <c r="AY992" s="64">
        <f t="shared" si="236"/>
        <v>27.636034524366092</v>
      </c>
      <c r="AZ992" s="64">
        <f t="shared" si="237"/>
        <v>-459.24069254926621</v>
      </c>
      <c r="BA992" s="64">
        <f t="shared" si="238"/>
        <v>-390.65858724104788</v>
      </c>
      <c r="BB992" s="65">
        <f t="shared" si="239"/>
        <v>6976.9286381853153</v>
      </c>
      <c r="BC992" s="65">
        <f t="shared" si="240"/>
        <v>36170.899768284762</v>
      </c>
      <c r="BD992" s="66">
        <f t="shared" si="241"/>
        <v>26707.553269792916</v>
      </c>
    </row>
    <row r="993" spans="31:56" x14ac:dyDescent="0.25">
      <c r="AE993" s="71">
        <v>931</v>
      </c>
      <c r="AF993" s="17">
        <v>1.3823007675795091</v>
      </c>
      <c r="AG993" s="18">
        <v>-22760.934145135085</v>
      </c>
      <c r="AH993" s="20">
        <v>16973.323644161886</v>
      </c>
      <c r="AN993" s="23">
        <v>988</v>
      </c>
      <c r="AO993" s="58">
        <v>494</v>
      </c>
      <c r="AP993" s="45">
        <f t="shared" si="242"/>
        <v>13529.511085914461</v>
      </c>
      <c r="AQ993" s="45">
        <f t="shared" si="243"/>
        <v>1718.3077935108447</v>
      </c>
      <c r="AR993" s="45">
        <f t="shared" si="244"/>
        <v>-3626.7543992392511</v>
      </c>
      <c r="AS993" s="45">
        <f t="shared" si="245"/>
        <v>-1173.2268200801648</v>
      </c>
      <c r="AT993" s="45">
        <f t="shared" si="231"/>
        <v>822.92861982732347</v>
      </c>
      <c r="AU993" s="45">
        <f t="shared" si="232"/>
        <v>887.92534781546351</v>
      </c>
      <c r="AV993" s="64">
        <f t="shared" si="233"/>
        <v>1459.7574984002586</v>
      </c>
      <c r="AW993" s="64">
        <f t="shared" si="234"/>
        <v>1304.3633431613212</v>
      </c>
      <c r="AX993" s="64">
        <f t="shared" si="235"/>
        <v>-137.60520211995097</v>
      </c>
      <c r="AY993" s="64">
        <f t="shared" si="236"/>
        <v>33.988086705144454</v>
      </c>
      <c r="AZ993" s="64">
        <f t="shared" si="237"/>
        <v>-499.22367645298408</v>
      </c>
      <c r="BA993" s="64">
        <f t="shared" si="238"/>
        <v>-450.42608205100208</v>
      </c>
      <c r="BB993" s="65">
        <f t="shared" si="239"/>
        <v>8677.2801935791667</v>
      </c>
      <c r="BC993" s="65">
        <f t="shared" si="240"/>
        <v>34537.14723979796</v>
      </c>
      <c r="BD993" s="66">
        <f t="shared" si="241"/>
        <v>24956.85470089515</v>
      </c>
    </row>
    <row r="994" spans="31:56" x14ac:dyDescent="0.25">
      <c r="AE994" s="71">
        <v>932</v>
      </c>
      <c r="AF994" s="17">
        <v>1.4451326206513049</v>
      </c>
      <c r="AG994" s="18">
        <v>-23193.344686738044</v>
      </c>
      <c r="AH994" s="20">
        <v>16786.202893495145</v>
      </c>
      <c r="AN994" s="23">
        <v>989</v>
      </c>
      <c r="AO994" s="58">
        <v>494.5</v>
      </c>
      <c r="AP994" s="45">
        <f t="shared" si="242"/>
        <v>11921.866041251667</v>
      </c>
      <c r="AQ994" s="45">
        <f t="shared" si="243"/>
        <v>1353.675720424628</v>
      </c>
      <c r="AR994" s="45">
        <f t="shared" si="244"/>
        <v>-3215.2900893255892</v>
      </c>
      <c r="AS994" s="45">
        <f t="shared" si="245"/>
        <v>-729.26414617243302</v>
      </c>
      <c r="AT994" s="45">
        <f t="shared" si="231"/>
        <v>783.61768663965461</v>
      </c>
      <c r="AU994" s="45">
        <f t="shared" si="232"/>
        <v>640.38275113224836</v>
      </c>
      <c r="AV994" s="64">
        <f t="shared" si="233"/>
        <v>1462.035639551226</v>
      </c>
      <c r="AW994" s="64">
        <f t="shared" si="234"/>
        <v>1112.4035816769951</v>
      </c>
      <c r="AX994" s="64">
        <f t="shared" si="235"/>
        <v>-148.40410970529675</v>
      </c>
      <c r="AY994" s="64">
        <f t="shared" si="236"/>
        <v>40.196586730722387</v>
      </c>
      <c r="AZ994" s="64">
        <f t="shared" si="237"/>
        <v>-530.0138432062746</v>
      </c>
      <c r="BA994" s="64">
        <f t="shared" si="238"/>
        <v>-512.21741727546919</v>
      </c>
      <c r="BB994" s="65">
        <f t="shared" si="239"/>
        <v>10150.544340338636</v>
      </c>
      <c r="BC994" s="65">
        <f t="shared" si="240"/>
        <v>33072.109928203718</v>
      </c>
      <c r="BD994" s="66">
        <f t="shared" si="241"/>
        <v>23532.791162267011</v>
      </c>
    </row>
    <row r="995" spans="31:56" x14ac:dyDescent="0.25">
      <c r="AE995" s="71">
        <v>933</v>
      </c>
      <c r="AF995" s="17">
        <v>1.5079644737231008</v>
      </c>
      <c r="AG995" s="18">
        <v>-23613.152555762867</v>
      </c>
      <c r="AH995" s="20">
        <v>16572.300100328976</v>
      </c>
      <c r="AN995" s="23">
        <v>990</v>
      </c>
      <c r="AO995" s="58">
        <v>495</v>
      </c>
      <c r="AP995" s="45">
        <f t="shared" si="242"/>
        <v>10510.125418248786</v>
      </c>
      <c r="AQ995" s="45">
        <f t="shared" si="243"/>
        <v>1149.1393351214738</v>
      </c>
      <c r="AR995" s="45">
        <f t="shared" si="244"/>
        <v>-2823.4812460057619</v>
      </c>
      <c r="AS995" s="45">
        <f t="shared" si="245"/>
        <v>-409.07277060630884</v>
      </c>
      <c r="AT995" s="45">
        <f t="shared" si="231"/>
        <v>711.01425344893221</v>
      </c>
      <c r="AU995" s="45">
        <f t="shared" si="232"/>
        <v>423.68493096250938</v>
      </c>
      <c r="AV995" s="64">
        <f t="shared" si="233"/>
        <v>1420.8898246073488</v>
      </c>
      <c r="AW995" s="64">
        <f t="shared" si="234"/>
        <v>950.89489523682823</v>
      </c>
      <c r="AX995" s="64">
        <f t="shared" si="235"/>
        <v>-159.17751530685038</v>
      </c>
      <c r="AY995" s="64">
        <f t="shared" si="236"/>
        <v>46.176736072013398</v>
      </c>
      <c r="AZ995" s="64">
        <f t="shared" si="237"/>
        <v>-550.69805585156621</v>
      </c>
      <c r="BA995" s="64">
        <f t="shared" si="238"/>
        <v>-573.3867003463323</v>
      </c>
      <c r="BB995" s="65">
        <f t="shared" si="239"/>
        <v>11418.894463216178</v>
      </c>
      <c r="BC995" s="65">
        <f t="shared" si="240"/>
        <v>31767.994704519271</v>
      </c>
      <c r="BD995" s="66">
        <f t="shared" si="241"/>
        <v>22391.040434847477</v>
      </c>
    </row>
    <row r="996" spans="31:56" x14ac:dyDescent="0.25">
      <c r="AE996" s="71">
        <v>934</v>
      </c>
      <c r="AF996" s="17">
        <v>1.5707963267948968</v>
      </c>
      <c r="AG996" s="18">
        <v>-24018.700962342475</v>
      </c>
      <c r="AH996" s="20">
        <v>16332.459441265113</v>
      </c>
      <c r="AN996" s="23">
        <v>991</v>
      </c>
      <c r="AO996" s="58">
        <v>495.5</v>
      </c>
      <c r="AP996" s="45">
        <f t="shared" si="242"/>
        <v>9276.1383586081392</v>
      </c>
      <c r="AQ996" s="45">
        <f t="shared" si="243"/>
        <v>1050.5241825589467</v>
      </c>
      <c r="AR996" s="45">
        <f t="shared" si="244"/>
        <v>-2467.9741192812958</v>
      </c>
      <c r="AS996" s="45">
        <f t="shared" si="245"/>
        <v>-197.23030512505414</v>
      </c>
      <c r="AT996" s="45">
        <f t="shared" si="231"/>
        <v>634.38308418204406</v>
      </c>
      <c r="AU996" s="45">
        <f t="shared" si="232"/>
        <v>241.7174825737693</v>
      </c>
      <c r="AV996" s="64">
        <f t="shared" si="233"/>
        <v>1366.0688791201592</v>
      </c>
      <c r="AW996" s="64">
        <f t="shared" si="234"/>
        <v>821.57234916551556</v>
      </c>
      <c r="AX996" s="64">
        <f t="shared" si="235"/>
        <v>-169.77302377076359</v>
      </c>
      <c r="AY996" s="64">
        <f t="shared" si="236"/>
        <v>51.898223463735839</v>
      </c>
      <c r="AZ996" s="64">
        <f t="shared" si="237"/>
        <v>-561.91277116735159</v>
      </c>
      <c r="BA996" s="64">
        <f t="shared" si="238"/>
        <v>-631.75309005548206</v>
      </c>
      <c r="BB996" s="65">
        <f t="shared" si="239"/>
        <v>12513.870177665767</v>
      </c>
      <c r="BC996" s="65">
        <f t="shared" si="240"/>
        <v>30613.483869029493</v>
      </c>
      <c r="BD996" s="66">
        <f t="shared" si="241"/>
        <v>21480.862481963621</v>
      </c>
    </row>
    <row r="997" spans="31:56" x14ac:dyDescent="0.25">
      <c r="AE997" s="71">
        <v>935</v>
      </c>
      <c r="AF997" s="17">
        <v>1.6336281798666925</v>
      </c>
      <c r="AG997" s="18">
        <v>-24408.389392193549</v>
      </c>
      <c r="AH997" s="20">
        <v>16067.627457812105</v>
      </c>
      <c r="AN997" s="23">
        <v>992</v>
      </c>
      <c r="AO997" s="58">
        <v>496</v>
      </c>
      <c r="AP997" s="45">
        <f t="shared" si="242"/>
        <v>8200.7470700130016</v>
      </c>
      <c r="AQ997" s="45">
        <f t="shared" si="243"/>
        <v>1012.3384006398619</v>
      </c>
      <c r="AR997" s="45">
        <f t="shared" si="244"/>
        <v>-2150.7825771902735</v>
      </c>
      <c r="AS997" s="45">
        <f t="shared" si="245"/>
        <v>-76.371563838169493</v>
      </c>
      <c r="AT997" s="45">
        <f t="shared" si="231"/>
        <v>563.95329328038622</v>
      </c>
      <c r="AU997" s="45">
        <f t="shared" si="232"/>
        <v>91.46312911779296</v>
      </c>
      <c r="AV997" s="64">
        <f t="shared" si="233"/>
        <v>1309.3943461407555</v>
      </c>
      <c r="AW997" s="64">
        <f t="shared" si="234"/>
        <v>719.95298925133022</v>
      </c>
      <c r="AX997" s="64">
        <f t="shared" si="235"/>
        <v>-180.0107179783858</v>
      </c>
      <c r="AY997" s="64">
        <f t="shared" si="236"/>
        <v>57.369948868054578</v>
      </c>
      <c r="AZ997" s="64">
        <f t="shared" si="237"/>
        <v>-565.43033488198341</v>
      </c>
      <c r="BA997" s="64">
        <f t="shared" si="238"/>
        <v>-685.85980900159188</v>
      </c>
      <c r="BB997" s="65">
        <f t="shared" si="239"/>
        <v>13465.219000581421</v>
      </c>
      <c r="BC997" s="65">
        <f t="shared" si="240"/>
        <v>29598.314079208289</v>
      </c>
      <c r="BD997" s="66">
        <f t="shared" si="241"/>
        <v>20752.221670535971</v>
      </c>
    </row>
    <row r="998" spans="31:56" x14ac:dyDescent="0.25">
      <c r="AE998" s="71">
        <v>936</v>
      </c>
      <c r="AF998" s="17">
        <v>1.6964600329384885</v>
      </c>
      <c r="AG998" s="18">
        <v>-24780.679923115174</v>
      </c>
      <c r="AH998" s="20">
        <v>15778.849320818419</v>
      </c>
      <c r="AN998" s="23">
        <v>993</v>
      </c>
      <c r="AO998" s="58">
        <v>496.5</v>
      </c>
      <c r="AP998" s="45">
        <f t="shared" si="242"/>
        <v>7266.3441047379611</v>
      </c>
      <c r="AQ998" s="45">
        <f t="shared" si="243"/>
        <v>997.01840100022537</v>
      </c>
      <c r="AR998" s="45">
        <f t="shared" si="244"/>
        <v>-1868.8059305500803</v>
      </c>
      <c r="AS998" s="45">
        <f t="shared" si="245"/>
        <v>-30.639999279273013</v>
      </c>
      <c r="AT998" s="45">
        <f t="shared" si="231"/>
        <v>501.85663761831279</v>
      </c>
      <c r="AU998" s="45">
        <f t="shared" si="232"/>
        <v>-31.43976274330862</v>
      </c>
      <c r="AV998" s="64">
        <f t="shared" si="233"/>
        <v>1255.1925998317729</v>
      </c>
      <c r="AW998" s="64">
        <f t="shared" si="234"/>
        <v>641.01735173665418</v>
      </c>
      <c r="AX998" s="64">
        <f t="shared" si="235"/>
        <v>-189.67929252891753</v>
      </c>
      <c r="AY998" s="64">
        <f t="shared" si="236"/>
        <v>62.629561696626709</v>
      </c>
      <c r="AZ998" s="64">
        <f t="shared" si="237"/>
        <v>-563.65666968454252</v>
      </c>
      <c r="BA998" s="64">
        <f t="shared" si="238"/>
        <v>-735.08667617658955</v>
      </c>
      <c r="BB998" s="65">
        <f t="shared" si="239"/>
        <v>14298.068475702283</v>
      </c>
      <c r="BC998" s="65">
        <f t="shared" si="240"/>
        <v>28714.233378411951</v>
      </c>
      <c r="BD998" s="66">
        <f t="shared" si="241"/>
        <v>20158.566303628329</v>
      </c>
    </row>
    <row r="999" spans="31:56" x14ac:dyDescent="0.25">
      <c r="AE999" s="71">
        <v>937</v>
      </c>
      <c r="AF999" s="17">
        <v>1.7592918860102844</v>
      </c>
      <c r="AG999" s="18">
        <v>-25134.103294465167</v>
      </c>
      <c r="AH999" s="20">
        <v>15467.264705660586</v>
      </c>
      <c r="AN999" s="23">
        <v>994</v>
      </c>
      <c r="AO999" s="58">
        <v>497</v>
      </c>
      <c r="AP999" s="45">
        <f t="shared" si="242"/>
        <v>6457.4052988674985</v>
      </c>
      <c r="AQ999" s="45">
        <f t="shared" si="243"/>
        <v>973.83846067476168</v>
      </c>
      <c r="AR999" s="45">
        <f t="shared" si="244"/>
        <v>-1617.8776117409238</v>
      </c>
      <c r="AS999" s="45">
        <f t="shared" si="245"/>
        <v>-46.359880650927323</v>
      </c>
      <c r="AT999" s="45">
        <f t="shared" si="231"/>
        <v>447.00935052883722</v>
      </c>
      <c r="AU999" s="45">
        <f t="shared" si="232"/>
        <v>-131.30457717709896</v>
      </c>
      <c r="AV999" s="64">
        <f t="shared" si="233"/>
        <v>1204.7273770612755</v>
      </c>
      <c r="AW999" s="64">
        <f t="shared" si="234"/>
        <v>580.55680222727119</v>
      </c>
      <c r="AX999" s="64">
        <f t="shared" si="235"/>
        <v>-198.54424170904869</v>
      </c>
      <c r="AY999" s="64">
        <f t="shared" si="236"/>
        <v>67.735001906835464</v>
      </c>
      <c r="AZ999" s="64">
        <f t="shared" si="237"/>
        <v>-559.17378482338961</v>
      </c>
      <c r="BA999" s="64">
        <f t="shared" si="238"/>
        <v>-779.59638131120562</v>
      </c>
      <c r="BB999" s="65">
        <f t="shared" si="239"/>
        <v>15033.052107822617</v>
      </c>
      <c r="BC999" s="65">
        <f t="shared" si="240"/>
        <v>27954.711361102196</v>
      </c>
      <c r="BD999" s="66">
        <f t="shared" si="241"/>
        <v>19657.96661280737</v>
      </c>
    </row>
    <row r="1000" spans="31:56" x14ac:dyDescent="0.25">
      <c r="AE1000" s="71">
        <v>938</v>
      </c>
      <c r="AF1000" s="17">
        <v>1.8221237390820801</v>
      </c>
      <c r="AG1000" s="18">
        <v>-25467.264705660586</v>
      </c>
      <c r="AH1000" s="20">
        <v>15134.103294465163</v>
      </c>
      <c r="AN1000" s="23">
        <v>995</v>
      </c>
      <c r="AO1000" s="58">
        <v>497.5</v>
      </c>
      <c r="AP1000" s="45">
        <f t="shared" si="242"/>
        <v>5760.2188306292464</v>
      </c>
      <c r="AQ1000" s="45">
        <f t="shared" si="243"/>
        <v>917.83237605502325</v>
      </c>
      <c r="AR1000" s="45">
        <f t="shared" si="244"/>
        <v>-1394.3729364765052</v>
      </c>
      <c r="AS1000" s="45">
        <f t="shared" si="245"/>
        <v>-112.0121692394768</v>
      </c>
      <c r="AT1000" s="45">
        <f t="shared" si="231"/>
        <v>397.21245417161924</v>
      </c>
      <c r="AU1000" s="45">
        <f t="shared" si="232"/>
        <v>-212.14020211232526</v>
      </c>
      <c r="AV1000" s="64">
        <f t="shared" si="233"/>
        <v>1157.9945249497587</v>
      </c>
      <c r="AW1000" s="64">
        <f t="shared" si="234"/>
        <v>535.26904523116775</v>
      </c>
      <c r="AX1000" s="64">
        <f t="shared" si="235"/>
        <v>-206.36233630626501</v>
      </c>
      <c r="AY1000" s="64">
        <f t="shared" si="236"/>
        <v>72.756265850270481</v>
      </c>
      <c r="AZ1000" s="64">
        <f t="shared" si="237"/>
        <v>-554.41973447187445</v>
      </c>
      <c r="BA1000" s="64">
        <f t="shared" si="238"/>
        <v>-820.16551319376345</v>
      </c>
      <c r="BB1000" s="65">
        <f t="shared" si="239"/>
        <v>15687.45672125585</v>
      </c>
      <c r="BC1000" s="65">
        <f t="shared" si="240"/>
        <v>27314.366969624974</v>
      </c>
      <c r="BD1000" s="66">
        <f t="shared" si="241"/>
        <v>19213.529005240387</v>
      </c>
    </row>
    <row r="1001" spans="31:56" x14ac:dyDescent="0.25">
      <c r="AE1001" s="71">
        <v>939</v>
      </c>
      <c r="AF1001" s="17">
        <v>1.8849555921538761</v>
      </c>
      <c r="AG1001" s="18">
        <v>-25778.849320818419</v>
      </c>
      <c r="AH1001" s="20">
        <v>14780.679923115171</v>
      </c>
      <c r="AN1001" s="23">
        <v>996</v>
      </c>
      <c r="AO1001" s="58">
        <v>498</v>
      </c>
      <c r="AP1001" s="45">
        <f t="shared" si="242"/>
        <v>5162.3354759338981</v>
      </c>
      <c r="AQ1001" s="45">
        <f t="shared" si="243"/>
        <v>808.79124090720347</v>
      </c>
      <c r="AR1001" s="45">
        <f t="shared" si="244"/>
        <v>-1195.7667093906955</v>
      </c>
      <c r="AS1001" s="45">
        <f t="shared" si="245"/>
        <v>-218.08227029563943</v>
      </c>
      <c r="AT1001" s="45">
        <f t="shared" si="231"/>
        <v>349.99912695582873</v>
      </c>
      <c r="AU1001" s="45">
        <f t="shared" si="232"/>
        <v>-277.64582875982705</v>
      </c>
      <c r="AV1001" s="64">
        <f t="shared" si="233"/>
        <v>1114.4289465755801</v>
      </c>
      <c r="AW1001" s="64">
        <f t="shared" si="234"/>
        <v>502.56404682949415</v>
      </c>
      <c r="AX1001" s="64">
        <f t="shared" si="235"/>
        <v>-212.89832515437845</v>
      </c>
      <c r="AY1001" s="64">
        <f t="shared" si="236"/>
        <v>77.766745969453112</v>
      </c>
      <c r="AZ1001" s="64">
        <f t="shared" si="237"/>
        <v>-551.53149446537293</v>
      </c>
      <c r="BA1001" s="64">
        <f t="shared" si="238"/>
        <v>-857.97662155877435</v>
      </c>
      <c r="BB1001" s="65">
        <f t="shared" si="239"/>
        <v>16276.626283922904</v>
      </c>
      <c r="BC1001" s="65">
        <f t="shared" si="240"/>
        <v>26788.457310130154</v>
      </c>
      <c r="BD1001" s="66">
        <f t="shared" si="241"/>
        <v>18793.37497162255</v>
      </c>
    </row>
    <row r="1002" spans="31:56" x14ac:dyDescent="0.25">
      <c r="AE1002" s="71">
        <v>940</v>
      </c>
      <c r="AF1002" s="17">
        <v>1.9477874452256718</v>
      </c>
      <c r="AG1002" s="18">
        <v>-26067.627457812105</v>
      </c>
      <c r="AH1002" s="20">
        <v>14408.389392193549</v>
      </c>
      <c r="AN1002" s="23">
        <v>997</v>
      </c>
      <c r="AO1002" s="58">
        <v>498.5</v>
      </c>
      <c r="AP1002" s="45">
        <f t="shared" si="242"/>
        <v>4651.9519029775083</v>
      </c>
      <c r="AQ1002" s="45">
        <f t="shared" si="243"/>
        <v>630.33864856942705</v>
      </c>
      <c r="AR1002" s="45">
        <f t="shared" si="244"/>
        <v>-1020.7671459127812</v>
      </c>
      <c r="AS1002" s="45">
        <f t="shared" si="245"/>
        <v>-356.90518467555296</v>
      </c>
      <c r="AT1002" s="45">
        <f t="shared" si="231"/>
        <v>302.90937916132953</v>
      </c>
      <c r="AU1002" s="45">
        <f t="shared" si="232"/>
        <v>-331.25437879838159</v>
      </c>
      <c r="AV1002" s="64">
        <f t="shared" si="233"/>
        <v>1073.1755222983684</v>
      </c>
      <c r="AW1002" s="64">
        <f t="shared" si="234"/>
        <v>480.3446250774162</v>
      </c>
      <c r="AX1002" s="64">
        <f t="shared" si="235"/>
        <v>-217.9409678884827</v>
      </c>
      <c r="AY1002" s="64">
        <f t="shared" si="236"/>
        <v>82.83453869109033</v>
      </c>
      <c r="AZ1002" s="64">
        <f t="shared" si="237"/>
        <v>-552.32517524855621</v>
      </c>
      <c r="BA1002" s="64">
        <f t="shared" si="238"/>
        <v>-894.43354256688815</v>
      </c>
      <c r="BB1002" s="65">
        <f t="shared" si="239"/>
        <v>16815.315265312591</v>
      </c>
      <c r="BC1002" s="65">
        <f t="shared" si="240"/>
        <v>26372.510052461977</v>
      </c>
      <c r="BD1002" s="66">
        <f t="shared" si="241"/>
        <v>18370.292915638398</v>
      </c>
    </row>
    <row r="1003" spans="31:56" x14ac:dyDescent="0.25">
      <c r="AE1003" s="71">
        <v>941</v>
      </c>
      <c r="AF1003" s="17">
        <v>2.0106192982974678</v>
      </c>
      <c r="AG1003" s="18">
        <v>-26332.459441265113</v>
      </c>
      <c r="AH1003" s="20">
        <v>14018.700962342475</v>
      </c>
      <c r="AN1003" s="23">
        <v>998</v>
      </c>
      <c r="AO1003" s="58">
        <v>499</v>
      </c>
      <c r="AP1003" s="45">
        <f t="shared" si="242"/>
        <v>4217.2956748114502</v>
      </c>
      <c r="AQ1003" s="45">
        <f t="shared" si="243"/>
        <v>369.07246153205517</v>
      </c>
      <c r="AR1003" s="45">
        <f t="shared" si="244"/>
        <v>-869.31245633211643</v>
      </c>
      <c r="AS1003" s="45">
        <f t="shared" si="245"/>
        <v>-522.53237407474376</v>
      </c>
      <c r="AT1003" s="45">
        <f t="shared" si="231"/>
        <v>253.50830550251669</v>
      </c>
      <c r="AU1003" s="45">
        <f t="shared" si="232"/>
        <v>-376.20138206790034</v>
      </c>
      <c r="AV1003" s="64">
        <f t="shared" si="233"/>
        <v>1033.1929973006631</v>
      </c>
      <c r="AW1003" s="64">
        <f t="shared" si="234"/>
        <v>466.81634814922739</v>
      </c>
      <c r="AX1003" s="64">
        <f t="shared" si="235"/>
        <v>-221.31639721481551</v>
      </c>
      <c r="AY1003" s="64">
        <f t="shared" si="236"/>
        <v>88.014872233138902</v>
      </c>
      <c r="AZ1003" s="64">
        <f t="shared" si="237"/>
        <v>-558.36829458333091</v>
      </c>
      <c r="BA1003" s="64">
        <f t="shared" si="238"/>
        <v>-931.03260245026661</v>
      </c>
      <c r="BB1003" s="65">
        <f t="shared" si="239"/>
        <v>17318.888052505157</v>
      </c>
      <c r="BC1003" s="65">
        <f t="shared" si="240"/>
        <v>26062.083091197099</v>
      </c>
      <c r="BD1003" s="66">
        <f t="shared" si="241"/>
        <v>17921.13076467891</v>
      </c>
    </row>
    <row r="1004" spans="31:56" x14ac:dyDescent="0.25">
      <c r="AE1004" s="71">
        <v>942</v>
      </c>
      <c r="AF1004" s="17">
        <v>2.0734511513692637</v>
      </c>
      <c r="AG1004" s="18">
        <v>-26572.300100328976</v>
      </c>
      <c r="AH1004" s="20">
        <v>13613.152555762865</v>
      </c>
      <c r="AN1004" s="23">
        <v>999</v>
      </c>
      <c r="AO1004" s="58">
        <v>499.5</v>
      </c>
      <c r="AP1004" s="45">
        <f t="shared" si="242"/>
        <v>3846.0165230210214</v>
      </c>
      <c r="AQ1004" s="45">
        <f t="shared" si="243"/>
        <v>13.755928977708209</v>
      </c>
      <c r="AR1004" s="45">
        <f t="shared" si="244"/>
        <v>-742.55830358085814</v>
      </c>
      <c r="AS1004" s="45">
        <f t="shared" si="245"/>
        <v>-710.63306510869393</v>
      </c>
      <c r="AT1004" s="45">
        <f t="shared" si="231"/>
        <v>199.3023662795423</v>
      </c>
      <c r="AU1004" s="45">
        <f t="shared" si="232"/>
        <v>-415.6243548162596</v>
      </c>
      <c r="AV1004" s="64">
        <f t="shared" si="233"/>
        <v>993.3034286565902</v>
      </c>
      <c r="AW1004" s="64">
        <f t="shared" si="234"/>
        <v>460.32682366573579</v>
      </c>
      <c r="AX1004" s="64">
        <f t="shared" si="235"/>
        <v>-222.89742442580783</v>
      </c>
      <c r="AY1004" s="64">
        <f t="shared" si="236"/>
        <v>93.345070065243945</v>
      </c>
      <c r="AZ1004" s="64">
        <f t="shared" si="237"/>
        <v>-571.1036379512401</v>
      </c>
      <c r="BA1004" s="64">
        <f t="shared" si="238"/>
        <v>-969.29624854723932</v>
      </c>
      <c r="BB1004" s="65">
        <f t="shared" si="239"/>
        <v>17804.354311949261</v>
      </c>
      <c r="BC1004" s="65">
        <f t="shared" si="240"/>
        <v>25852.612530694445</v>
      </c>
      <c r="BD1004" s="66">
        <f t="shared" si="241"/>
        <v>17425.98276770852</v>
      </c>
    </row>
    <row r="1005" spans="31:56" x14ac:dyDescent="0.25">
      <c r="AE1005" s="71">
        <v>943</v>
      </c>
      <c r="AF1005" s="17">
        <v>2.1362830044410597</v>
      </c>
      <c r="AG1005" s="18">
        <v>-26786.202893495145</v>
      </c>
      <c r="AH1005" s="20">
        <v>13193.344686738044</v>
      </c>
      <c r="AN1005" s="23">
        <v>1000</v>
      </c>
      <c r="AO1005" s="59">
        <v>500</v>
      </c>
      <c r="AP1005" s="60">
        <f t="shared" si="242"/>
        <v>3524.5629628004781</v>
      </c>
      <c r="AQ1005" s="60">
        <f t="shared" si="243"/>
        <v>-445.46669228070368</v>
      </c>
      <c r="AR1005" s="60">
        <f t="shared" si="244"/>
        <v>-642.90712044108705</v>
      </c>
      <c r="AS1005" s="60">
        <f t="shared" si="245"/>
        <v>-918.44524251682378</v>
      </c>
      <c r="AT1005" s="60">
        <f t="shared" si="231"/>
        <v>137.62960585594544</v>
      </c>
      <c r="AU1005" s="60">
        <f t="shared" si="232"/>
        <v>-452.68935110247844</v>
      </c>
      <c r="AV1005" s="67">
        <f t="shared" si="233"/>
        <v>952.23744142018006</v>
      </c>
      <c r="AW1005" s="67">
        <f t="shared" si="234"/>
        <v>459.22732470547527</v>
      </c>
      <c r="AX1005" s="67">
        <f t="shared" si="235"/>
        <v>-222.60770706707189</v>
      </c>
      <c r="AY1005" s="67">
        <f t="shared" si="236"/>
        <v>98.843128065375609</v>
      </c>
      <c r="AZ1005" s="67">
        <f t="shared" si="237"/>
        <v>-592.00012849716279</v>
      </c>
      <c r="BA1005" s="67">
        <f t="shared" si="238"/>
        <v>-1010.7598038733294</v>
      </c>
      <c r="BB1005" s="68">
        <f t="shared" si="239"/>
        <v>18291.267493666692</v>
      </c>
      <c r="BC1005" s="68">
        <f t="shared" si="240"/>
        <v>25739.324719392109</v>
      </c>
      <c r="BD1005" s="69">
        <f t="shared" si="241"/>
        <v>16867.205266796871</v>
      </c>
    </row>
    <row r="1006" spans="31:56" x14ac:dyDescent="0.25">
      <c r="AE1006" s="71">
        <v>944</v>
      </c>
      <c r="AF1006" s="17">
        <v>2.1991148575128552</v>
      </c>
      <c r="AG1006" s="18">
        <v>-26973.323644161886</v>
      </c>
      <c r="AH1006" s="20">
        <v>12760.934145135083</v>
      </c>
    </row>
    <row r="1007" spans="31:56" x14ac:dyDescent="0.25">
      <c r="AE1007" s="71">
        <v>945</v>
      </c>
      <c r="AF1007" s="17">
        <v>2.2619467105846511</v>
      </c>
      <c r="AG1007" s="18">
        <v>-27132.923872213651</v>
      </c>
      <c r="AH1007" s="20">
        <v>12317.627457812103</v>
      </c>
    </row>
    <row r="1008" spans="31:56" x14ac:dyDescent="0.25">
      <c r="AE1008" s="71">
        <v>946</v>
      </c>
      <c r="AF1008" s="17">
        <v>2.3247785636564471</v>
      </c>
      <c r="AG1008" s="18">
        <v>-27264.373708464733</v>
      </c>
      <c r="AH1008" s="20">
        <v>11865.174153736411</v>
      </c>
    </row>
    <row r="1009" spans="31:34" x14ac:dyDescent="0.25">
      <c r="AE1009" s="71">
        <v>947</v>
      </c>
      <c r="AF1009" s="17">
        <v>2.387610416728243</v>
      </c>
      <c r="AG1009" s="18">
        <v>-27367.154380465166</v>
      </c>
      <c r="AH1009" s="20">
        <v>11405.359859392935</v>
      </c>
    </row>
    <row r="1010" spans="31:34" x14ac:dyDescent="0.25">
      <c r="AE1010" s="71">
        <v>948</v>
      </c>
      <c r="AF1010" s="17">
        <v>2.450442269800039</v>
      </c>
      <c r="AG1010" s="18">
        <v>-27440.860259858586</v>
      </c>
      <c r="AH1010" s="20">
        <v>10939.999251732281</v>
      </c>
    </row>
    <row r="1011" spans="31:34" x14ac:dyDescent="0.25">
      <c r="AE1011" s="71">
        <v>949</v>
      </c>
      <c r="AF1011" s="17">
        <v>2.5132741228718345</v>
      </c>
      <c r="AG1011" s="18">
        <v>-27485.200463212037</v>
      </c>
      <c r="AH1011" s="20">
        <v>10470.928896469848</v>
      </c>
    </row>
    <row r="1012" spans="31:34" x14ac:dyDescent="0.25">
      <c r="AE1012" s="71">
        <v>950</v>
      </c>
      <c r="AF1012" s="17">
        <v>2.5761059759436304</v>
      </c>
      <c r="AG1012" s="18">
        <v>-27500</v>
      </c>
      <c r="AH1012" s="20">
        <v>9999.9999999999982</v>
      </c>
    </row>
    <row r="1013" spans="31:34" x14ac:dyDescent="0.25">
      <c r="AE1013" s="71">
        <v>951</v>
      </c>
      <c r="AF1013" s="17">
        <v>2.6389378290154264</v>
      </c>
      <c r="AG1013" s="18">
        <v>-27485.200463212037</v>
      </c>
      <c r="AH1013" s="20">
        <v>9529.0711035301501</v>
      </c>
    </row>
    <row r="1014" spans="31:34" x14ac:dyDescent="0.25">
      <c r="AE1014" s="71">
        <v>952</v>
      </c>
      <c r="AF1014" s="17">
        <v>2.7017696820872223</v>
      </c>
      <c r="AG1014" s="18">
        <v>-27440.860259858586</v>
      </c>
      <c r="AH1014" s="20">
        <v>9060.0007482677174</v>
      </c>
    </row>
    <row r="1015" spans="31:34" x14ac:dyDescent="0.25">
      <c r="AE1015" s="71">
        <v>953</v>
      </c>
      <c r="AF1015" s="17">
        <v>2.7646015351590183</v>
      </c>
      <c r="AG1015" s="18">
        <v>-27367.154380465166</v>
      </c>
      <c r="AH1015" s="20">
        <v>8594.6401406070636</v>
      </c>
    </row>
    <row r="1016" spans="31:34" x14ac:dyDescent="0.25">
      <c r="AE1016" s="71">
        <v>954</v>
      </c>
      <c r="AF1016" s="17">
        <v>2.8274333882308142</v>
      </c>
      <c r="AG1016" s="18">
        <v>-27264.373708464733</v>
      </c>
      <c r="AH1016" s="20">
        <v>8134.8258462635877</v>
      </c>
    </row>
    <row r="1017" spans="31:34" x14ac:dyDescent="0.25">
      <c r="AE1017" s="71">
        <v>955</v>
      </c>
      <c r="AF1017" s="17">
        <v>2.8902652413026098</v>
      </c>
      <c r="AG1017" s="18">
        <v>-27132.923872213651</v>
      </c>
      <c r="AH1017" s="20">
        <v>7682.3725421878917</v>
      </c>
    </row>
    <row r="1018" spans="31:34" x14ac:dyDescent="0.25">
      <c r="AE1018" s="71">
        <v>956</v>
      </c>
      <c r="AF1018" s="17">
        <v>2.9530970943744057</v>
      </c>
      <c r="AG1018" s="18">
        <v>-26973.323644161886</v>
      </c>
      <c r="AH1018" s="20">
        <v>7239.0658548649126</v>
      </c>
    </row>
    <row r="1019" spans="31:34" x14ac:dyDescent="0.25">
      <c r="AE1019" s="71">
        <v>957</v>
      </c>
      <c r="AF1019" s="17">
        <v>3.0159289474462017</v>
      </c>
      <c r="AG1019" s="18">
        <v>-26786.202893495145</v>
      </c>
      <c r="AH1019" s="20">
        <v>6806.6553132619556</v>
      </c>
    </row>
    <row r="1020" spans="31:34" x14ac:dyDescent="0.25">
      <c r="AE1020" s="71">
        <v>958</v>
      </c>
      <c r="AF1020" s="17">
        <v>3.0787608005179976</v>
      </c>
      <c r="AG1020" s="18">
        <v>-26572.300100328976</v>
      </c>
      <c r="AH1020" s="20">
        <v>6386.8474442371353</v>
      </c>
    </row>
    <row r="1021" spans="31:34" x14ac:dyDescent="0.25">
      <c r="AE1021" s="71">
        <v>959</v>
      </c>
      <c r="AF1021" s="17">
        <v>3.1415926535897936</v>
      </c>
      <c r="AG1021" s="18">
        <v>-26332.459441265113</v>
      </c>
      <c r="AH1021" s="20">
        <v>5981.2990376575244</v>
      </c>
    </row>
    <row r="1022" spans="31:34" x14ac:dyDescent="0.25">
      <c r="AE1022" s="71">
        <v>960</v>
      </c>
      <c r="AF1022" s="17">
        <v>3.2044245066615891</v>
      </c>
      <c r="AG1022" s="18">
        <v>-26067.627457812105</v>
      </c>
      <c r="AH1022" s="20">
        <v>5591.6106078064495</v>
      </c>
    </row>
    <row r="1023" spans="31:34" x14ac:dyDescent="0.25">
      <c r="AE1023" s="71">
        <v>961</v>
      </c>
      <c r="AF1023" s="17">
        <v>3.267256359733385</v>
      </c>
      <c r="AG1023" s="18">
        <v>-25778.849320818419</v>
      </c>
      <c r="AH1023" s="20">
        <v>5219.3200768848255</v>
      </c>
    </row>
    <row r="1024" spans="31:34" x14ac:dyDescent="0.25">
      <c r="AE1024" s="71">
        <v>962</v>
      </c>
      <c r="AF1024" s="17">
        <v>3.330088212805181</v>
      </c>
      <c r="AG1024" s="18">
        <v>-25467.264705660586</v>
      </c>
      <c r="AH1024" s="20">
        <v>4865.8967055348348</v>
      </c>
    </row>
    <row r="1025" spans="31:34" x14ac:dyDescent="0.25">
      <c r="AE1025" s="71">
        <v>963</v>
      </c>
      <c r="AF1025" s="17">
        <v>3.3929200658769769</v>
      </c>
      <c r="AG1025" s="18">
        <v>-25134.103294465163</v>
      </c>
      <c r="AH1025" s="20">
        <v>4532.7352943394135</v>
      </c>
    </row>
    <row r="1026" spans="31:34" x14ac:dyDescent="0.25">
      <c r="AE1026" s="71">
        <v>964</v>
      </c>
      <c r="AF1026" s="17">
        <v>3.4557519189487729</v>
      </c>
      <c r="AG1026" s="18">
        <v>-24780.679923115171</v>
      </c>
      <c r="AH1026" s="20">
        <v>4221.15067918158</v>
      </c>
    </row>
    <row r="1027" spans="31:34" x14ac:dyDescent="0.25">
      <c r="AE1027" s="71">
        <v>965</v>
      </c>
      <c r="AF1027" s="17">
        <v>3.5185837720205688</v>
      </c>
      <c r="AG1027" s="18">
        <v>-24408.389392193549</v>
      </c>
      <c r="AH1027" s="20">
        <v>3932.3725421878953</v>
      </c>
    </row>
    <row r="1028" spans="31:34" x14ac:dyDescent="0.25">
      <c r="AE1028" s="71">
        <v>966</v>
      </c>
      <c r="AF1028" s="17">
        <v>3.5814156250923643</v>
      </c>
      <c r="AG1028" s="18">
        <v>-24018.700962342471</v>
      </c>
      <c r="AH1028" s="20">
        <v>3667.5405587348851</v>
      </c>
    </row>
    <row r="1029" spans="31:34" x14ac:dyDescent="0.25">
      <c r="AE1029" s="71">
        <v>967</v>
      </c>
      <c r="AF1029" s="17">
        <v>3.6442474781641603</v>
      </c>
      <c r="AG1029" s="18">
        <v>-23613.152555762863</v>
      </c>
      <c r="AH1029" s="20">
        <v>3427.6998996710236</v>
      </c>
    </row>
    <row r="1030" spans="31:34" x14ac:dyDescent="0.25">
      <c r="AE1030" s="71">
        <v>968</v>
      </c>
      <c r="AF1030" s="17">
        <v>3.7070793312359562</v>
      </c>
      <c r="AG1030" s="18">
        <v>-23193.344686738041</v>
      </c>
      <c r="AH1030" s="20">
        <v>3213.7971065048514</v>
      </c>
    </row>
    <row r="1031" spans="31:34" x14ac:dyDescent="0.25">
      <c r="AE1031" s="71">
        <v>969</v>
      </c>
      <c r="AF1031" s="17">
        <v>3.7699111843077522</v>
      </c>
      <c r="AG1031" s="18">
        <v>-22760.934145135085</v>
      </c>
      <c r="AH1031" s="20">
        <v>3026.6763558381144</v>
      </c>
    </row>
    <row r="1032" spans="31:34" x14ac:dyDescent="0.25">
      <c r="AE1032" s="71">
        <v>970</v>
      </c>
      <c r="AF1032" s="17">
        <v>3.8327430373795481</v>
      </c>
      <c r="AG1032" s="18">
        <v>-22317.627457812108</v>
      </c>
      <c r="AH1032" s="20">
        <v>2867.0761277863485</v>
      </c>
    </row>
    <row r="1033" spans="31:34" x14ac:dyDescent="0.25">
      <c r="AE1033" s="71">
        <v>971</v>
      </c>
      <c r="AF1033" s="17">
        <v>3.8955748904513436</v>
      </c>
      <c r="AG1033" s="18">
        <v>-21865.174153736407</v>
      </c>
      <c r="AH1033" s="20">
        <v>2735.6262915352663</v>
      </c>
    </row>
    <row r="1034" spans="31:34" x14ac:dyDescent="0.25">
      <c r="AE1034" s="71">
        <v>972</v>
      </c>
      <c r="AF1034" s="17">
        <v>3.9584067435231396</v>
      </c>
      <c r="AG1034" s="18">
        <v>-21405.359859392935</v>
      </c>
      <c r="AH1034" s="20">
        <v>2632.8456195348344</v>
      </c>
    </row>
    <row r="1035" spans="31:34" x14ac:dyDescent="0.25">
      <c r="AE1035" s="71">
        <v>973</v>
      </c>
      <c r="AF1035" s="17">
        <v>4.0212385965949355</v>
      </c>
      <c r="AG1035" s="18">
        <v>-20939.999251732279</v>
      </c>
      <c r="AH1035" s="20">
        <v>2559.139740141416</v>
      </c>
    </row>
    <row r="1036" spans="31:34" x14ac:dyDescent="0.25">
      <c r="AE1036" s="71">
        <v>974</v>
      </c>
      <c r="AF1036" s="17">
        <v>4.0840704496667311</v>
      </c>
      <c r="AG1036" s="18">
        <v>-20470.92889646985</v>
      </c>
      <c r="AH1036" s="20">
        <v>2514.799536787963</v>
      </c>
    </row>
    <row r="1037" spans="31:34" x14ac:dyDescent="0.25">
      <c r="AE1037" s="71">
        <v>975</v>
      </c>
      <c r="AF1037" s="17">
        <v>4.1469023027385274</v>
      </c>
      <c r="AG1037" s="18">
        <v>-20000</v>
      </c>
      <c r="AH1037" s="20">
        <v>2500</v>
      </c>
    </row>
    <row r="1038" spans="31:34" x14ac:dyDescent="0.25">
      <c r="AE1038" s="71">
        <v>976</v>
      </c>
      <c r="AF1038" s="17">
        <v>4.209734155810323</v>
      </c>
      <c r="AG1038" s="18">
        <v>-19529.071103530147</v>
      </c>
      <c r="AH1038" s="20">
        <v>2514.799536787963</v>
      </c>
    </row>
    <row r="1039" spans="31:34" x14ac:dyDescent="0.25">
      <c r="AE1039" s="71">
        <v>977</v>
      </c>
      <c r="AF1039" s="17">
        <v>4.2725660088821193</v>
      </c>
      <c r="AG1039" s="18">
        <v>-19060.000748267717</v>
      </c>
      <c r="AH1039" s="20">
        <v>2559.139740141416</v>
      </c>
    </row>
    <row r="1040" spans="31:34" x14ac:dyDescent="0.25">
      <c r="AE1040" s="71">
        <v>978</v>
      </c>
      <c r="AF1040" s="17">
        <v>4.3353978619539149</v>
      </c>
      <c r="AG1040" s="18">
        <v>-18594.640140607062</v>
      </c>
      <c r="AH1040" s="20">
        <v>2632.8456195348354</v>
      </c>
    </row>
    <row r="1041" spans="31:34" x14ac:dyDescent="0.25">
      <c r="AE1041" s="71">
        <v>979</v>
      </c>
      <c r="AF1041" s="17">
        <v>4.3982297150257104</v>
      </c>
      <c r="AG1041" s="18">
        <v>-18134.825846263589</v>
      </c>
      <c r="AH1041" s="20">
        <v>2735.6262915352672</v>
      </c>
    </row>
    <row r="1042" spans="31:34" x14ac:dyDescent="0.25">
      <c r="AE1042" s="71">
        <v>980</v>
      </c>
      <c r="AF1042" s="17">
        <v>4.4610615680975068</v>
      </c>
      <c r="AG1042" s="18">
        <v>-17682.372542187895</v>
      </c>
      <c r="AH1042" s="20">
        <v>2867.0761277863476</v>
      </c>
    </row>
    <row r="1043" spans="31:34" x14ac:dyDescent="0.25">
      <c r="AE1043" s="71">
        <v>981</v>
      </c>
      <c r="AF1043" s="17">
        <v>4.5238934211693023</v>
      </c>
      <c r="AG1043" s="18">
        <v>-17239.065854864912</v>
      </c>
      <c r="AH1043" s="20">
        <v>3026.6763558381153</v>
      </c>
    </row>
    <row r="1044" spans="31:34" x14ac:dyDescent="0.25">
      <c r="AE1044" s="71">
        <v>982</v>
      </c>
      <c r="AF1044" s="17">
        <v>4.5867252742410987</v>
      </c>
      <c r="AG1044" s="18">
        <v>-16806.655313261956</v>
      </c>
      <c r="AH1044" s="20">
        <v>3213.7971065048532</v>
      </c>
    </row>
    <row r="1045" spans="31:34" x14ac:dyDescent="0.25">
      <c r="AE1045" s="71">
        <v>983</v>
      </c>
      <c r="AF1045" s="17">
        <v>4.6495571273128942</v>
      </c>
      <c r="AG1045" s="18">
        <v>-16386.847444237133</v>
      </c>
      <c r="AH1045" s="20">
        <v>3427.6998996710245</v>
      </c>
    </row>
    <row r="1046" spans="31:34" x14ac:dyDescent="0.25">
      <c r="AE1046" s="71">
        <v>984</v>
      </c>
      <c r="AF1046" s="17">
        <v>4.7123889803846897</v>
      </c>
      <c r="AG1046" s="18">
        <v>-15981.299037657525</v>
      </c>
      <c r="AH1046" s="20">
        <v>3667.5405587348878</v>
      </c>
    </row>
    <row r="1047" spans="31:34" x14ac:dyDescent="0.25">
      <c r="AE1047" s="71">
        <v>985</v>
      </c>
      <c r="AF1047" s="17">
        <v>4.7752208334564861</v>
      </c>
      <c r="AG1047" s="18">
        <v>-15591.610607806448</v>
      </c>
      <c r="AH1047" s="20">
        <v>3932.3725421878971</v>
      </c>
    </row>
    <row r="1048" spans="31:34" x14ac:dyDescent="0.25">
      <c r="AE1048" s="71">
        <v>986</v>
      </c>
      <c r="AF1048" s="17">
        <v>4.8380526865282816</v>
      </c>
      <c r="AG1048" s="18">
        <v>-15219.320076884826</v>
      </c>
      <c r="AH1048" s="20">
        <v>4221.1506791815818</v>
      </c>
    </row>
    <row r="1049" spans="31:34" x14ac:dyDescent="0.25">
      <c r="AE1049" s="71">
        <v>987</v>
      </c>
      <c r="AF1049" s="17">
        <v>4.900884539600078</v>
      </c>
      <c r="AG1049" s="18">
        <v>-14865.896705534837</v>
      </c>
      <c r="AH1049" s="20">
        <v>4532.7352943394135</v>
      </c>
    </row>
    <row r="1050" spans="31:34" x14ac:dyDescent="0.25">
      <c r="AE1050" s="71">
        <v>988</v>
      </c>
      <c r="AF1050" s="17">
        <v>4.9637163926718735</v>
      </c>
      <c r="AG1050" s="18">
        <v>-14532.735294339411</v>
      </c>
      <c r="AH1050" s="20">
        <v>4865.8967055348376</v>
      </c>
    </row>
    <row r="1051" spans="31:34" x14ac:dyDescent="0.25">
      <c r="AE1051" s="71">
        <v>989</v>
      </c>
      <c r="AF1051" s="17">
        <v>5.026548245743669</v>
      </c>
      <c r="AG1051" s="18">
        <v>-14221.150679181581</v>
      </c>
      <c r="AH1051" s="20">
        <v>5219.3200768848274</v>
      </c>
    </row>
    <row r="1052" spans="31:34" x14ac:dyDescent="0.25">
      <c r="AE1052" s="71">
        <v>990</v>
      </c>
      <c r="AF1052" s="17">
        <v>5.0893800988154654</v>
      </c>
      <c r="AG1052" s="18">
        <v>-13932.372542187892</v>
      </c>
      <c r="AH1052" s="20">
        <v>5591.6106078064558</v>
      </c>
    </row>
    <row r="1053" spans="31:34" x14ac:dyDescent="0.25">
      <c r="AE1053" s="71">
        <v>991</v>
      </c>
      <c r="AF1053" s="17">
        <v>5.1522119518872609</v>
      </c>
      <c r="AG1053" s="18">
        <v>-13667.540558734885</v>
      </c>
      <c r="AH1053" s="20">
        <v>5981.2990376575272</v>
      </c>
    </row>
    <row r="1054" spans="31:34" x14ac:dyDescent="0.25">
      <c r="AE1054" s="71">
        <v>992</v>
      </c>
      <c r="AF1054" s="17">
        <v>5.2150438049590573</v>
      </c>
      <c r="AG1054" s="18">
        <v>-13427.699899671024</v>
      </c>
      <c r="AH1054" s="20">
        <v>6386.8474442371353</v>
      </c>
    </row>
    <row r="1055" spans="31:34" x14ac:dyDescent="0.25">
      <c r="AE1055" s="71">
        <v>993</v>
      </c>
      <c r="AF1055" s="17">
        <v>5.2778756580308528</v>
      </c>
      <c r="AG1055" s="18">
        <v>-13213.797106504851</v>
      </c>
      <c r="AH1055" s="20">
        <v>6806.6553132619583</v>
      </c>
    </row>
    <row r="1056" spans="31:34" x14ac:dyDescent="0.25">
      <c r="AE1056" s="71">
        <v>994</v>
      </c>
      <c r="AF1056" s="17">
        <v>5.3407075111026492</v>
      </c>
      <c r="AG1056" s="18">
        <v>-13026.676355838114</v>
      </c>
      <c r="AH1056" s="20">
        <v>7239.0658548649162</v>
      </c>
    </row>
    <row r="1057" spans="31:34" x14ac:dyDescent="0.25">
      <c r="AE1057" s="71">
        <v>995</v>
      </c>
      <c r="AF1057" s="17">
        <v>5.4035393641744447</v>
      </c>
      <c r="AG1057" s="18">
        <v>-12867.076127786346</v>
      </c>
      <c r="AH1057" s="20">
        <v>7682.3725421878989</v>
      </c>
    </row>
    <row r="1058" spans="31:34" x14ac:dyDescent="0.25">
      <c r="AE1058" s="71">
        <v>996</v>
      </c>
      <c r="AF1058" s="17">
        <v>5.4663712172462402</v>
      </c>
      <c r="AG1058" s="18">
        <v>-12735.626291535267</v>
      </c>
      <c r="AH1058" s="20">
        <v>8134.8258462635913</v>
      </c>
    </row>
    <row r="1059" spans="31:34" x14ac:dyDescent="0.25">
      <c r="AE1059" s="71">
        <v>997</v>
      </c>
      <c r="AF1059" s="17">
        <v>5.5292030703180366</v>
      </c>
      <c r="AG1059" s="18">
        <v>-12632.845619534834</v>
      </c>
      <c r="AH1059" s="20">
        <v>8594.6401406070654</v>
      </c>
    </row>
    <row r="1060" spans="31:34" x14ac:dyDescent="0.25">
      <c r="AE1060" s="71">
        <v>998</v>
      </c>
      <c r="AF1060" s="17">
        <v>5.5920349233898321</v>
      </c>
      <c r="AG1060" s="18">
        <v>-12559.139740141416</v>
      </c>
      <c r="AH1060" s="20">
        <v>9060.0007482677211</v>
      </c>
    </row>
    <row r="1061" spans="31:34" x14ac:dyDescent="0.25">
      <c r="AE1061" s="71">
        <v>999</v>
      </c>
      <c r="AF1061" s="17">
        <v>5.6548667764616285</v>
      </c>
      <c r="AG1061" s="18">
        <v>-12514.799536787963</v>
      </c>
      <c r="AH1061" s="20">
        <v>9529.0711035301501</v>
      </c>
    </row>
    <row r="1062" spans="31:34" x14ac:dyDescent="0.25">
      <c r="AE1062" s="71">
        <v>1000</v>
      </c>
      <c r="AF1062" s="17">
        <v>5.717698629533424</v>
      </c>
      <c r="AG1062" s="18">
        <v>-12500</v>
      </c>
      <c r="AH1062" s="55">
        <v>10000.000000000005</v>
      </c>
    </row>
  </sheetData>
  <mergeCells count="67">
    <mergeCell ref="BM2:BW2"/>
    <mergeCell ref="BQ42:BS44"/>
    <mergeCell ref="K40:L40"/>
    <mergeCell ref="AB3:AD3"/>
    <mergeCell ref="AF3:AH3"/>
    <mergeCell ref="K36:L36"/>
    <mergeCell ref="K37:L37"/>
    <mergeCell ref="K38:L38"/>
    <mergeCell ref="K32:L32"/>
    <mergeCell ref="K35:L35"/>
    <mergeCell ref="K6:L6"/>
    <mergeCell ref="K7:L7"/>
    <mergeCell ref="K10:L10"/>
    <mergeCell ref="K24:L24"/>
    <mergeCell ref="K14:L14"/>
    <mergeCell ref="B9:M9"/>
    <mergeCell ref="O2:Y2"/>
    <mergeCell ref="B25:J25"/>
    <mergeCell ref="B33:J33"/>
    <mergeCell ref="B2:M2"/>
    <mergeCell ref="B17:J17"/>
    <mergeCell ref="B18:I18"/>
    <mergeCell ref="B19:I19"/>
    <mergeCell ref="B20:I20"/>
    <mergeCell ref="B5:I5"/>
    <mergeCell ref="B6:I6"/>
    <mergeCell ref="B7:I7"/>
    <mergeCell ref="B30:I30"/>
    <mergeCell ref="B31:I31"/>
    <mergeCell ref="B21:I21"/>
    <mergeCell ref="K22:L22"/>
    <mergeCell ref="K23:L23"/>
    <mergeCell ref="B38:I38"/>
    <mergeCell ref="AJ3:AL3"/>
    <mergeCell ref="K39:L39"/>
    <mergeCell ref="K27:L27"/>
    <mergeCell ref="K28:L28"/>
    <mergeCell ref="K29:L29"/>
    <mergeCell ref="K30:L30"/>
    <mergeCell ref="K31:L31"/>
    <mergeCell ref="K5:L5"/>
    <mergeCell ref="K19:L19"/>
    <mergeCell ref="K20:L20"/>
    <mergeCell ref="K21:L21"/>
    <mergeCell ref="B4:M4"/>
    <mergeCell ref="B16:M16"/>
    <mergeCell ref="B29:I29"/>
    <mergeCell ref="B22:I22"/>
    <mergeCell ref="B23:I23"/>
    <mergeCell ref="B24:I24"/>
    <mergeCell ref="B26:I26"/>
    <mergeCell ref="AF32:AH32"/>
    <mergeCell ref="AO3:BD3"/>
    <mergeCell ref="B39:I39"/>
    <mergeCell ref="B40:I40"/>
    <mergeCell ref="B11:I11"/>
    <mergeCell ref="B10:I10"/>
    <mergeCell ref="B12:I12"/>
    <mergeCell ref="B13:I13"/>
    <mergeCell ref="B14:I14"/>
    <mergeCell ref="B32:I32"/>
    <mergeCell ref="B34:I34"/>
    <mergeCell ref="B35:I35"/>
    <mergeCell ref="B36:I36"/>
    <mergeCell ref="B37:I37"/>
    <mergeCell ref="B27:I27"/>
    <mergeCell ref="B28:I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imulation">
                <anchor moveWithCells="1" sizeWithCells="1">
                  <from>
                    <xdr:col>68</xdr:col>
                    <xdr:colOff>266700</xdr:colOff>
                    <xdr:row>41</xdr:row>
                    <xdr:rowOff>133350</xdr:rowOff>
                  </from>
                  <to>
                    <xdr:col>70</xdr:col>
                    <xdr:colOff>476250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7" ma:contentTypeDescription="Create a new document." ma:contentTypeScope="" ma:versionID="e308ba222b4a3e4a082ceee4100aacb9">
  <xsd:schema xmlns:xsd="http://www.w3.org/2001/XMLSchema" xmlns:xs="http://www.w3.org/2001/XMLSchema" xmlns:p="http://schemas.microsoft.com/office/2006/metadata/properties" xmlns:ns3="9de94308-2297-4d04-a77d-26fce9df9395" targetNamespace="http://schemas.microsoft.com/office/2006/metadata/properties" ma:root="true" ma:fieldsID="474d03f5507244d7690fd42dd67c43a8" ns3:_="">
    <xsd:import namespace="9de94308-2297-4d04-a77d-26fce9df93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9581BC-EFF8-4C55-81ED-9C7E7D079BD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FD7735-A36F-4309-94B7-1DDA927F426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A909A6-1C81-4500-AA51-13EBB453791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Levesque Alexia</dc:creator>
  <cp:keywords/>
  <dc:description/>
  <cp:lastModifiedBy>Alexia Levesque</cp:lastModifiedBy>
  <cp:revision/>
  <dcterms:created xsi:type="dcterms:W3CDTF">2022-11-18T13:21:57Z</dcterms:created>
  <dcterms:modified xsi:type="dcterms:W3CDTF">2022-12-05T02:29:52Z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